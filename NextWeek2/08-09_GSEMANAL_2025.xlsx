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fgv.es\Documentos\1006_Alicante\2005_Transportes\6_GRAFICOS_COLECTIVOS\2025\ELÉCTRICO\"/>
    </mc:Choice>
  </mc:AlternateContent>
  <xr:revisionPtr revIDLastSave="0" documentId="8_{58A8BF1C-B9AC-4649-95D5-C86ABD0F0E9D}" xr6:coauthVersionLast="47" xr6:coauthVersionMax="47" xr10:uidLastSave="{00000000-0000-0000-0000-000000000000}"/>
  <bookViews>
    <workbookView xWindow="0" yWindow="0" windowWidth="23040" windowHeight="8040" activeTab="1" xr2:uid="{00000000-000D-0000-FFFF-FFFF00000000}"/>
  </bookViews>
  <sheets>
    <sheet name="FECHA" sheetId="1" r:id="rId1"/>
    <sheet name="TRANVIA" sheetId="37" r:id="rId2"/>
    <sheet name="BOLSA-FORMAC" sheetId="9" state="hidden" r:id="rId3"/>
    <sheet name="USIS ALICANTE" sheetId="4" r:id="rId4"/>
    <sheet name="G_BENIDORM" sheetId="5" r:id="rId5"/>
    <sheet name="USIS BENIDORM" sheetId="36" r:id="rId6"/>
    <sheet name="G_DENIA" sheetId="6" r:id="rId7"/>
    <sheet name="USIS DENIA" sheetId="35" r:id="rId8"/>
    <sheet name="G_REGUL" sheetId="7" r:id="rId9"/>
    <sheet name="AT.CENTRALIZADA" sheetId="8" r:id="rId10"/>
    <sheet name="PRACT. ELEC." sheetId="38" r:id="rId11"/>
    <sheet name="BOLSA MAQUIS" sheetId="11" state="hidden" r:id="rId12"/>
    <sheet name="TURNOS PRACTICAS" sheetId="12" state="hidden" r:id="rId13"/>
  </sheets>
  <externalReferences>
    <externalReference r:id="rId14"/>
    <externalReference r:id="rId15"/>
    <externalReference r:id="rId16"/>
  </externalReferences>
  <definedNames>
    <definedName name="_xlnm.Print_Area" localSheetId="9">AT.CENTRALIZADA!$A$1:$J$39</definedName>
    <definedName name="_xlnm.Print_Area" localSheetId="11">'BOLSA MAQUIS'!$A$1:$I$73</definedName>
    <definedName name="_xlnm.Print_Area" localSheetId="2">'BOLSA-FORMAC'!$A$1:$I$39</definedName>
    <definedName name="_xlnm.Print_Area" localSheetId="4">G_BENIDORM!$A$1:$I$82</definedName>
    <definedName name="_xlnm.Print_Area" localSheetId="6">G_DENIA!$A$2:$I$62</definedName>
    <definedName name="_xlnm.Print_Area" localSheetId="8">G_REGUL!$A$1:$J$62</definedName>
    <definedName name="_xlnm.Print_Area" localSheetId="1">TRANVIA!$A$4:$J$388</definedName>
    <definedName name="_xlnm.Print_Area" localSheetId="12">'TURNOS PRACTICAS'!$A$1:$H$12</definedName>
    <definedName name="_xlnm.Print_Area" localSheetId="3">'USIS ALICANTE'!$A$1:$I$82</definedName>
    <definedName name="_xlnm.Print_Area" localSheetId="5">'USIS BENIDORM'!$A$1:$I$49</definedName>
    <definedName name="_xlnm.Print_Area" localSheetId="7">'USIS DENIA'!$A$1:$I$44</definedName>
    <definedName name="denia">[1]Variables!$B$5</definedName>
    <definedName name="festivo">[2]Variables!$C$5</definedName>
    <definedName name="lectivo">[2]Variables!$C$3</definedName>
    <definedName name="no">[3]Variables!$B$5</definedName>
    <definedName name="nolectivo">[2]Variables!$C$4</definedName>
    <definedName name="sietehoras">[3]TURNOS!$G$4</definedName>
    <definedName name="tram">[1]Variables!$B$3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4" i="37" l="1"/>
  <c r="E174" i="37"/>
  <c r="F174" i="37"/>
  <c r="G174" i="37"/>
  <c r="H174" i="37"/>
  <c r="I174" i="37"/>
  <c r="J174" i="37"/>
  <c r="D246" i="37"/>
  <c r="E246" i="37"/>
  <c r="F246" i="37"/>
  <c r="G246" i="37"/>
  <c r="H246" i="37"/>
  <c r="I246" i="37"/>
  <c r="J246" i="37"/>
  <c r="E41" i="38"/>
  <c r="D11" i="38"/>
  <c r="E11" i="38"/>
  <c r="F11" i="38"/>
  <c r="G11" i="38"/>
  <c r="H11" i="38"/>
  <c r="I11" i="38"/>
  <c r="J11" i="38"/>
  <c r="D8" i="38"/>
  <c r="D320" i="37"/>
  <c r="E320" i="37"/>
  <c r="F320" i="37"/>
  <c r="G320" i="37"/>
  <c r="H320" i="37"/>
  <c r="I320" i="37"/>
  <c r="J320" i="37"/>
  <c r="D100" i="37"/>
  <c r="E100" i="37"/>
  <c r="F100" i="37"/>
  <c r="G100" i="37"/>
  <c r="H100" i="37"/>
  <c r="I100" i="37"/>
  <c r="J100" i="37"/>
  <c r="E39" i="8"/>
  <c r="D8" i="37"/>
  <c r="E8" i="37"/>
  <c r="F8" i="37"/>
  <c r="G8" i="37"/>
  <c r="H8" i="37"/>
  <c r="I8" i="37"/>
  <c r="J8" i="37"/>
  <c r="D5" i="37"/>
  <c r="D11" i="8"/>
  <c r="E11" i="8"/>
  <c r="F11" i="8"/>
  <c r="G11" i="8"/>
  <c r="H11" i="8"/>
  <c r="I11" i="8"/>
  <c r="J11" i="8"/>
  <c r="D8" i="8"/>
  <c r="D9" i="7"/>
  <c r="E9" i="7"/>
  <c r="F9" i="7"/>
  <c r="G9" i="7"/>
  <c r="H9" i="7"/>
  <c r="I9" i="7"/>
  <c r="J9" i="7"/>
  <c r="C12" i="35"/>
  <c r="D12" i="35"/>
  <c r="E12" i="35"/>
  <c r="F12" i="35"/>
  <c r="G12" i="35"/>
  <c r="H12" i="35"/>
  <c r="I12" i="35"/>
  <c r="C9" i="35"/>
  <c r="C10" i="6"/>
  <c r="D10" i="6"/>
  <c r="E10" i="6"/>
  <c r="F10" i="6"/>
  <c r="G10" i="6"/>
  <c r="H10" i="6"/>
  <c r="I10" i="6"/>
  <c r="C7" i="6"/>
  <c r="C11" i="36"/>
  <c r="D11" i="36"/>
  <c r="E11" i="36"/>
  <c r="F11" i="36"/>
  <c r="G11" i="36"/>
  <c r="H11" i="36"/>
  <c r="I11" i="36"/>
  <c r="C8" i="36"/>
  <c r="C6" i="5"/>
  <c r="D6" i="5"/>
  <c r="E6" i="5"/>
  <c r="F6" i="5"/>
  <c r="G6" i="5"/>
  <c r="H6" i="5"/>
  <c r="I6" i="5"/>
  <c r="C3" i="5"/>
  <c r="C6" i="4"/>
  <c r="D6" i="4"/>
  <c r="E6" i="4"/>
  <c r="F6" i="4"/>
  <c r="G6" i="4"/>
  <c r="H6" i="4"/>
  <c r="I6" i="4"/>
  <c r="C3" i="4"/>
  <c r="C82" i="5"/>
  <c r="M42" i="5"/>
  <c r="P43" i="7"/>
  <c r="P48" i="5"/>
  <c r="C103" i="5"/>
  <c r="E103" i="5"/>
  <c r="F103" i="5"/>
  <c r="G103" i="5"/>
  <c r="H103" i="5"/>
  <c r="I103" i="5"/>
  <c r="E9" i="12"/>
  <c r="E8" i="12"/>
  <c r="E7" i="12"/>
  <c r="E6" i="12"/>
  <c r="E5" i="12"/>
  <c r="D73" i="11"/>
  <c r="Q35" i="11"/>
  <c r="I43" i="11"/>
  <c r="H43" i="11"/>
  <c r="G43" i="11"/>
  <c r="F43" i="11"/>
  <c r="E43" i="11"/>
  <c r="D43" i="11"/>
  <c r="C43" i="11"/>
  <c r="I8" i="11"/>
  <c r="H8" i="11"/>
  <c r="G8" i="11"/>
  <c r="F8" i="11"/>
  <c r="E8" i="11"/>
  <c r="D8" i="11"/>
  <c r="C8" i="11"/>
  <c r="D39" i="9"/>
  <c r="Q27" i="9"/>
  <c r="I8" i="9"/>
  <c r="H8" i="9"/>
  <c r="G8" i="9"/>
  <c r="F8" i="9"/>
  <c r="E8" i="9"/>
  <c r="D8" i="9"/>
  <c r="C8" i="9"/>
  <c r="T43" i="7"/>
  <c r="S43" i="7"/>
  <c r="R43" i="7"/>
  <c r="Q43" i="7"/>
  <c r="D103" i="5"/>
  <c r="C5" i="9"/>
  <c r="C5" i="11"/>
  <c r="D6" i="7"/>
</calcChain>
</file>

<file path=xl/sharedStrings.xml><?xml version="1.0" encoding="utf-8"?>
<sst xmlns="http://schemas.openxmlformats.org/spreadsheetml/2006/main" count="2266" uniqueCount="451">
  <si>
    <t>Ene</t>
  </si>
  <si>
    <t>Enero</t>
  </si>
  <si>
    <t>DÍA INÍCIO</t>
  </si>
  <si>
    <t>Feb</t>
  </si>
  <si>
    <t>Febrero</t>
  </si>
  <si>
    <t>Mar</t>
  </si>
  <si>
    <t>Marzo</t>
  </si>
  <si>
    <t>Abr</t>
  </si>
  <si>
    <t>Abril</t>
  </si>
  <si>
    <t>May</t>
  </si>
  <si>
    <t>Mayo</t>
  </si>
  <si>
    <t>Jun</t>
  </si>
  <si>
    <t>Junio</t>
  </si>
  <si>
    <t>DÍA PUBLICACIÓN</t>
  </si>
  <si>
    <t>Jul</t>
  </si>
  <si>
    <t>Julio</t>
  </si>
  <si>
    <t>Ago</t>
  </si>
  <si>
    <t>Agosto</t>
  </si>
  <si>
    <t>Sep</t>
  </si>
  <si>
    <t>Septiembre</t>
  </si>
  <si>
    <t>Oct</t>
  </si>
  <si>
    <t>Octubre</t>
  </si>
  <si>
    <t>Nov</t>
  </si>
  <si>
    <t>Noviembre</t>
  </si>
  <si>
    <t>Dic</t>
  </si>
  <si>
    <t>Diciembre</t>
  </si>
  <si>
    <t>LUN</t>
  </si>
  <si>
    <t>MAR</t>
  </si>
  <si>
    <t>MIE</t>
  </si>
  <si>
    <t>JUE</t>
  </si>
  <si>
    <t>VIE</t>
  </si>
  <si>
    <t>SAB</t>
  </si>
  <si>
    <t>DOM</t>
  </si>
  <si>
    <t xml:space="preserve"> NOMBRE DE LOS AGENTES</t>
  </si>
  <si>
    <t>D</t>
  </si>
  <si>
    <t>CF</t>
  </si>
  <si>
    <t>ORTEGA AZUAR, DANIEL</t>
  </si>
  <si>
    <t>DE LAMA GONZALEZ, CARLOS</t>
  </si>
  <si>
    <t>BOU SERRALTA, MIGUEL ANGEL</t>
  </si>
  <si>
    <t>629 439 426</t>
  </si>
  <si>
    <t>MONICA NUÑEZ (GESTORA)</t>
  </si>
  <si>
    <t>618 610 307</t>
  </si>
  <si>
    <t>M.DOLORES MARTINEZ (GESTORA)</t>
  </si>
  <si>
    <t>Ferrocarrils de la Generalitat Valenciana</t>
  </si>
  <si>
    <t>USI TRANVIA ALICANTE</t>
  </si>
  <si>
    <t>MARTIN DE LA RIVA, ANGEL JESUS</t>
  </si>
  <si>
    <t>GARCIA ABASCAL, MARIA AMALIA</t>
  </si>
  <si>
    <t>FERNANDEZ-CAÑADAS JIMENEZ-ORTIZ, EDUARDO</t>
  </si>
  <si>
    <t>CARBONELL ASENSI, MIGUEL ANGEL</t>
  </si>
  <si>
    <t>SALINAS VARO, RAFAEL</t>
  </si>
  <si>
    <t>MARTINEZ ALMAGRO, FRANCISCO RAFAEL</t>
  </si>
  <si>
    <t>MARTINEZ CLIMENT, MARIA VANESA</t>
  </si>
  <si>
    <t>ASENSI LOPEZ, SERGIO</t>
  </si>
  <si>
    <t>GRÁFICO DE LA DEPENDENCIA DE BENIDORM</t>
  </si>
  <si>
    <t>GRÁFICO SERVICIO USIS</t>
  </si>
  <si>
    <t>GOMEZ BARRERA, JOSE MARIA</t>
  </si>
  <si>
    <t>MURO VENEGAS, JOSE</t>
  </si>
  <si>
    <t>SANJUAN IZQUIERDO, YOLANDA</t>
  </si>
  <si>
    <t>DE LA TORRE HERRERA, RICARDO</t>
  </si>
  <si>
    <t>COLLADO MASCAROS, IVAN</t>
  </si>
  <si>
    <t>MENA DIAZ, VICTOR</t>
  </si>
  <si>
    <t>CARMONA GARCIA, DIEGO JOSE</t>
  </si>
  <si>
    <t>CABRERA GUERRERO, ENRIQUE</t>
  </si>
  <si>
    <t>GOMEZ MARTIN, JAIME</t>
  </si>
  <si>
    <t>GRÁFICO DE LA DEPENDENCIA DE DÉNIA</t>
  </si>
  <si>
    <t>IBAÑEZ CAPDEVILA, CARLOS</t>
  </si>
  <si>
    <t>GARCIA MUT, JOSE DANIEL</t>
  </si>
  <si>
    <t>NICOLAU ESCRIVA, LYDIA</t>
  </si>
  <si>
    <t>GRÁFICO DE LA DEPENDENCIA PUESTO MANDO-REGULADORES</t>
  </si>
  <si>
    <t>C. F.</t>
  </si>
  <si>
    <t>GRÁFICO DE LA DEPENDENCIA USIS ATENCION CENTRALIZADA</t>
  </si>
  <si>
    <t>CANO CERVERA, MARIA DE LA CRUZ</t>
  </si>
  <si>
    <t>CANO CERVERA, ANA ISABEL</t>
  </si>
  <si>
    <t>GRÁFICO AGENTES EN FORMACIÓN</t>
  </si>
  <si>
    <t>GARCIA GARCIA, ISMAEL</t>
  </si>
  <si>
    <t>MARTIN SANCHEZ, ALBERTO</t>
  </si>
  <si>
    <t>V</t>
  </si>
  <si>
    <t>E</t>
  </si>
  <si>
    <t>GARCIA VIVIENTE, MARCO</t>
  </si>
  <si>
    <t>HAB</t>
  </si>
  <si>
    <t>M</t>
  </si>
  <si>
    <t>REIG JOVER, PEDRO MIGUEL</t>
  </si>
  <si>
    <t>BENIDORM</t>
  </si>
  <si>
    <t>C</t>
  </si>
  <si>
    <t>SORIANO DIANA, LORENZO</t>
  </si>
  <si>
    <t>TROL CRESPO, JOAQUÍN DAVID</t>
  </si>
  <si>
    <t>GARCÍA MARTÍNEZ,JOSE ANTONIO</t>
  </si>
  <si>
    <t>GONZÁLEZ MUÑOZ, FERNANDO</t>
  </si>
  <si>
    <t>LÓPEZ REDONDO, ALEJANDRO</t>
  </si>
  <si>
    <t>11DP</t>
  </si>
  <si>
    <t>12DP</t>
  </si>
  <si>
    <t>13DP</t>
  </si>
  <si>
    <t>15DP</t>
  </si>
  <si>
    <t>14DP</t>
  </si>
  <si>
    <t>TURNO</t>
  </si>
  <si>
    <t>INICIO</t>
  </si>
  <si>
    <t>FIN</t>
  </si>
  <si>
    <t>JORNADA</t>
  </si>
  <si>
    <t>TRENES QUE ACOMPAÑA EL ASPIRANTE, EN CABINA, PARA CONOCIMIENTO DE INFRAESTUCTURA CM-TC-B</t>
  </si>
  <si>
    <t>1201, 1002 a CM, 1007 de CM, 1010 a CM, 1017 de CM, 1020 a CM, 3029 de CM a TC</t>
  </si>
  <si>
    <t>3012 a CM, 1001 de CM, 1004 a CM, 1009 de CM, 1012 a CM, 1019 de CM, 1022 a CM, 3029 de CM a TC</t>
  </si>
  <si>
    <t>4202 a CM, 1003 de CM, 1006 a CM, 1011 de CM, 1014 a CM, 1021 de CM, 1024 a CM, 3031 de CM a TC</t>
  </si>
  <si>
    <t>3052 a CM, 1035 de CM, 1038 a CM, 1043 de CM, 1016 a CM, 1053 de CM, 1056 a CM, Tren-Taxi Especial T-50 (21:10 h)</t>
  </si>
  <si>
    <t>3056 a CM, 1037 de CM, 1040 a CM, 1045 de CM, 1048 a CM, 1055 de CM, 1058 a CM, 3071 de CM a TC</t>
  </si>
  <si>
    <t>LA  TOMA Y DEJE DE SERVICIO SE REALIZARÁ EN TALLERES CAMPELLO. SOLICITARÁ AL FACTOR DE CIRCULACIÓN IMPRESO REGISTRO CONOCIMIENTO INFRAESTRUCTURA</t>
  </si>
  <si>
    <t>ESTE IMPRESO SE ENTREGARÁ CUMPLIMENTADO AL TÉCNICO DE LÍNEA EL DÍA DE LA HABILITACIÓN JUNTO A LAS HOJAS BLANCAS DE LOS BOLETINES DE TRACCIÓN</t>
  </si>
  <si>
    <t>MIRAD EN LA SIGUIENTE HOJA EL HORARIO DE LOS TURNOS</t>
  </si>
  <si>
    <t>HAB M</t>
  </si>
  <si>
    <t>7:30-15:00</t>
  </si>
  <si>
    <t>14:30-22:00</t>
  </si>
  <si>
    <t xml:space="preserve">HABILITACIONES (EN BENIDORM): </t>
  </si>
  <si>
    <t xml:space="preserve">HAB T </t>
  </si>
  <si>
    <t xml:space="preserve">GRÁFICO SERVICIO MAQUINISTAS </t>
  </si>
  <si>
    <t xml:space="preserve"> </t>
  </si>
  <si>
    <t>FERNANDEZ SANZ, AARON</t>
  </si>
  <si>
    <t xml:space="preserve">JUE </t>
  </si>
  <si>
    <t xml:space="preserve">SAB </t>
  </si>
  <si>
    <t>T</t>
  </si>
  <si>
    <t>DANIEL HERNANDEZ CHAMBERS</t>
  </si>
  <si>
    <t xml:space="preserve">TURNO 9 : DE 7:00 A 15:09       TURNO 10 : DE 14.00 A 22:09          </t>
  </si>
  <si>
    <t>LOMAS RODRIGUEZ, GUILLERMO</t>
  </si>
  <si>
    <t>GARCÍA CÁMARA, ANGELES</t>
  </si>
  <si>
    <t>MAQUINISTAS</t>
  </si>
  <si>
    <t>SÁNCHEZ GARCÍA, INMACULADA</t>
  </si>
  <si>
    <t>MALAGA BROTONS, LORENA</t>
  </si>
  <si>
    <t>RUIZ BOHAJAR, ROMAN</t>
  </si>
  <si>
    <t>SORIANO MUÑOZ, IGNACIO</t>
  </si>
  <si>
    <t>LLORET ARAGONES, JAUME</t>
  </si>
  <si>
    <t>RUIZ ZAMORA, GUSTAVO</t>
  </si>
  <si>
    <t>CHECA VILLAR, ANDRES</t>
  </si>
  <si>
    <t>PERAL LARA, LUIS JAVIER</t>
  </si>
  <si>
    <t>GONZALES CORDOVA, GERALDIN E.</t>
  </si>
  <si>
    <t>TENDERO BLANCO, RAQUEL</t>
  </si>
  <si>
    <t xml:space="preserve">GALIPIENSO BUFORT, FRANCISCO </t>
  </si>
  <si>
    <t>ORLANDO PEDRÓS SANTOS</t>
  </si>
  <si>
    <t>CRISTINA PARDO RUBIO</t>
  </si>
  <si>
    <t>JOSE MANUEL PEREZ FUSTER</t>
  </si>
  <si>
    <t>GONZALEZ MARTINEZ, LUIS</t>
  </si>
  <si>
    <t>SABATER ALONSO, MARIA ELISA</t>
  </si>
  <si>
    <t>FAR PEREZ, HILARIO VICENTE</t>
  </si>
  <si>
    <t>ORTS TARI, ENCARNACION</t>
  </si>
  <si>
    <t>MARTÍNEZ GARCÍA, LORENA MARIA</t>
  </si>
  <si>
    <t>MONTOYO GARCÍA, GENARO</t>
  </si>
  <si>
    <t>LÓPEZ VEGARA, ESTEFANÍA</t>
  </si>
  <si>
    <t>FUENTES GARCIA, MARIA VICTORIA</t>
  </si>
  <si>
    <t>GONZALEZ ZAMORA, FRANCISCO JAVIER</t>
  </si>
  <si>
    <t>BELTRAN GONZALEZ, NOEMÍ</t>
  </si>
  <si>
    <t>LIMONCHI ROSALES, FRANCISCO J.</t>
  </si>
  <si>
    <t>SIRERA PASTOR,  JOSE JORGE</t>
  </si>
  <si>
    <t>TENDERO BLANCO, SONIA</t>
  </si>
  <si>
    <t>GOMEZ ACEDO, RAUL</t>
  </si>
  <si>
    <t>LAURA SERRANO JOVER</t>
  </si>
  <si>
    <t>BALTANAS UGARTE, ITZIAR</t>
  </si>
  <si>
    <t>AGULLO POVEDA, TERESA</t>
  </si>
  <si>
    <t>LOPEZ REIG, NOELIA</t>
  </si>
  <si>
    <t>CHUST LAVAIG, AIDA</t>
  </si>
  <si>
    <t>GARCIA ROMERA, ANA MARIA</t>
  </si>
  <si>
    <t>STDR</t>
  </si>
  <si>
    <t>HORARIO DE 9:00 A 16:30</t>
  </si>
  <si>
    <t>BIELSA NOGUES, ERNESTO</t>
  </si>
  <si>
    <t>CORDOBA ROMERO, JAVIER</t>
  </si>
  <si>
    <t>GRÁFICO DE PRÁCTICAS MAQUINISTAS ELÉCTRICO</t>
  </si>
  <si>
    <t>GOMEZ PEREZ, MIGUEL ANGEL</t>
  </si>
  <si>
    <t>ROMERO BONNIER, RAQUEL</t>
  </si>
  <si>
    <t>SANTO SALA, LOURDES</t>
  </si>
  <si>
    <t>DELTELL CORPAS, NAZARET</t>
  </si>
  <si>
    <t>ORTIZ RUBIO, LUIS MANUEL</t>
  </si>
  <si>
    <t>DÍAZ CASTAÑO, ROBERTO</t>
  </si>
  <si>
    <t>NAVARRO BRAU, NATALIA</t>
  </si>
  <si>
    <t>LÓPEZ SUBIELA, JOAQUÍN</t>
  </si>
  <si>
    <t>SANCHEZ BUENO, BEGOÑA</t>
  </si>
  <si>
    <t>VILLACIEROS BOIX, CRISTINA</t>
  </si>
  <si>
    <t>CORCOLES GOMEZ, ANTONIO</t>
  </si>
  <si>
    <t>CUEVAS RODRIGUEZ, SILVIA</t>
  </si>
  <si>
    <t>TORMO CABANES, IVAN</t>
  </si>
  <si>
    <t>MONLEON PASCUAL, DAVID MARCO</t>
  </si>
  <si>
    <t>RODRIGUEZ PECEUX, ANA MARIA</t>
  </si>
  <si>
    <t>GOMEZ CHANA, DAVID</t>
  </si>
  <si>
    <t>LLUCH RODRIGUEZ, JOSE</t>
  </si>
  <si>
    <t>LÓPEZ LÓPEZ, MANUEL</t>
  </si>
  <si>
    <t>MARTINEZ DUET, MARIA JOSE</t>
  </si>
  <si>
    <t>CARTAGENA MAS, JAVIER</t>
  </si>
  <si>
    <t>TOLEDO GARCIA, SONIA</t>
  </si>
  <si>
    <t>SERRANO VALVERDE, IRENE</t>
  </si>
  <si>
    <t>GONGORA GONZALEZ, MARIO</t>
  </si>
  <si>
    <t>CEGARRA VALVERDE, GERMAN</t>
  </si>
  <si>
    <t>GONZALEZ GIL, SILVANA</t>
  </si>
  <si>
    <t>GARCÍA MARTINEZ, JOSÉ ANTONIO</t>
  </si>
  <si>
    <t>LARA NAVARRO, MANUEL</t>
  </si>
  <si>
    <t>MENDOZA RODRIGUEZ, JOSÉ ANTONIO</t>
  </si>
  <si>
    <t>ALBERT RUIZ, ANTONIO</t>
  </si>
  <si>
    <t>LLOPES MOLINA, JUAN MANUEL</t>
  </si>
  <si>
    <t>PASTOR BERTOMEU, JAIME JUAN</t>
  </si>
  <si>
    <t>PEREZ SANTAMARIA, MONICA</t>
  </si>
  <si>
    <t>LORA OLIVER, ESTHER</t>
  </si>
  <si>
    <t>HERNANDEZ SANCHEZ, FRANCISCO JAVIER</t>
  </si>
  <si>
    <t>TORREGROSA REDONDO, JORGE</t>
  </si>
  <si>
    <t>BLANES FRACES, DAVID</t>
  </si>
  <si>
    <t>SANTOS GARCÍA, PATRICIA</t>
  </si>
  <si>
    <t>MORALES ASENSI, ENRIQUE</t>
  </si>
  <si>
    <t>MORA MAÑEZ, SANTA BEGOÑA</t>
  </si>
  <si>
    <t>ESTEVE GIMENO, ENRIQUETA</t>
  </si>
  <si>
    <t>GOMEZ SEGURA, JOSE</t>
  </si>
  <si>
    <t>MORENO BASTANTE, FERNANDO</t>
  </si>
  <si>
    <t/>
  </si>
  <si>
    <t>2C</t>
  </si>
  <si>
    <t>2A</t>
  </si>
  <si>
    <t>2D</t>
  </si>
  <si>
    <t>1C</t>
  </si>
  <si>
    <t>1D</t>
  </si>
  <si>
    <t>1B</t>
  </si>
  <si>
    <t>5C</t>
  </si>
  <si>
    <t>5D</t>
  </si>
  <si>
    <t>3C</t>
  </si>
  <si>
    <t>3A</t>
  </si>
  <si>
    <t>6C</t>
  </si>
  <si>
    <t>6D</t>
  </si>
  <si>
    <t>4B</t>
  </si>
  <si>
    <t>4D</t>
  </si>
  <si>
    <t>4C</t>
  </si>
  <si>
    <t>6A</t>
  </si>
  <si>
    <t>3D</t>
  </si>
  <si>
    <t>1A</t>
  </si>
  <si>
    <t>5B</t>
  </si>
  <si>
    <t>5A</t>
  </si>
  <si>
    <t>2B</t>
  </si>
  <si>
    <t>PONS GIBELI, CATALINA</t>
  </si>
  <si>
    <t>PEREZ CARRILLO, CRISTINA</t>
  </si>
  <si>
    <t>SANMIGUEL ARTES, Mª ANTONIA</t>
  </si>
  <si>
    <t>VARGAS DIAZ, NOEMI</t>
  </si>
  <si>
    <t>DE MEO CANTO, MARIANA</t>
  </si>
  <si>
    <t>6B</t>
  </si>
  <si>
    <t>4A</t>
  </si>
  <si>
    <t>3B</t>
  </si>
  <si>
    <t xml:space="preserve">M </t>
  </si>
  <si>
    <t>GINER VERDU, JOSE - ALEXIS</t>
  </si>
  <si>
    <t>13F</t>
  </si>
  <si>
    <t>6F</t>
  </si>
  <si>
    <t>4F</t>
  </si>
  <si>
    <t>12F</t>
  </si>
  <si>
    <t>11F</t>
  </si>
  <si>
    <t>3F</t>
  </si>
  <si>
    <t>5F</t>
  </si>
  <si>
    <t>CASADO ALCARAZ, FRANCISCO JAVIER</t>
  </si>
  <si>
    <t>BELTRAN LOPEZ, BORJA</t>
  </si>
  <si>
    <t>GILABERT HEREDIA, ANGELA MARÍA</t>
  </si>
  <si>
    <t>10F</t>
  </si>
  <si>
    <t>9F</t>
  </si>
  <si>
    <t>14F</t>
  </si>
  <si>
    <t>RS</t>
  </si>
  <si>
    <t>SP2</t>
  </si>
  <si>
    <t>LC</t>
  </si>
  <si>
    <t>VILCHES GUTIERREZ, SERGIO</t>
  </si>
  <si>
    <t>DOMENECH GARCIA, JOSE TOMAS</t>
  </si>
  <si>
    <t>GRAU GUTIERREZ GUILLERMO</t>
  </si>
  <si>
    <t>MILLAN GRACIA, FRANCISCO  JAVIER</t>
  </si>
  <si>
    <t>PASTOR LLORENS, CARLOS JOAQUIN</t>
  </si>
  <si>
    <t>GOMIS BRU, MIGUEL ANGEL</t>
  </si>
  <si>
    <t>BARRIL ANTUÑA, LORENZO ANGEL</t>
  </si>
  <si>
    <t>GONZALEZ, NAVARRO, RAÚL</t>
  </si>
  <si>
    <t>BLÁZQUEZ ALVAREZ, DAVID</t>
  </si>
  <si>
    <t>DOMENECH PASTOR, RAFAEL</t>
  </si>
  <si>
    <t>SIRVENT SEVILLA, PASCUAL</t>
  </si>
  <si>
    <t>RODRIGUEZ CREMADES, DAVID</t>
  </si>
  <si>
    <t>SERRANO SANTOS, PABLO</t>
  </si>
  <si>
    <t>MARTINEZ PRIETO, ROBERTO CARLOS</t>
  </si>
  <si>
    <t>BERENGUER PEREZ, RAUL</t>
  </si>
  <si>
    <t>CABRERA CONDE, DAVID</t>
  </si>
  <si>
    <t>SEMPERE CARBONELL, JUAN DIEGO</t>
  </si>
  <si>
    <t>MIRALLES MIRALLES, MAITE</t>
  </si>
  <si>
    <t>VICENTE DE HARO, JOSE LAZARO</t>
  </si>
  <si>
    <t>MUÑOZ LOPEZ, FERNANDO JAVIER</t>
  </si>
  <si>
    <t>PALAO IBAÑEZ, MATEO</t>
  </si>
  <si>
    <t>MUÑOZ JIMENEZ, JOSE LUIS</t>
  </si>
  <si>
    <t>COSTA CUENCA, JUAN ANTONIO</t>
  </si>
  <si>
    <t>PACHECO SIRVENT, JOSE ALBERTO</t>
  </si>
  <si>
    <t>GARCÍA PADILLA, VERÓNICA</t>
  </si>
  <si>
    <t>GOMIS PEREZ, PEDRO LUIS</t>
  </si>
  <si>
    <t>LILLO ARACIL, IVAN</t>
  </si>
  <si>
    <t>SANCHEZ MUÑOZ, DIEGO</t>
  </si>
  <si>
    <t>ANDREU GOMEZ, VANESA</t>
  </si>
  <si>
    <t>MAYO POLO, RUBEN</t>
  </si>
  <si>
    <t>PAMIES IBARRA, SERGIO</t>
  </si>
  <si>
    <t>VASCO FLORENCIO, MARIANO</t>
  </si>
  <si>
    <t>SANCHEZ SANCHEZ, ENRIQUE</t>
  </si>
  <si>
    <t>SANCHEZ GALAN, MARIA</t>
  </si>
  <si>
    <t>SERRANO CARLOS, VERONICA</t>
  </si>
  <si>
    <t>MUÑOZ LOPEZ, MARIA CRISTINA</t>
  </si>
  <si>
    <t>SALAVERT ERRAZQUIN, MANUEL</t>
  </si>
  <si>
    <t>ARANDA GOMEZ, PEDRO ENRIQUE</t>
  </si>
  <si>
    <t>MORALES VAELLO, MARIA TERESA</t>
  </si>
  <si>
    <t>REYERO BLANCO, MARGARITA</t>
  </si>
  <si>
    <t>LILLO AVALOS, VICENTE</t>
  </si>
  <si>
    <t>MARI SANCENON, CARLOS</t>
  </si>
  <si>
    <t>RUBIO MARTINEZ, FRANCISCO</t>
  </si>
  <si>
    <t>CLIMENT MORENO, FRANCISCO JAVIER</t>
  </si>
  <si>
    <t>PENALVA MARTINEZ, LUIS</t>
  </si>
  <si>
    <t>LOPEZ REDONDO, ALEJANDRO</t>
  </si>
  <si>
    <t>PAVETTO KUNC, FERNANDO</t>
  </si>
  <si>
    <t>BELTRAN GONZALEZ, ISIDRO MIGUEL</t>
  </si>
  <si>
    <t>PEREZ CAMPILLO, DANIEL EUGENIO</t>
  </si>
  <si>
    <t>LILLO VICO, JUAN CARLOS</t>
  </si>
  <si>
    <t>GALARZO CUADROS, JOSE</t>
  </si>
  <si>
    <t>CARBONELL SIRVENT, LIDIA</t>
  </si>
  <si>
    <t>RICO JEREZ, JUAN CARLOS</t>
  </si>
  <si>
    <t>APARICIO GARCIA, ASUNCION PATRICIA</t>
  </si>
  <si>
    <t>RICO GUIRAO, JUAN JOSE</t>
  </si>
  <si>
    <t>ESTEVE DELTELL, SERGIO</t>
  </si>
  <si>
    <t>SURIA ESCRIBANO, MANUEL</t>
  </si>
  <si>
    <t>SANTERVAS LUENGO, VALERIANO</t>
  </si>
  <si>
    <t>HENALES RUBIO, SANDRA</t>
  </si>
  <si>
    <t>FERRANDEZ PENALVA, DAVID</t>
  </si>
  <si>
    <t>SANCHEZ MARTINEZ, JORGE</t>
  </si>
  <si>
    <t>MARTINEZ FIDALGO, ESTELA</t>
  </si>
  <si>
    <t>MARTINEZ POMARES, JOSE JAVIER</t>
  </si>
  <si>
    <t>DOMENECH PASTOR, RAMON</t>
  </si>
  <si>
    <t>MUÑOZ LLINARES, AMPARO</t>
  </si>
  <si>
    <t>JOVER FERNANDEZ, JOSE LUIS</t>
  </si>
  <si>
    <t>MOROTE FERNANDEZ DE MERA, ESTEFANIA</t>
  </si>
  <si>
    <t>CALPENA HERNANDEZ, PEDRO MIGUEL</t>
  </si>
  <si>
    <t>QUILES GADEA, RAMÓN JOSE</t>
  </si>
  <si>
    <t>OLIVER GUARDIOLA, JAVIER</t>
  </si>
  <si>
    <t>CUTILLAS HOSTALED, ANDREA</t>
  </si>
  <si>
    <t>PANTOJA CAPLIN, GUILLERMO</t>
  </si>
  <si>
    <t>TORRES ROMERO, FRANCISCO JAVIER</t>
  </si>
  <si>
    <t>JURADO COLOMA, JUAN FRANCISCO</t>
  </si>
  <si>
    <t>VELA TRONCOSO, EVA</t>
  </si>
  <si>
    <t>MARQUEZ LOPEZ, JOSE MIGUEL</t>
  </si>
  <si>
    <t>TROL CRESPO, J.DAVID</t>
  </si>
  <si>
    <t>RODRIGUEZ SANJUAN, SONIA</t>
  </si>
  <si>
    <t>GARIJO CALERO, JORGE</t>
  </si>
  <si>
    <t>RECHE GARCIA, ANDREA</t>
  </si>
  <si>
    <t>TERCERO GIMENEZ, DANIEL</t>
  </si>
  <si>
    <t>CASTAÑO GONZALEZ, JOSE JUAN</t>
  </si>
  <si>
    <t>MARTINEZ MARTINEZ, SERGIO</t>
  </si>
  <si>
    <t>MARTINEZ GARCIA, JUAN JOSE</t>
  </si>
  <si>
    <t>SANCHEZ ORTS, MARIA ELENA</t>
  </si>
  <si>
    <t>MARCET LLORENS, PEDRO</t>
  </si>
  <si>
    <t>GIL MARTIN, JOSÉ IGNACIO</t>
  </si>
  <si>
    <t>LOPEZ CIFUENTES, DANIEL</t>
  </si>
  <si>
    <t>SCAGLIARINI GALIANO, CHRISTINA</t>
  </si>
  <si>
    <t>RODIEL ESTANISLAO, ANTONIO</t>
  </si>
  <si>
    <t>CORCOLES BASCUÑANA, MANUEL</t>
  </si>
  <si>
    <t>GARCIA REVERT, GUADALUPE</t>
  </si>
  <si>
    <t>DE LAS HERAS ROMAN, IVAN</t>
  </si>
  <si>
    <t>MUÑOZ HERNANDEZ, FERNANDO</t>
  </si>
  <si>
    <t>NAVARRO MOROTE, SANDRA</t>
  </si>
  <si>
    <t>LLORET PEREZ, VICENTE</t>
  </si>
  <si>
    <t>NAVAS ESCALONA, JOSE MARIA</t>
  </si>
  <si>
    <t>BLEDA MARTIN, JOSE JAVIER</t>
  </si>
  <si>
    <t>SAIZ PADILLA, ALEJANDRO</t>
  </si>
  <si>
    <t>RUIZ GOMEZ-MARAÑON, LARA</t>
  </si>
  <si>
    <t>IBORRA SORIA, JOSE GIL</t>
  </si>
  <si>
    <t>SANCHEZ MARTINEZ, JOSÉ MIGUEL</t>
  </si>
  <si>
    <t>GRAU TORMO, MARIA DEL CARMEN</t>
  </si>
  <si>
    <t>TRISTÁN SÁNCHEZ, ROCIO</t>
  </si>
  <si>
    <t>VALERO SERRANO, ANTONIO J</t>
  </si>
  <si>
    <t>NUÑEZ NAVARRO, ALEJANDRO</t>
  </si>
  <si>
    <t>MORENO COSTA, JOSÉ MARÍA</t>
  </si>
  <si>
    <t>PEREZ ORTIZ, JESUS</t>
  </si>
  <si>
    <t>BAEZA TENDERO, JUAN JOSÉ</t>
  </si>
  <si>
    <t>PEDROS PLANELLES, EDUARDO</t>
  </si>
  <si>
    <t>RODRIGUEZ SANJUAN, MIRIAN</t>
  </si>
  <si>
    <t>PEREZ AINSA, SANTIAGO</t>
  </si>
  <si>
    <t>GARCIA PADILLA, RAFAEL</t>
  </si>
  <si>
    <t>JURADO VICTORIA, ALBERTO</t>
  </si>
  <si>
    <t>VICENTE CAVAS, MARCOS JESUS</t>
  </si>
  <si>
    <t>PIQUERAS MORENO, RAUL</t>
  </si>
  <si>
    <t>GARCIA SORIANO, PEDRO JOSE</t>
  </si>
  <si>
    <t>SOLER BLASCO, FRANCISCA</t>
  </si>
  <si>
    <t>GONZALEZ SERRANO, INMACULADA</t>
  </si>
  <si>
    <t>CERDA MOLAS, DANIEL</t>
  </si>
  <si>
    <t>LLINARES PASTOR, VIRGINIA</t>
  </si>
  <si>
    <t>CAMACHO BARRACHINA, SANTIAGO</t>
  </si>
  <si>
    <t>JIMENEZ RAMIREZ, ANDRES</t>
  </si>
  <si>
    <t>VICENTE MARTINEZ, ALEJANDRO</t>
  </si>
  <si>
    <t>VENTURA MARTÍNEZ, VLADIMIR</t>
  </si>
  <si>
    <t>CABRERA DUEÑAS, MARIA</t>
  </si>
  <si>
    <t>ALVAREZ MOLINA, JONATAN</t>
  </si>
  <si>
    <t>JUAN DE LA CRUZ, MANUEL</t>
  </si>
  <si>
    <t>RAMÓN MILLA, MARÍA TERESA</t>
  </si>
  <si>
    <t>MONCHO ALAMAR, JOSE</t>
  </si>
  <si>
    <t>SEGURA MIGUEL, BORJA</t>
  </si>
  <si>
    <t>DONOSO GARCIA, ANA ISABEL</t>
  </si>
  <si>
    <t>MONTOLIO COLAS, DIEGO</t>
  </si>
  <si>
    <t>ESTEVE DOMENECH, CLARA</t>
  </si>
  <si>
    <t>MARTÍNEZ MIRA, ALBERTO</t>
  </si>
  <si>
    <t>NAVARRO MARTÍNEZ, MARÍA</t>
  </si>
  <si>
    <t>MARÍA SAURA, FERNANDO</t>
  </si>
  <si>
    <t>MARTINEZ GOMEZ, CARLOS</t>
  </si>
  <si>
    <t>TABANERA FERNANDEZ, DANIEL</t>
  </si>
  <si>
    <t>SOLER GALLEGO, CARLOS</t>
  </si>
  <si>
    <t>PSIC</t>
  </si>
  <si>
    <t>AV</t>
  </si>
  <si>
    <t>57F</t>
  </si>
  <si>
    <t>45F</t>
  </si>
  <si>
    <t>39F</t>
  </si>
  <si>
    <t>7F</t>
  </si>
  <si>
    <t>17F</t>
  </si>
  <si>
    <t>35F</t>
  </si>
  <si>
    <t>29F</t>
  </si>
  <si>
    <t>46F</t>
  </si>
  <si>
    <t>22F</t>
  </si>
  <si>
    <t>55F</t>
  </si>
  <si>
    <t>34F</t>
  </si>
  <si>
    <t>36F</t>
  </si>
  <si>
    <t>26F</t>
  </si>
  <si>
    <t>27F</t>
  </si>
  <si>
    <t>49F</t>
  </si>
  <si>
    <t>8F</t>
  </si>
  <si>
    <t>30F</t>
  </si>
  <si>
    <t>21F</t>
  </si>
  <si>
    <t>19F</t>
  </si>
  <si>
    <t>20F</t>
  </si>
  <si>
    <t>24F</t>
  </si>
  <si>
    <t>15F</t>
  </si>
  <si>
    <t>2F</t>
  </si>
  <si>
    <t>59F</t>
  </si>
  <si>
    <t>52F</t>
  </si>
  <si>
    <t>25F</t>
  </si>
  <si>
    <t>38F</t>
  </si>
  <si>
    <t>1F</t>
  </si>
  <si>
    <t>47F</t>
  </si>
  <si>
    <t>18F</t>
  </si>
  <si>
    <t>40F</t>
  </si>
  <si>
    <t>23F</t>
  </si>
  <si>
    <t>43F</t>
  </si>
  <si>
    <t>48F</t>
  </si>
  <si>
    <t>33F</t>
  </si>
  <si>
    <t>53F</t>
  </si>
  <si>
    <t>54F</t>
  </si>
  <si>
    <t>28F</t>
  </si>
  <si>
    <t>44F</t>
  </si>
  <si>
    <t>37F</t>
  </si>
  <si>
    <t>32F</t>
  </si>
  <si>
    <t>51F</t>
  </si>
  <si>
    <t>50F</t>
  </si>
  <si>
    <t>56F</t>
  </si>
  <si>
    <t>e</t>
  </si>
  <si>
    <t>41F</t>
  </si>
  <si>
    <t>REC</t>
  </si>
  <si>
    <t>16F</t>
  </si>
  <si>
    <t>ESP</t>
  </si>
  <si>
    <t>60F</t>
  </si>
  <si>
    <t>31F</t>
  </si>
  <si>
    <t>42F</t>
  </si>
  <si>
    <t>58F</t>
  </si>
  <si>
    <t>DC</t>
  </si>
  <si>
    <t>jui</t>
  </si>
  <si>
    <t>PERICAS JURADO, BRUNO</t>
  </si>
  <si>
    <t>PÉREZ MARTÍN, CARLOS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</si>
</sst>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dd"/>
  </numFmts>
  <fonts count="91"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2"/>
      <name val="MS Sans Serif"/>
    </font>
    <font>
      <b/>
      <sz val="11"/>
      <color theme="1"/>
      <name val="Calibri"/>
      <family val="2"/>
      <scheme val="minor"/>
    </font>
    <font>
      <sz val="22"/>
      <color theme="1"/>
      <name val="Calibri"/>
      <family val="2"/>
      <scheme val="minor"/>
    </font>
    <font>
      <sz val="12"/>
      <name val="Arial"/>
      <family val="2"/>
    </font>
    <font>
      <b/>
      <sz val="12"/>
      <name val="Arial"/>
      <family val="2"/>
    </font>
    <font>
      <b/>
      <sz val="14"/>
      <name val="Arial"/>
      <family val="2"/>
    </font>
    <font>
      <sz val="14"/>
      <name val="Arial"/>
      <family val="2"/>
    </font>
    <font>
      <b/>
      <sz val="14"/>
      <color indexed="2"/>
      <name val="Arial"/>
      <family val="2"/>
    </font>
    <font>
      <sz val="11"/>
      <name val="MS Sans Serif"/>
    </font>
    <font>
      <sz val="14"/>
      <name val="MS Sans Serif"/>
    </font>
    <font>
      <b/>
      <sz val="14"/>
      <color indexed="64"/>
      <name val="Arial"/>
      <family val="2"/>
    </font>
    <font>
      <sz val="10"/>
      <name val="Calibri"/>
      <family val="2"/>
      <scheme val="minor"/>
    </font>
    <font>
      <b/>
      <sz val="10"/>
      <name val="Calibri"/>
      <family val="2"/>
      <scheme val="minor"/>
    </font>
    <font>
      <sz val="8"/>
      <name val="Calibri"/>
      <family val="2"/>
      <scheme val="minor"/>
    </font>
    <font>
      <sz val="14"/>
      <color indexed="64"/>
      <name val="Arial"/>
      <family val="2"/>
    </font>
    <font>
      <sz val="8"/>
      <name val="Arial"/>
      <family val="2"/>
    </font>
    <font>
      <b/>
      <sz val="10"/>
      <name val="Arial"/>
      <family val="2"/>
    </font>
    <font>
      <sz val="10"/>
      <color indexed="64"/>
      <name val="Arial"/>
      <family val="2"/>
    </font>
    <font>
      <b/>
      <sz val="24"/>
      <color indexed="64"/>
      <name val="Arial"/>
      <family val="2"/>
    </font>
    <font>
      <b/>
      <sz val="11"/>
      <color indexed="2"/>
      <name val="Arial"/>
      <family val="2"/>
    </font>
    <font>
      <b/>
      <sz val="13"/>
      <color indexed="64"/>
      <name val="Arial"/>
      <family val="2"/>
    </font>
    <font>
      <b/>
      <sz val="12"/>
      <color indexed="4"/>
      <name val="Arial"/>
      <family val="2"/>
    </font>
    <font>
      <b/>
      <sz val="11"/>
      <name val="Arial"/>
      <family val="2"/>
    </font>
    <font>
      <b/>
      <sz val="12"/>
      <color indexed="2"/>
      <name val="Arial"/>
      <family val="2"/>
    </font>
    <font>
      <b/>
      <sz val="12"/>
      <color indexed="64"/>
      <name val="Arial"/>
      <family val="2"/>
    </font>
    <font>
      <b/>
      <sz val="12"/>
      <color theme="1"/>
      <name val="Arial"/>
      <family val="2"/>
    </font>
    <font>
      <b/>
      <sz val="14"/>
      <color theme="1"/>
      <name val="Arial"/>
      <family val="2"/>
    </font>
    <font>
      <sz val="10"/>
      <color theme="1"/>
      <name val="Arial"/>
      <family val="2"/>
    </font>
    <font>
      <b/>
      <sz val="8"/>
      <name val="Arial"/>
      <family val="2"/>
    </font>
    <font>
      <b/>
      <sz val="15"/>
      <name val="Arial"/>
      <family val="2"/>
    </font>
    <font>
      <b/>
      <u/>
      <sz val="11"/>
      <name val="Arial"/>
      <family val="2"/>
    </font>
    <font>
      <b/>
      <sz val="14"/>
      <color indexed="4"/>
      <name val="Arial"/>
      <family val="2"/>
    </font>
    <font>
      <b/>
      <u/>
      <sz val="12"/>
      <name val="Arial"/>
      <family val="2"/>
    </font>
    <font>
      <sz val="12"/>
      <color indexed="64"/>
      <name val="Arial"/>
      <family val="2"/>
    </font>
    <font>
      <sz val="8"/>
      <name val="Times New Roman"/>
      <family val="1"/>
    </font>
    <font>
      <b/>
      <sz val="8"/>
      <name val="Times New Roman"/>
      <family val="1"/>
    </font>
    <font>
      <b/>
      <sz val="10"/>
      <name val="MS Sans Serif"/>
    </font>
    <font>
      <b/>
      <sz val="15"/>
      <name val="Arial MT Black"/>
    </font>
    <font>
      <b/>
      <u/>
      <sz val="11"/>
      <name val="Arial MT Black"/>
    </font>
    <font>
      <sz val="10"/>
      <name val="MS Sans Serif"/>
    </font>
    <font>
      <sz val="10"/>
      <name val="Times New Roman"/>
      <family val="1"/>
    </font>
    <font>
      <b/>
      <sz val="12"/>
      <name val="MS Sans Serif"/>
    </font>
    <font>
      <b/>
      <sz val="10"/>
      <name val="Times New Roman"/>
      <family val="1"/>
    </font>
    <font>
      <sz val="8.5"/>
      <name val="MS Sans Serif"/>
    </font>
    <font>
      <sz val="13"/>
      <name val="Times New Roman"/>
      <family val="1"/>
    </font>
    <font>
      <b/>
      <sz val="10"/>
      <color indexed="17"/>
      <name val="MS Sans Serif"/>
    </font>
    <font>
      <sz val="12"/>
      <color indexed="4"/>
      <name val="Arial"/>
      <family val="2"/>
    </font>
    <font>
      <sz val="10"/>
      <color indexed="2"/>
      <name val="MS Sans Serif"/>
    </font>
    <font>
      <sz val="11"/>
      <color theme="1"/>
      <name val="Calibri"/>
      <family val="2"/>
      <scheme val="minor"/>
    </font>
    <font>
      <b/>
      <sz val="14"/>
      <color rgb="FFFF0000"/>
      <name val="Arial"/>
      <family val="2"/>
    </font>
    <font>
      <b/>
      <sz val="12"/>
      <color theme="1"/>
      <name val="Calibri"/>
      <family val="2"/>
      <scheme val="minor"/>
    </font>
    <font>
      <sz val="10"/>
      <color theme="1"/>
      <name val="Calibri"/>
      <family val="2"/>
      <scheme val="minor"/>
    </font>
    <font>
      <b/>
      <sz val="12"/>
      <name val="Times New Roman"/>
      <family val="1"/>
    </font>
    <font>
      <sz val="11"/>
      <name val="Calibri"/>
      <family val="2"/>
      <scheme val="minor"/>
    </font>
    <font>
      <b/>
      <sz val="9"/>
      <name val="Arial"/>
      <family val="2"/>
    </font>
    <font>
      <b/>
      <sz val="16"/>
      <name val="Arial"/>
      <family val="2"/>
    </font>
    <font>
      <b/>
      <sz val="11"/>
      <name val="Arial Black"/>
      <family val="2"/>
    </font>
    <font>
      <b/>
      <sz val="14"/>
      <color theme="4" tint="-0.499984740745262"/>
      <name val="Arial"/>
      <family val="2"/>
    </font>
    <font>
      <sz val="11"/>
      <name val="Arial"/>
      <family val="2"/>
    </font>
    <font>
      <b/>
      <sz val="11"/>
      <color indexed="64"/>
      <name val="Arial"/>
      <family val="2"/>
    </font>
    <font>
      <sz val="16"/>
      <name val="Arial"/>
      <family val="2"/>
    </font>
    <font>
      <b/>
      <sz val="16"/>
      <color indexed="64"/>
      <name val="Arial"/>
      <family val="2"/>
    </font>
    <font>
      <sz val="16"/>
      <color indexed="64"/>
      <name val="Arial"/>
      <family val="2"/>
    </font>
    <font>
      <b/>
      <sz val="16"/>
      <color indexed="4"/>
      <name val="Arial"/>
      <family val="2"/>
    </font>
    <font>
      <b/>
      <sz val="12"/>
      <color rgb="FFFF0000"/>
      <name val="Arial"/>
      <family val="2"/>
    </font>
    <font>
      <b/>
      <sz val="20"/>
      <name val="Arial"/>
      <family val="2"/>
    </font>
    <font>
      <b/>
      <sz val="16"/>
      <color theme="1"/>
      <name val="Arial"/>
      <family val="2"/>
    </font>
    <font>
      <b/>
      <sz val="11"/>
      <color theme="1"/>
      <name val="Arial"/>
      <family val="2"/>
    </font>
  </fonts>
  <fills count="24">
    <fill>
      <patternFill patternType="none"/>
    </fill>
    <fill>
      <patternFill patternType="gray125"/>
    </fill>
    <fill>
      <patternFill patternType="solid">
        <fgColor theme="5"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indexed="5"/>
        <bgColor indexed="64"/>
      </patternFill>
    </fill>
    <fill>
      <patternFill patternType="solid">
        <fgColor theme="0"/>
        <bgColor theme="0"/>
      </patternFill>
    </fill>
    <fill>
      <patternFill patternType="solid">
        <fgColor rgb="FFFFFFCC"/>
        <bgColor indexed="64"/>
      </patternFill>
    </fill>
    <fill>
      <patternFill patternType="solid">
        <fgColor theme="0" tint="-4.9989318521683403E-2"/>
        <bgColor indexed="64"/>
      </patternFill>
    </fill>
    <fill>
      <patternFill patternType="solid">
        <fgColor rgb="FFB7FFFF"/>
        <bgColor indexed="64"/>
      </patternFill>
    </fill>
    <fill>
      <patternFill patternType="solid">
        <fgColor rgb="FFFFD9FF"/>
        <bgColor indexed="64"/>
      </patternFill>
    </fill>
    <fill>
      <patternFill patternType="solid">
        <fgColor indexed="26"/>
        <bgColor indexed="64"/>
      </patternFill>
    </fill>
    <fill>
      <patternFill patternType="solid">
        <fgColor rgb="FFCCCCFF"/>
        <bgColor indexed="64"/>
      </patternFill>
    </fill>
    <fill>
      <patternFill patternType="solid">
        <fgColor theme="7" tint="0.79998168889431442"/>
        <bgColor indexed="64"/>
      </patternFill>
    </fill>
    <fill>
      <patternFill patternType="solid">
        <fgColor rgb="FFFFFF99"/>
        <bgColor indexed="64"/>
      </patternFill>
    </fill>
    <fill>
      <patternFill patternType="solid">
        <fgColor rgb="FF92D050"/>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rgb="FFFFFFFF"/>
        <bgColor indexed="64"/>
      </patternFill>
    </fill>
    <fill>
      <patternFill patternType="solid">
        <fgColor theme="0" tint="-0.249977111117893"/>
        <bgColor theme="0"/>
      </patternFill>
    </fill>
  </fills>
  <borders count="7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diagonal/>
    </border>
    <border>
      <left/>
      <right style="double">
        <color indexed="64"/>
      </right>
      <top style="double">
        <color indexed="64"/>
      </top>
      <bottom/>
      <diagonal/>
    </border>
    <border>
      <left style="double">
        <color indexed="64"/>
      </left>
      <right style="medium">
        <color indexed="64"/>
      </right>
      <top/>
      <bottom style="double">
        <color indexed="64"/>
      </bottom>
      <diagonal/>
    </border>
    <border>
      <left style="double">
        <color indexed="64"/>
      </left>
      <right/>
      <top/>
      <bottom style="double">
        <color indexed="64"/>
      </bottom>
      <diagonal/>
    </border>
    <border>
      <left style="double">
        <color indexed="64"/>
      </left>
      <right style="double">
        <color indexed="64"/>
      </right>
      <top/>
      <bottom style="double">
        <color indexed="64"/>
      </bottom>
      <diagonal/>
    </border>
    <border>
      <left/>
      <right style="double">
        <color indexed="64"/>
      </right>
      <top/>
      <bottom/>
      <diagonal/>
    </border>
    <border>
      <left style="double">
        <color indexed="64"/>
      </left>
      <right style="double">
        <color indexed="64"/>
      </right>
      <top/>
      <bottom/>
      <diagonal/>
    </border>
    <border>
      <left style="medium">
        <color indexed="64"/>
      </left>
      <right style="double">
        <color indexed="64"/>
      </right>
      <top style="thin">
        <color indexed="64"/>
      </top>
      <bottom/>
      <diagonal/>
    </border>
    <border>
      <left style="medium">
        <color indexed="64"/>
      </left>
      <right style="double">
        <color indexed="64"/>
      </right>
      <top/>
      <bottom/>
      <diagonal/>
    </border>
    <border>
      <left style="double">
        <color indexed="64"/>
      </left>
      <right style="double">
        <color indexed="64"/>
      </right>
      <top style="thin">
        <color indexed="64"/>
      </top>
      <bottom/>
      <diagonal/>
    </border>
    <border>
      <left style="medium">
        <color indexed="64"/>
      </left>
      <right style="double">
        <color indexed="64"/>
      </right>
      <top/>
      <bottom style="thin">
        <color indexed="64"/>
      </bottom>
      <diagonal/>
    </border>
    <border>
      <left style="double">
        <color indexed="64"/>
      </left>
      <right style="double">
        <color indexed="64"/>
      </right>
      <top/>
      <bottom style="thin">
        <color indexed="64"/>
      </bottom>
      <diagonal/>
    </border>
    <border>
      <left style="double">
        <color indexed="64"/>
      </left>
      <right/>
      <top/>
      <bottom/>
      <diagonal/>
    </border>
    <border>
      <left style="double">
        <color indexed="64"/>
      </left>
      <right/>
      <top style="thin">
        <color indexed="64"/>
      </top>
      <bottom/>
      <diagonal/>
    </border>
    <border>
      <left style="medium">
        <color indexed="64"/>
      </left>
      <right style="double">
        <color indexed="64"/>
      </right>
      <top style="medium">
        <color indexed="64"/>
      </top>
      <bottom/>
      <diagonal/>
    </border>
    <border>
      <left style="double">
        <color indexed="64"/>
      </left>
      <right style="double">
        <color indexed="64"/>
      </right>
      <top style="medium">
        <color indexed="64"/>
      </top>
      <bottom/>
      <diagonal/>
    </border>
    <border>
      <left/>
      <right/>
      <top/>
      <bottom style="double">
        <color indexed="64"/>
      </bottom>
      <diagonal/>
    </border>
    <border>
      <left/>
      <right/>
      <top style="thin">
        <color indexed="64"/>
      </top>
      <bottom style="double">
        <color indexed="64"/>
      </bottom>
      <diagonal/>
    </border>
    <border>
      <left style="double">
        <color indexed="64"/>
      </left>
      <right style="medium">
        <color indexed="64"/>
      </right>
      <top style="double">
        <color indexed="64"/>
      </top>
      <bottom/>
      <diagonal/>
    </border>
    <border>
      <left/>
      <right style="double">
        <color indexed="64"/>
      </right>
      <top/>
      <bottom style="double">
        <color indexed="64"/>
      </bottom>
      <diagonal/>
    </border>
    <border>
      <left style="double">
        <color indexed="64"/>
      </left>
      <right style="medium">
        <color indexed="64"/>
      </right>
      <top style="medium">
        <color indexed="64"/>
      </top>
      <bottom/>
      <diagonal/>
    </border>
    <border>
      <left style="double">
        <color indexed="64"/>
      </left>
      <right/>
      <top style="medium">
        <color indexed="64"/>
      </top>
      <bottom/>
      <diagonal/>
    </border>
    <border>
      <left style="double">
        <color indexed="64"/>
      </left>
      <right style="medium">
        <color indexed="64"/>
      </right>
      <top/>
      <bottom/>
      <diagonal/>
    </border>
    <border>
      <left style="medium">
        <color indexed="64"/>
      </left>
      <right style="double">
        <color indexed="64"/>
      </right>
      <top style="double">
        <color indexed="64"/>
      </top>
      <bottom/>
      <diagonal/>
    </border>
    <border>
      <left style="medium">
        <color indexed="64"/>
      </left>
      <right style="double">
        <color indexed="64"/>
      </right>
      <top/>
      <bottom style="double">
        <color indexed="64"/>
      </bottom>
      <diagonal/>
    </border>
    <border>
      <left style="double">
        <color indexed="64"/>
      </left>
      <right style="medium">
        <color indexed="64"/>
      </right>
      <top/>
      <bottom style="thin">
        <color indexed="64"/>
      </bottom>
      <diagonal/>
    </border>
    <border>
      <left style="double">
        <color indexed="64"/>
      </left>
      <right/>
      <top/>
      <bottom style="thin">
        <color indexed="64"/>
      </bottom>
      <diagonal/>
    </border>
    <border>
      <left style="medium">
        <color indexed="64"/>
      </left>
      <right/>
      <top/>
      <bottom style="double">
        <color indexed="64"/>
      </bottom>
      <diagonal/>
    </border>
    <border>
      <left style="medium">
        <color indexed="64"/>
      </left>
      <right/>
      <top/>
      <bottom style="thin">
        <color indexed="64"/>
      </bottom>
      <diagonal/>
    </border>
    <border>
      <left/>
      <right/>
      <top style="double">
        <color indexed="64"/>
      </top>
      <bottom/>
      <diagonal/>
    </border>
    <border>
      <left style="double">
        <color indexed="64"/>
      </left>
      <right style="double">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ck">
        <color indexed="64"/>
      </left>
      <right style="double">
        <color indexed="64"/>
      </right>
      <top style="double">
        <color indexed="64"/>
      </top>
      <bottom/>
      <diagonal/>
    </border>
    <border>
      <left style="thick">
        <color indexed="64"/>
      </left>
      <right style="double">
        <color indexed="64"/>
      </right>
      <top/>
      <bottom style="double">
        <color indexed="64"/>
      </bottom>
      <diagonal/>
    </border>
    <border>
      <left style="thick">
        <color indexed="64"/>
      </left>
      <right style="double">
        <color indexed="64"/>
      </right>
      <top/>
      <bottom/>
      <diagonal/>
    </border>
    <border>
      <left style="medium">
        <color indexed="64"/>
      </left>
      <right/>
      <top/>
      <bottom/>
      <diagonal/>
    </border>
    <border>
      <left/>
      <right style="double">
        <color indexed="64"/>
      </right>
      <top style="thin">
        <color indexed="64"/>
      </top>
      <bottom/>
      <diagonal/>
    </border>
    <border>
      <left/>
      <right style="double">
        <color indexed="64"/>
      </right>
      <top/>
      <bottom style="thin">
        <color indexed="64"/>
      </bottom>
      <diagonal/>
    </border>
    <border>
      <left style="thin">
        <color indexed="64"/>
      </left>
      <right style="double">
        <color indexed="64"/>
      </right>
      <top style="thin">
        <color indexed="64"/>
      </top>
      <bottom/>
      <diagonal/>
    </border>
    <border>
      <left style="thin">
        <color indexed="64"/>
      </left>
      <right style="double">
        <color indexed="64"/>
      </right>
      <top/>
      <bottom style="thin">
        <color indexed="64"/>
      </bottom>
      <diagonal/>
    </border>
    <border>
      <left style="double">
        <color indexed="64"/>
      </left>
      <right/>
      <top style="double">
        <color indexed="64"/>
      </top>
      <bottom/>
      <diagonal/>
    </border>
    <border>
      <left style="medium">
        <color indexed="64"/>
      </left>
      <right style="double">
        <color indexed="64"/>
      </right>
      <top/>
      <bottom style="medium">
        <color indexed="64"/>
      </bottom>
      <diagonal/>
    </border>
    <border>
      <left style="thin">
        <color indexed="64"/>
      </left>
      <right style="double">
        <color indexed="64"/>
      </right>
      <top style="double">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2">
    <xf numFmtId="0" fontId="0" fillId="0" borderId="0"/>
    <xf numFmtId="0" fontId="71" fillId="0" borderId="0"/>
    <xf numFmtId="0" fontId="71"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cellStyleXfs>
  <cellXfs count="696">
    <xf numFmtId="0" fontId="0" fillId="0" borderId="0" xfId="0"/>
    <xf numFmtId="0" fontId="0" fillId="2" borderId="1" xfId="0" applyFill="1" applyBorder="1"/>
    <xf numFmtId="0" fontId="0" fillId="2" borderId="2" xfId="0" applyFill="1" applyBorder="1"/>
    <xf numFmtId="0" fontId="0" fillId="2" borderId="3" xfId="0" applyFill="1" applyBorder="1"/>
    <xf numFmtId="0" fontId="23" fillId="0" borderId="0" xfId="0" applyFont="1" applyAlignment="1">
      <alignment horizontal="center"/>
    </xf>
    <xf numFmtId="0" fontId="23" fillId="0" borderId="0" xfId="0" applyFont="1"/>
    <xf numFmtId="0" fontId="23" fillId="0" borderId="0" xfId="0" applyFont="1" applyAlignment="1">
      <alignment horizontal="left"/>
    </xf>
    <xf numFmtId="0" fontId="24" fillId="2" borderId="4" xfId="0" applyFont="1" applyFill="1" applyBorder="1" applyAlignment="1">
      <alignment horizontal="center" vertical="center"/>
    </xf>
    <xf numFmtId="164" fontId="25" fillId="0" borderId="5" xfId="0" applyNumberFormat="1" applyFont="1" applyBorder="1" applyAlignment="1">
      <alignment horizontal="center" vertical="center"/>
    </xf>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0" fillId="3" borderId="1" xfId="0" applyFill="1" applyBorder="1"/>
    <xf numFmtId="0" fontId="0" fillId="3" borderId="2" xfId="0" applyFill="1" applyBorder="1"/>
    <xf numFmtId="0" fontId="0" fillId="3" borderId="3" xfId="0" applyFill="1" applyBorder="1"/>
    <xf numFmtId="0" fontId="24" fillId="3" borderId="4" xfId="0" applyFont="1" applyFill="1" applyBorder="1" applyAlignment="1">
      <alignment horizontal="center" vertical="center"/>
    </xf>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1" fontId="28" fillId="0" borderId="13" xfId="0" applyNumberFormat="1" applyFont="1" applyBorder="1" applyAlignment="1">
      <alignment horizontal="center" vertical="center"/>
    </xf>
    <xf numFmtId="0" fontId="29" fillId="0" borderId="13" xfId="0" applyFont="1" applyBorder="1" applyAlignment="1">
      <alignment vertical="center"/>
    </xf>
    <xf numFmtId="0" fontId="28" fillId="0" borderId="13" xfId="0" applyFont="1" applyBorder="1" applyAlignment="1">
      <alignment horizontal="center" vertical="center"/>
    </xf>
    <xf numFmtId="1" fontId="28" fillId="0" borderId="15" xfId="0" applyNumberFormat="1" applyFont="1" applyBorder="1" applyAlignment="1">
      <alignment horizontal="center" vertical="center"/>
    </xf>
    <xf numFmtId="0" fontId="28" fillId="0" borderId="17" xfId="0" applyFont="1" applyBorder="1" applyAlignment="1">
      <alignment horizontal="center" vertical="center"/>
    </xf>
    <xf numFmtId="165" fontId="28" fillId="0" borderId="17" xfId="0" applyNumberFormat="1" applyFont="1" applyBorder="1" applyAlignment="1">
      <alignment horizontal="center" vertical="center"/>
    </xf>
    <xf numFmtId="1" fontId="28" fillId="0" borderId="0" xfId="0" applyNumberFormat="1" applyFont="1" applyAlignment="1">
      <alignment horizontal="center" vertical="center"/>
    </xf>
    <xf numFmtId="0" fontId="28" fillId="0" borderId="18" xfId="0" applyFont="1" applyBorder="1" applyAlignment="1">
      <alignment horizontal="center" vertical="center"/>
    </xf>
    <xf numFmtId="165" fontId="28" fillId="0" borderId="19" xfId="0" applyNumberFormat="1" applyFont="1" applyBorder="1" applyAlignment="1">
      <alignment horizontal="center" vertical="center"/>
    </xf>
    <xf numFmtId="0" fontId="28" fillId="4" borderId="22" xfId="0" applyFont="1" applyFill="1" applyBorder="1" applyAlignment="1">
      <alignment horizontal="center" vertical="center"/>
    </xf>
    <xf numFmtId="0" fontId="28" fillId="4" borderId="24" xfId="0" applyFont="1" applyFill="1" applyBorder="1" applyAlignment="1">
      <alignment horizontal="center" vertical="center"/>
    </xf>
    <xf numFmtId="0" fontId="28" fillId="5" borderId="22" xfId="0" applyFont="1" applyFill="1" applyBorder="1" applyAlignment="1">
      <alignment horizontal="center" vertical="center"/>
    </xf>
    <xf numFmtId="0" fontId="28" fillId="5" borderId="24" xfId="0" applyFont="1" applyFill="1" applyBorder="1" applyAlignment="1">
      <alignment horizontal="center" vertical="center"/>
    </xf>
    <xf numFmtId="0" fontId="28" fillId="6" borderId="24" xfId="0" applyFont="1" applyFill="1" applyBorder="1" applyAlignment="1">
      <alignment horizontal="center" vertical="center"/>
    </xf>
    <xf numFmtId="0" fontId="28" fillId="4" borderId="20" xfId="0" applyFont="1" applyFill="1" applyBorder="1" applyAlignment="1">
      <alignment horizontal="center" vertical="center"/>
    </xf>
    <xf numFmtId="0" fontId="26" fillId="4" borderId="0" xfId="0" applyFont="1" applyFill="1" applyAlignment="1">
      <alignment vertical="center"/>
    </xf>
    <xf numFmtId="0" fontId="32" fillId="0" borderId="0" xfId="0" applyFont="1"/>
    <xf numFmtId="1" fontId="29" fillId="0" borderId="0" xfId="0" applyNumberFormat="1" applyFont="1"/>
    <xf numFmtId="0" fontId="29" fillId="0" borderId="0" xfId="0" applyFont="1"/>
    <xf numFmtId="0" fontId="29" fillId="0" borderId="0" xfId="0" applyFont="1" applyAlignment="1">
      <alignment vertical="center"/>
    </xf>
    <xf numFmtId="0" fontId="28" fillId="0" borderId="0" xfId="0" applyFont="1"/>
    <xf numFmtId="1" fontId="28" fillId="0" borderId="0" xfId="0" applyNumberFormat="1" applyFont="1"/>
    <xf numFmtId="0" fontId="28" fillId="4" borderId="13" xfId="0" applyFont="1" applyFill="1" applyBorder="1" applyAlignment="1">
      <alignment horizontal="center" vertical="center"/>
    </xf>
    <xf numFmtId="0" fontId="28" fillId="4" borderId="14" xfId="0" applyFont="1" applyFill="1" applyBorder="1" applyAlignment="1">
      <alignment horizontal="center" vertical="center"/>
    </xf>
    <xf numFmtId="165" fontId="28" fillId="4" borderId="17" xfId="0" applyNumberFormat="1" applyFont="1" applyFill="1" applyBorder="1" applyAlignment="1">
      <alignment horizontal="center" vertical="center"/>
    </xf>
    <xf numFmtId="165" fontId="28" fillId="4" borderId="19" xfId="0" applyNumberFormat="1" applyFont="1" applyFill="1" applyBorder="1" applyAlignment="1">
      <alignment horizontal="center" vertical="center"/>
    </xf>
    <xf numFmtId="1" fontId="33" fillId="4" borderId="23" xfId="0" applyNumberFormat="1" applyFont="1" applyFill="1" applyBorder="1" applyAlignment="1">
      <alignment horizontal="center" vertical="center"/>
    </xf>
    <xf numFmtId="0" fontId="33" fillId="4" borderId="23" xfId="0" applyFont="1" applyFill="1" applyBorder="1" applyAlignment="1">
      <alignment vertical="center"/>
    </xf>
    <xf numFmtId="1" fontId="33" fillId="4" borderId="20" xfId="0" applyNumberFormat="1" applyFont="1" applyFill="1" applyBorder="1" applyAlignment="1">
      <alignment horizontal="center" vertical="center"/>
    </xf>
    <xf numFmtId="0" fontId="33" fillId="4" borderId="20" xfId="0" applyFont="1" applyFill="1" applyBorder="1" applyAlignment="1">
      <alignment vertical="center"/>
    </xf>
    <xf numFmtId="0" fontId="34" fillId="0" borderId="0" xfId="0" applyFont="1"/>
    <xf numFmtId="0" fontId="35" fillId="0" borderId="0" xfId="0" applyFont="1"/>
    <xf numFmtId="0" fontId="36" fillId="0" borderId="0" xfId="0" applyFont="1"/>
    <xf numFmtId="1" fontId="33" fillId="0" borderId="0" xfId="0" applyNumberFormat="1" applyFont="1" applyAlignment="1">
      <alignment vertical="center"/>
    </xf>
    <xf numFmtId="0" fontId="28" fillId="0" borderId="0" xfId="0" applyFont="1" applyAlignment="1">
      <alignment horizontal="center" vertical="center"/>
    </xf>
    <xf numFmtId="165" fontId="28" fillId="0" borderId="0" xfId="0" applyNumberFormat="1" applyFont="1" applyAlignment="1">
      <alignment horizontal="center" vertical="center"/>
    </xf>
    <xf numFmtId="0" fontId="28" fillId="4" borderId="0" xfId="0" applyFont="1" applyFill="1" applyAlignment="1">
      <alignment horizontal="left"/>
    </xf>
    <xf numFmtId="0" fontId="29" fillId="4" borderId="0" xfId="0" applyFont="1" applyFill="1" applyAlignment="1">
      <alignment vertical="center"/>
    </xf>
    <xf numFmtId="1" fontId="33" fillId="4" borderId="0" xfId="0" applyNumberFormat="1" applyFont="1" applyFill="1" applyAlignment="1">
      <alignment horizontal="center" vertical="center"/>
    </xf>
    <xf numFmtId="0" fontId="33" fillId="4" borderId="0" xfId="0" applyFont="1" applyFill="1" applyAlignment="1">
      <alignment vertical="center"/>
    </xf>
    <xf numFmtId="0" fontId="28" fillId="4" borderId="0" xfId="0" applyFont="1" applyFill="1" applyAlignment="1">
      <alignment horizontal="center" vertical="center"/>
    </xf>
    <xf numFmtId="1" fontId="37" fillId="0" borderId="0" xfId="0" applyNumberFormat="1" applyFont="1"/>
    <xf numFmtId="0" fontId="37" fillId="0" borderId="0" xfId="0" applyFont="1"/>
    <xf numFmtId="0" fontId="28" fillId="0" borderId="22" xfId="0" applyFont="1" applyFill="1" applyBorder="1" applyAlignment="1">
      <alignment horizontal="center" vertical="center"/>
    </xf>
    <xf numFmtId="0" fontId="28" fillId="0" borderId="26" xfId="0" applyFont="1" applyFill="1" applyBorder="1" applyAlignment="1">
      <alignment horizontal="center" vertical="center"/>
    </xf>
    <xf numFmtId="0" fontId="28" fillId="0" borderId="24" xfId="0" applyFont="1" applyFill="1" applyBorder="1" applyAlignment="1">
      <alignment horizontal="center" vertical="center"/>
    </xf>
    <xf numFmtId="1" fontId="33" fillId="4" borderId="0" xfId="0" applyNumberFormat="1" applyFont="1" applyFill="1" applyBorder="1" applyAlignment="1">
      <alignment vertical="center"/>
    </xf>
    <xf numFmtId="1" fontId="33" fillId="0" borderId="2" xfId="0" applyNumberFormat="1" applyFont="1" applyBorder="1" applyAlignment="1">
      <alignment horizontal="center" vertical="center"/>
    </xf>
    <xf numFmtId="1" fontId="33" fillId="0" borderId="0" xfId="0" applyNumberFormat="1" applyFont="1" applyBorder="1" applyAlignment="1">
      <alignment horizontal="center" vertical="center"/>
    </xf>
    <xf numFmtId="0" fontId="28" fillId="4" borderId="0" xfId="0" applyFont="1" applyFill="1" applyAlignment="1"/>
    <xf numFmtId="0" fontId="28" fillId="0" borderId="0" xfId="0" applyFont="1" applyFill="1" applyAlignment="1"/>
    <xf numFmtId="0" fontId="28" fillId="9" borderId="24" xfId="0" applyFont="1" applyFill="1" applyBorder="1" applyAlignment="1">
      <alignment horizontal="center" vertical="center"/>
    </xf>
    <xf numFmtId="0" fontId="28" fillId="6" borderId="19" xfId="0" applyFont="1" applyFill="1" applyBorder="1" applyAlignment="1">
      <alignment horizontal="center" vertical="center"/>
    </xf>
    <xf numFmtId="1" fontId="33" fillId="6" borderId="20" xfId="0" applyNumberFormat="1" applyFont="1" applyFill="1" applyBorder="1" applyAlignment="1">
      <alignment horizontal="center" vertical="center"/>
    </xf>
    <xf numFmtId="0" fontId="33" fillId="6" borderId="20" xfId="0" applyFont="1" applyFill="1" applyBorder="1" applyAlignment="1">
      <alignment horizontal="left" vertical="center"/>
    </xf>
    <xf numFmtId="1" fontId="33" fillId="6" borderId="23" xfId="0" applyNumberFormat="1" applyFont="1" applyFill="1" applyBorder="1" applyAlignment="1">
      <alignment horizontal="center" vertical="center"/>
    </xf>
    <xf numFmtId="0" fontId="33" fillId="6" borderId="23" xfId="0" applyFont="1" applyFill="1" applyBorder="1" applyAlignment="1">
      <alignment vertical="center"/>
    </xf>
    <xf numFmtId="1" fontId="28" fillId="9" borderId="20" xfId="0" applyNumberFormat="1" applyFont="1" applyFill="1" applyBorder="1" applyAlignment="1">
      <alignment horizontal="center" vertical="center"/>
    </xf>
    <xf numFmtId="0" fontId="28" fillId="9" borderId="20" xfId="0" applyFont="1" applyFill="1" applyBorder="1" applyAlignment="1">
      <alignment vertical="center"/>
    </xf>
    <xf numFmtId="0" fontId="28" fillId="9" borderId="22" xfId="0" applyFont="1" applyFill="1" applyBorder="1" applyAlignment="1">
      <alignment horizontal="center" vertical="center"/>
    </xf>
    <xf numFmtId="1" fontId="28" fillId="9" borderId="23" xfId="0" applyNumberFormat="1" applyFont="1" applyFill="1" applyBorder="1" applyAlignment="1">
      <alignment horizontal="center" vertical="center"/>
    </xf>
    <xf numFmtId="0" fontId="28" fillId="9" borderId="23" xfId="0" applyFont="1" applyFill="1" applyBorder="1" applyAlignment="1">
      <alignment vertical="center"/>
    </xf>
    <xf numFmtId="0" fontId="28" fillId="5" borderId="26" xfId="0" applyFont="1" applyFill="1" applyBorder="1" applyAlignment="1">
      <alignment horizontal="center" vertical="center"/>
    </xf>
    <xf numFmtId="0" fontId="28" fillId="5" borderId="20" xfId="0" applyFont="1" applyFill="1" applyBorder="1" applyAlignment="1">
      <alignment horizontal="center" vertical="center"/>
    </xf>
    <xf numFmtId="0" fontId="28" fillId="0" borderId="0" xfId="0" applyFont="1" applyFill="1" applyBorder="1" applyAlignment="1">
      <alignment vertical="center"/>
    </xf>
    <xf numFmtId="1" fontId="47" fillId="0" borderId="0" xfId="0" applyNumberFormat="1" applyFont="1" applyFill="1" applyAlignment="1">
      <alignment horizontal="center"/>
    </xf>
    <xf numFmtId="1" fontId="33" fillId="0" borderId="0" xfId="0" applyNumberFormat="1" applyFont="1" applyFill="1" applyAlignment="1">
      <alignment vertical="center"/>
    </xf>
    <xf numFmtId="0" fontId="32" fillId="0" borderId="0" xfId="0" applyFont="1" applyFill="1"/>
    <xf numFmtId="0" fontId="28" fillId="0" borderId="0" xfId="0" applyFont="1" applyAlignment="1">
      <alignment horizontal="left" vertical="center"/>
    </xf>
    <xf numFmtId="0" fontId="73" fillId="0" borderId="0" xfId="0" applyFont="1" applyFill="1" applyBorder="1" applyAlignment="1">
      <alignment horizontal="left"/>
    </xf>
    <xf numFmtId="0" fontId="21" fillId="0" borderId="0" xfId="4"/>
    <xf numFmtId="0" fontId="24" fillId="0" borderId="44" xfId="4" applyFont="1" applyBorder="1"/>
    <xf numFmtId="0" fontId="24" fillId="0" borderId="5" xfId="4" applyFont="1" applyBorder="1"/>
    <xf numFmtId="0" fontId="24" fillId="0" borderId="45" xfId="4" applyFont="1" applyBorder="1" applyAlignment="1">
      <alignment horizontal="center"/>
    </xf>
    <xf numFmtId="0" fontId="24" fillId="0" borderId="5" xfId="4" applyFont="1" applyBorder="1" applyAlignment="1">
      <alignment horizontal="center"/>
    </xf>
    <xf numFmtId="0" fontId="24" fillId="0" borderId="46" xfId="4" applyFont="1" applyBorder="1"/>
    <xf numFmtId="0" fontId="24" fillId="0" borderId="41" xfId="4" applyFont="1" applyBorder="1" applyAlignment="1">
      <alignment horizontal="center"/>
    </xf>
    <xf numFmtId="0" fontId="21" fillId="0" borderId="47" xfId="4" applyBorder="1"/>
    <xf numFmtId="20" fontId="21" fillId="0" borderId="8" xfId="4" applyNumberFormat="1" applyBorder="1" applyAlignment="1">
      <alignment horizontal="center"/>
    </xf>
    <xf numFmtId="20" fontId="21" fillId="0" borderId="47" xfId="4" applyNumberFormat="1" applyBorder="1" applyAlignment="1">
      <alignment horizontal="center"/>
    </xf>
    <xf numFmtId="20" fontId="21" fillId="0" borderId="48" xfId="4" applyNumberFormat="1" applyBorder="1" applyAlignment="1">
      <alignment horizontal="center"/>
    </xf>
    <xf numFmtId="0" fontId="24" fillId="0" borderId="49" xfId="4" applyFont="1" applyBorder="1" applyAlignment="1">
      <alignment horizontal="center"/>
    </xf>
    <xf numFmtId="0" fontId="21" fillId="0" borderId="50" xfId="4" applyBorder="1"/>
    <xf numFmtId="20" fontId="21" fillId="0" borderId="11" xfId="4" applyNumberFormat="1" applyBorder="1" applyAlignment="1">
      <alignment horizontal="center"/>
    </xf>
    <xf numFmtId="20" fontId="21" fillId="0" borderId="50" xfId="4" applyNumberFormat="1" applyBorder="1" applyAlignment="1">
      <alignment horizontal="center"/>
    </xf>
    <xf numFmtId="20" fontId="21" fillId="0" borderId="51" xfId="4" applyNumberFormat="1" applyBorder="1" applyAlignment="1">
      <alignment horizontal="center"/>
    </xf>
    <xf numFmtId="0" fontId="24" fillId="0" borderId="52" xfId="4" applyFont="1" applyBorder="1" applyAlignment="1">
      <alignment horizontal="center"/>
    </xf>
    <xf numFmtId="0" fontId="21" fillId="0" borderId="53" xfId="4" applyBorder="1"/>
    <xf numFmtId="20" fontId="21" fillId="0" borderId="54" xfId="4" applyNumberFormat="1" applyBorder="1" applyAlignment="1">
      <alignment horizontal="center"/>
    </xf>
    <xf numFmtId="20" fontId="21" fillId="0" borderId="53" xfId="4" applyNumberFormat="1" applyBorder="1" applyAlignment="1">
      <alignment horizontal="center"/>
    </xf>
    <xf numFmtId="20" fontId="21" fillId="0" borderId="55" xfId="4" applyNumberFormat="1" applyBorder="1" applyAlignment="1">
      <alignment horizontal="center"/>
    </xf>
    <xf numFmtId="0" fontId="74" fillId="0" borderId="0" xfId="4" applyFont="1" applyFill="1" applyBorder="1" applyAlignment="1">
      <alignment horizontal="left"/>
    </xf>
    <xf numFmtId="0" fontId="28" fillId="9" borderId="0" xfId="0" applyFont="1" applyFill="1" applyAlignment="1"/>
    <xf numFmtId="1" fontId="33" fillId="10" borderId="27" xfId="0" applyNumberFormat="1" applyFont="1" applyFill="1" applyBorder="1" applyAlignment="1">
      <alignment horizontal="center" vertical="center"/>
    </xf>
    <xf numFmtId="0" fontId="33" fillId="10" borderId="28" xfId="0" applyFont="1" applyFill="1" applyBorder="1" applyAlignment="1">
      <alignment vertical="center"/>
    </xf>
    <xf numFmtId="0" fontId="28" fillId="10" borderId="22" xfId="0" applyFont="1" applyFill="1" applyBorder="1" applyAlignment="1">
      <alignment horizontal="center" vertical="center"/>
    </xf>
    <xf numFmtId="1" fontId="33" fillId="10" borderId="23" xfId="0" applyNumberFormat="1" applyFont="1" applyFill="1" applyBorder="1" applyAlignment="1">
      <alignment horizontal="center" vertical="center"/>
    </xf>
    <xf numFmtId="0" fontId="33" fillId="10" borderId="23" xfId="0" applyFont="1" applyFill="1" applyBorder="1" applyAlignment="1">
      <alignment vertical="center"/>
    </xf>
    <xf numFmtId="0" fontId="28" fillId="10" borderId="24" xfId="0" applyFont="1" applyFill="1" applyBorder="1" applyAlignment="1">
      <alignment horizontal="center" vertical="center"/>
    </xf>
    <xf numFmtId="1" fontId="33" fillId="10" borderId="20" xfId="0" applyNumberFormat="1" applyFont="1" applyFill="1" applyBorder="1" applyAlignment="1">
      <alignment horizontal="center" vertical="center"/>
    </xf>
    <xf numFmtId="0" fontId="33" fillId="10" borderId="20" xfId="0" applyFont="1" applyFill="1" applyBorder="1" applyAlignment="1">
      <alignment vertical="center"/>
    </xf>
    <xf numFmtId="1" fontId="47" fillId="0" borderId="8" xfId="0" applyNumberFormat="1" applyFont="1" applyBorder="1" applyAlignment="1">
      <alignment vertical="center"/>
    </xf>
    <xf numFmtId="1" fontId="33" fillId="0" borderId="8" xfId="0" applyNumberFormat="1" applyFont="1" applyBorder="1" applyAlignment="1">
      <alignment vertical="center"/>
    </xf>
    <xf numFmtId="165" fontId="28" fillId="0" borderId="4" xfId="0" applyNumberFormat="1" applyFont="1" applyBorder="1" applyAlignment="1">
      <alignment horizontal="center" vertical="center"/>
    </xf>
    <xf numFmtId="165" fontId="28" fillId="0" borderId="2" xfId="0" applyNumberFormat="1" applyFont="1" applyBorder="1" applyAlignment="1">
      <alignment horizontal="center" vertical="center"/>
    </xf>
    <xf numFmtId="0" fontId="28" fillId="0" borderId="10" xfId="0" applyFont="1" applyBorder="1" applyAlignment="1">
      <alignment horizontal="left" vertical="center"/>
    </xf>
    <xf numFmtId="165" fontId="28" fillId="0" borderId="11" xfId="0" applyNumberFormat="1" applyFont="1" applyBorder="1" applyAlignment="1">
      <alignment horizontal="center" vertical="center"/>
    </xf>
    <xf numFmtId="0" fontId="28" fillId="4" borderId="12" xfId="0" applyFont="1" applyFill="1" applyBorder="1" applyAlignment="1">
      <alignment horizontal="left"/>
    </xf>
    <xf numFmtId="0" fontId="28" fillId="12" borderId="56" xfId="0" applyFont="1" applyFill="1" applyBorder="1" applyAlignment="1">
      <alignment horizontal="right" vertical="center"/>
    </xf>
    <xf numFmtId="0" fontId="28" fillId="11" borderId="57" xfId="0" applyFont="1" applyFill="1" applyBorder="1" applyAlignment="1">
      <alignment horizontal="right" vertical="center"/>
    </xf>
    <xf numFmtId="0" fontId="28" fillId="4" borderId="26" xfId="0" applyFont="1" applyFill="1" applyBorder="1" applyAlignment="1">
      <alignment horizontal="center" vertical="center"/>
    </xf>
    <xf numFmtId="1" fontId="26" fillId="0" borderId="0" xfId="0" applyNumberFormat="1" applyFont="1" applyProtection="1">
      <protection locked="0"/>
    </xf>
    <xf numFmtId="0" fontId="26" fillId="0" borderId="0" xfId="0" applyFont="1" applyProtection="1">
      <protection locked="0"/>
    </xf>
    <xf numFmtId="0" fontId="26" fillId="0" borderId="0" xfId="0" applyFont="1" applyAlignment="1" applyProtection="1">
      <alignment vertical="center"/>
      <protection locked="0"/>
    </xf>
    <xf numFmtId="0" fontId="0" fillId="0" borderId="0" xfId="0" applyProtection="1">
      <protection locked="0"/>
    </xf>
    <xf numFmtId="1" fontId="27" fillId="0" borderId="0" xfId="0" applyNumberFormat="1" applyFont="1" applyProtection="1">
      <protection locked="0"/>
    </xf>
    <xf numFmtId="1" fontId="28" fillId="0" borderId="13" xfId="0" applyNumberFormat="1" applyFont="1" applyBorder="1" applyAlignment="1" applyProtection="1">
      <alignment horizontal="center" vertical="center"/>
      <protection locked="0"/>
    </xf>
    <xf numFmtId="0" fontId="29" fillId="0" borderId="13" xfId="0" applyFont="1" applyBorder="1" applyAlignment="1" applyProtection="1">
      <alignment vertical="center"/>
      <protection locked="0"/>
    </xf>
    <xf numFmtId="0" fontId="28" fillId="0" borderId="13" xfId="0" applyFont="1" applyBorder="1" applyAlignment="1" applyProtection="1">
      <alignment horizontal="center" vertical="center"/>
      <protection locked="0"/>
    </xf>
    <xf numFmtId="0" fontId="28" fillId="0" borderId="14" xfId="0" applyFont="1" applyBorder="1" applyAlignment="1" applyProtection="1">
      <alignment horizontal="center" vertical="center"/>
      <protection locked="0"/>
    </xf>
    <xf numFmtId="1" fontId="28" fillId="0" borderId="15" xfId="0" applyNumberFormat="1" applyFont="1" applyBorder="1" applyAlignment="1" applyProtection="1">
      <alignment horizontal="center" vertical="center"/>
      <protection locked="0"/>
    </xf>
    <xf numFmtId="1" fontId="28" fillId="0" borderId="16" xfId="0" applyNumberFormat="1" applyFont="1" applyBorder="1" applyAlignment="1" applyProtection="1">
      <alignment horizontal="center" vertical="center"/>
      <protection locked="0"/>
    </xf>
    <xf numFmtId="0" fontId="28" fillId="0" borderId="17" xfId="0" applyFont="1" applyBorder="1" applyAlignment="1" applyProtection="1">
      <alignment horizontal="center" vertical="center"/>
      <protection locked="0"/>
    </xf>
    <xf numFmtId="165" fontId="28" fillId="0" borderId="17" xfId="0" applyNumberFormat="1" applyFont="1" applyBorder="1" applyAlignment="1" applyProtection="1">
      <alignment horizontal="center" vertical="center"/>
      <protection locked="0"/>
    </xf>
    <xf numFmtId="1" fontId="28" fillId="0" borderId="0" xfId="0" applyNumberFormat="1" applyFont="1" applyAlignment="1" applyProtection="1">
      <alignment horizontal="center" vertical="center"/>
      <protection locked="0"/>
    </xf>
    <xf numFmtId="0" fontId="28" fillId="0" borderId="18" xfId="0" applyFont="1" applyBorder="1" applyAlignment="1" applyProtection="1">
      <alignment horizontal="center" vertical="center"/>
      <protection locked="0"/>
    </xf>
    <xf numFmtId="165" fontId="28" fillId="0" borderId="19" xfId="0" applyNumberFormat="1" applyFont="1" applyBorder="1" applyAlignment="1" applyProtection="1">
      <alignment horizontal="center" vertical="center"/>
      <protection locked="0"/>
    </xf>
    <xf numFmtId="0" fontId="23" fillId="0" borderId="0" xfId="0" applyFont="1" applyProtection="1">
      <protection locked="0"/>
    </xf>
    <xf numFmtId="0" fontId="49" fillId="0" borderId="22" xfId="0" applyFont="1" applyFill="1" applyBorder="1" applyAlignment="1" applyProtection="1">
      <alignment horizontal="center" vertical="center"/>
      <protection locked="0"/>
    </xf>
    <xf numFmtId="49" fontId="23" fillId="0" borderId="0" xfId="0" applyNumberFormat="1" applyFont="1" applyProtection="1">
      <protection locked="0"/>
    </xf>
    <xf numFmtId="0" fontId="49" fillId="0" borderId="24" xfId="0" applyFont="1" applyFill="1" applyBorder="1" applyAlignment="1" applyProtection="1">
      <alignment horizontal="center" vertical="center"/>
      <protection locked="0"/>
    </xf>
    <xf numFmtId="1" fontId="28" fillId="0" borderId="21" xfId="0" applyNumberFormat="1" applyFont="1" applyFill="1" applyBorder="1" applyAlignment="1" applyProtection="1">
      <alignment horizontal="center" vertical="center"/>
      <protection locked="0"/>
    </xf>
    <xf numFmtId="0" fontId="28" fillId="0" borderId="21" xfId="0" applyFont="1" applyFill="1" applyBorder="1" applyAlignment="1" applyProtection="1">
      <alignment vertical="center"/>
      <protection locked="0"/>
    </xf>
    <xf numFmtId="1" fontId="28" fillId="0" borderId="23" xfId="0" applyNumberFormat="1" applyFont="1" applyFill="1" applyBorder="1" applyAlignment="1" applyProtection="1">
      <alignment horizontal="center" vertical="center"/>
      <protection locked="0"/>
    </xf>
    <xf numFmtId="49" fontId="23" fillId="0" borderId="25" xfId="0" applyNumberFormat="1" applyFont="1" applyBorder="1" applyProtection="1">
      <protection locked="0"/>
    </xf>
    <xf numFmtId="1" fontId="75" fillId="0" borderId="0" xfId="0" applyNumberFormat="1" applyFont="1" applyAlignment="1" applyProtection="1">
      <alignment horizontal="center"/>
      <protection locked="0"/>
    </xf>
    <xf numFmtId="0" fontId="75" fillId="0" borderId="61" xfId="0" applyFont="1" applyBorder="1" applyAlignment="1" applyProtection="1">
      <alignment horizontal="center"/>
      <protection locked="0"/>
    </xf>
    <xf numFmtId="0" fontId="28" fillId="0" borderId="20" xfId="0" applyFont="1" applyFill="1" applyBorder="1" applyAlignment="1" applyProtection="1">
      <alignment vertical="center"/>
      <protection locked="0"/>
    </xf>
    <xf numFmtId="0" fontId="28" fillId="0" borderId="23" xfId="0" applyFont="1" applyFill="1" applyBorder="1" applyAlignment="1" applyProtection="1">
      <alignment vertical="center"/>
      <protection locked="0"/>
    </xf>
    <xf numFmtId="0" fontId="27" fillId="0" borderId="25" xfId="0" applyFont="1" applyBorder="1" applyAlignment="1" applyProtection="1">
      <alignment horizontal="center"/>
      <protection locked="0"/>
    </xf>
    <xf numFmtId="0" fontId="23" fillId="0" borderId="25" xfId="0" applyFont="1" applyBorder="1" applyProtection="1">
      <protection locked="0"/>
    </xf>
    <xf numFmtId="0" fontId="23" fillId="4" borderId="0" xfId="0" applyFont="1" applyFill="1" applyProtection="1">
      <protection locked="0"/>
    </xf>
    <xf numFmtId="0" fontId="23" fillId="0" borderId="0" xfId="0" applyFont="1" applyAlignment="1" applyProtection="1">
      <alignment horizontal="right"/>
      <protection locked="0"/>
    </xf>
    <xf numFmtId="0" fontId="27" fillId="0" borderId="61" xfId="0" applyFont="1" applyBorder="1" applyAlignment="1" applyProtection="1">
      <alignment horizontal="center"/>
      <protection locked="0"/>
    </xf>
    <xf numFmtId="0" fontId="75" fillId="0" borderId="25" xfId="0" applyFont="1" applyBorder="1" applyAlignment="1" applyProtection="1">
      <alignment horizontal="center"/>
      <protection locked="0"/>
    </xf>
    <xf numFmtId="0" fontId="75" fillId="4" borderId="25" xfId="0" applyFont="1" applyFill="1" applyBorder="1" applyAlignment="1" applyProtection="1">
      <alignment horizontal="center"/>
      <protection locked="0"/>
    </xf>
    <xf numFmtId="1" fontId="75" fillId="4" borderId="0" xfId="0" applyNumberFormat="1" applyFont="1" applyFill="1" applyAlignment="1" applyProtection="1">
      <alignment horizontal="center"/>
      <protection locked="0"/>
    </xf>
    <xf numFmtId="0" fontId="75" fillId="4" borderId="0" xfId="0" applyFont="1" applyFill="1" applyAlignment="1" applyProtection="1">
      <alignment horizontal="center"/>
      <protection locked="0"/>
    </xf>
    <xf numFmtId="49" fontId="23" fillId="4" borderId="0" xfId="0" applyNumberFormat="1" applyFont="1" applyFill="1" applyProtection="1">
      <protection locked="0"/>
    </xf>
    <xf numFmtId="0" fontId="28" fillId="0" borderId="22" xfId="0" applyFont="1" applyFill="1" applyBorder="1" applyAlignment="1" applyProtection="1">
      <alignment horizontal="center" vertical="center"/>
      <protection locked="0"/>
    </xf>
    <xf numFmtId="0" fontId="28" fillId="0" borderId="24" xfId="0" applyFont="1" applyFill="1" applyBorder="1" applyAlignment="1" applyProtection="1">
      <alignment horizontal="center" vertical="center"/>
      <protection locked="0"/>
    </xf>
    <xf numFmtId="0" fontId="27" fillId="4" borderId="25" xfId="0" applyFont="1" applyFill="1" applyBorder="1" applyAlignment="1" applyProtection="1">
      <alignment horizontal="center"/>
      <protection locked="0"/>
    </xf>
    <xf numFmtId="0" fontId="23" fillId="0" borderId="0" xfId="0" applyFont="1" applyAlignment="1" applyProtection="1">
      <alignment horizontal="center"/>
      <protection locked="0"/>
    </xf>
    <xf numFmtId="0" fontId="28" fillId="0" borderId="19" xfId="0" applyFont="1" applyFill="1" applyBorder="1" applyAlignment="1" applyProtection="1">
      <alignment horizontal="center" vertical="center"/>
      <protection locked="0"/>
    </xf>
    <xf numFmtId="0" fontId="23" fillId="0" borderId="0" xfId="0" applyFont="1" applyAlignment="1" applyProtection="1">
      <alignment horizontal="left"/>
      <protection locked="0"/>
    </xf>
    <xf numFmtId="1" fontId="23" fillId="4" borderId="0" xfId="0" applyNumberFormat="1" applyFont="1" applyFill="1" applyProtection="1">
      <protection locked="0"/>
    </xf>
    <xf numFmtId="0" fontId="27" fillId="4" borderId="0" xfId="0" applyFont="1" applyFill="1" applyBorder="1" applyAlignment="1" applyProtection="1">
      <alignment horizontal="center"/>
      <protection locked="0"/>
    </xf>
    <xf numFmtId="0" fontId="76" fillId="0" borderId="0" xfId="0" applyFont="1" applyProtection="1">
      <protection locked="0"/>
    </xf>
    <xf numFmtId="0" fontId="49" fillId="0" borderId="13" xfId="0" applyFont="1" applyBorder="1" applyAlignment="1" applyProtection="1">
      <alignment horizontal="center" vertical="center"/>
      <protection locked="0"/>
    </xf>
    <xf numFmtId="0" fontId="49" fillId="0" borderId="14" xfId="0" applyFont="1" applyBorder="1" applyAlignment="1" applyProtection="1">
      <alignment horizontal="center" vertical="center"/>
      <protection locked="0"/>
    </xf>
    <xf numFmtId="1" fontId="23" fillId="0" borderId="0" xfId="0" applyNumberFormat="1" applyFont="1" applyProtection="1">
      <protection locked="0"/>
    </xf>
    <xf numFmtId="0" fontId="23" fillId="0" borderId="0" xfId="0" applyFont="1" applyFill="1" applyProtection="1">
      <protection locked="0"/>
    </xf>
    <xf numFmtId="0" fontId="28" fillId="0" borderId="24" xfId="0" applyFont="1" applyFill="1" applyBorder="1" applyAlignment="1" applyProtection="1">
      <alignment vertical="center"/>
      <protection locked="0"/>
    </xf>
    <xf numFmtId="0" fontId="49" fillId="4" borderId="19" xfId="0" applyFont="1" applyFill="1" applyBorder="1" applyAlignment="1" applyProtection="1">
      <alignment horizontal="center" vertical="center"/>
      <protection locked="0"/>
    </xf>
    <xf numFmtId="0" fontId="49" fillId="4" borderId="24" xfId="0" applyFont="1" applyFill="1" applyBorder="1" applyAlignment="1" applyProtection="1">
      <alignment horizontal="center" vertical="center"/>
      <protection locked="0"/>
    </xf>
    <xf numFmtId="0" fontId="49" fillId="0" borderId="19" xfId="0" applyFont="1" applyFill="1" applyBorder="1" applyAlignment="1" applyProtection="1">
      <alignment horizontal="center" vertical="center"/>
      <protection locked="0"/>
    </xf>
    <xf numFmtId="0" fontId="0" fillId="0" borderId="0" xfId="0" applyAlignment="1" applyProtection="1">
      <alignment horizontal="left"/>
      <protection locked="0"/>
    </xf>
    <xf numFmtId="1" fontId="28" fillId="15" borderId="21" xfId="0" applyNumberFormat="1" applyFont="1" applyFill="1" applyBorder="1" applyAlignment="1" applyProtection="1">
      <alignment horizontal="center" vertical="center"/>
      <protection locked="0"/>
    </xf>
    <xf numFmtId="0" fontId="28" fillId="15" borderId="20" xfId="0" applyFont="1" applyFill="1" applyBorder="1" applyAlignment="1" applyProtection="1">
      <alignment vertical="center"/>
      <protection locked="0"/>
    </xf>
    <xf numFmtId="0" fontId="28" fillId="15" borderId="22" xfId="0" applyFont="1" applyFill="1" applyBorder="1" applyAlignment="1" applyProtection="1">
      <alignment horizontal="center" vertical="center"/>
      <protection locked="0"/>
    </xf>
    <xf numFmtId="1" fontId="28" fillId="15" borderId="23" xfId="0" applyNumberFormat="1" applyFont="1" applyFill="1" applyBorder="1" applyAlignment="1" applyProtection="1">
      <alignment horizontal="center" vertical="center"/>
      <protection locked="0"/>
    </xf>
    <xf numFmtId="0" fontId="28" fillId="15" borderId="23" xfId="0" applyFont="1" applyFill="1" applyBorder="1" applyAlignment="1" applyProtection="1">
      <alignment vertical="center"/>
      <protection locked="0"/>
    </xf>
    <xf numFmtId="0" fontId="28" fillId="15" borderId="24" xfId="0" applyFont="1" applyFill="1" applyBorder="1" applyAlignment="1" applyProtection="1">
      <alignment horizontal="center" vertical="center"/>
      <protection locked="0"/>
    </xf>
    <xf numFmtId="0" fontId="26" fillId="4" borderId="0" xfId="0" applyFont="1" applyFill="1" applyProtection="1">
      <protection locked="0"/>
    </xf>
    <xf numFmtId="0" fontId="28" fillId="0" borderId="0" xfId="0" applyFont="1" applyProtection="1">
      <protection locked="0"/>
    </xf>
    <xf numFmtId="0" fontId="28" fillId="4" borderId="13" xfId="0" applyFont="1" applyFill="1" applyBorder="1" applyAlignment="1" applyProtection="1">
      <alignment horizontal="center" vertical="center"/>
      <protection locked="0"/>
    </xf>
    <xf numFmtId="0" fontId="28" fillId="4" borderId="14" xfId="0" applyFont="1" applyFill="1" applyBorder="1" applyAlignment="1" applyProtection="1">
      <alignment horizontal="center" vertical="center"/>
      <protection locked="0"/>
    </xf>
    <xf numFmtId="0" fontId="28" fillId="9" borderId="19" xfId="0" applyFont="1" applyFill="1" applyBorder="1" applyAlignment="1" applyProtection="1">
      <alignment horizontal="center" vertical="center"/>
      <protection locked="0"/>
    </xf>
    <xf numFmtId="0" fontId="28" fillId="9" borderId="24" xfId="0" applyFont="1" applyFill="1" applyBorder="1" applyAlignment="1" applyProtection="1">
      <alignment horizontal="center" vertical="center"/>
      <protection locked="0"/>
    </xf>
    <xf numFmtId="0" fontId="39" fillId="0" borderId="0" xfId="0" applyFont="1" applyProtection="1">
      <protection locked="0"/>
    </xf>
    <xf numFmtId="0" fontId="22" fillId="0" borderId="0" xfId="0" applyFont="1" applyProtection="1">
      <protection locked="0"/>
    </xf>
    <xf numFmtId="0" fontId="43" fillId="0" borderId="30" xfId="0" applyFont="1" applyBorder="1" applyAlignment="1" applyProtection="1">
      <alignment horizontal="center" vertical="center"/>
      <protection locked="0"/>
    </xf>
    <xf numFmtId="3" fontId="83" fillId="0" borderId="31" xfId="0" applyNumberFormat="1" applyFont="1" applyBorder="1" applyProtection="1">
      <protection locked="0"/>
    </xf>
    <xf numFmtId="0" fontId="83" fillId="0" borderId="13" xfId="0" applyFont="1" applyBorder="1" applyAlignment="1" applyProtection="1">
      <alignment horizontal="left"/>
      <protection locked="0"/>
    </xf>
    <xf numFmtId="0" fontId="78" fillId="0" borderId="13" xfId="0" applyFont="1" applyBorder="1" applyAlignment="1" applyProtection="1">
      <alignment horizontal="center" vertical="center"/>
      <protection locked="0"/>
    </xf>
    <xf numFmtId="0" fontId="78" fillId="4" borderId="13" xfId="0" applyFont="1" applyFill="1" applyBorder="1" applyAlignment="1" applyProtection="1">
      <alignment horizontal="center" vertical="center"/>
      <protection locked="0"/>
    </xf>
    <xf numFmtId="0" fontId="78" fillId="4" borderId="14" xfId="0" applyFont="1" applyFill="1" applyBorder="1" applyAlignment="1" applyProtection="1">
      <alignment horizontal="center" vertical="center"/>
      <protection locked="0"/>
    </xf>
    <xf numFmtId="0" fontId="78" fillId="0" borderId="15" xfId="0" applyFont="1" applyBorder="1" applyAlignment="1" applyProtection="1">
      <alignment horizontal="center" vertical="top"/>
      <protection locked="0"/>
    </xf>
    <xf numFmtId="49" fontId="84" fillId="0" borderId="17" xfId="0" applyNumberFormat="1" applyFont="1" applyBorder="1" applyAlignment="1" applyProtection="1">
      <alignment horizontal="center" vertical="top"/>
      <protection locked="0"/>
    </xf>
    <xf numFmtId="1" fontId="78" fillId="0" borderId="33" xfId="0" applyNumberFormat="1" applyFont="1" applyFill="1" applyBorder="1" applyAlignment="1" applyProtection="1">
      <alignment horizontal="center" vertical="top"/>
      <protection locked="0"/>
    </xf>
    <xf numFmtId="49" fontId="85" fillId="0" borderId="13" xfId="0" applyNumberFormat="1" applyFont="1" applyFill="1" applyBorder="1" applyAlignment="1" applyProtection="1">
      <alignment vertical="top"/>
      <protection locked="0"/>
    </xf>
    <xf numFmtId="0" fontId="78" fillId="8" borderId="60" xfId="0" applyFont="1" applyFill="1" applyBorder="1" applyAlignment="1" applyProtection="1">
      <alignment horizontal="center"/>
      <protection locked="0"/>
    </xf>
    <xf numFmtId="0" fontId="78" fillId="8" borderId="19" xfId="0" applyFont="1" applyFill="1" applyBorder="1" applyAlignment="1" applyProtection="1">
      <alignment horizontal="center"/>
      <protection locked="0"/>
    </xf>
    <xf numFmtId="0" fontId="86" fillId="4" borderId="13" xfId="0" applyFont="1" applyFill="1" applyBorder="1" applyAlignment="1" applyProtection="1">
      <alignment horizontal="center"/>
      <protection locked="0"/>
    </xf>
    <xf numFmtId="0" fontId="22" fillId="0" borderId="0" xfId="0" applyFont="1" applyAlignment="1" applyProtection="1">
      <alignment vertical="top"/>
      <protection locked="0"/>
    </xf>
    <xf numFmtId="1" fontId="28" fillId="0" borderId="15" xfId="0" applyNumberFormat="1" applyFont="1" applyFill="1" applyBorder="1" applyAlignment="1" applyProtection="1">
      <alignment horizontal="center"/>
      <protection locked="0"/>
    </xf>
    <xf numFmtId="49" fontId="33" fillId="0" borderId="17" xfId="0" applyNumberFormat="1" applyFont="1" applyFill="1" applyBorder="1" applyProtection="1">
      <protection locked="0"/>
    </xf>
    <xf numFmtId="0" fontId="28" fillId="0" borderId="17" xfId="0" applyFont="1" applyFill="1" applyBorder="1" applyAlignment="1" applyProtection="1">
      <alignment horizontal="center"/>
      <protection locked="0"/>
    </xf>
    <xf numFmtId="49" fontId="37" fillId="0" borderId="19" xfId="0" applyNumberFormat="1" applyFont="1" applyBorder="1" applyAlignment="1" applyProtection="1">
      <alignment vertical="top"/>
      <protection locked="0"/>
    </xf>
    <xf numFmtId="0" fontId="28" fillId="8" borderId="13" xfId="0" applyFont="1" applyFill="1" applyBorder="1" applyAlignment="1" applyProtection="1">
      <alignment horizontal="center"/>
      <protection locked="0"/>
    </xf>
    <xf numFmtId="49" fontId="45" fillId="0" borderId="0" xfId="0" applyNumberFormat="1" applyFont="1" applyAlignment="1" applyProtection="1">
      <alignment horizontal="center" vertical="top"/>
      <protection locked="0"/>
    </xf>
    <xf numFmtId="1" fontId="28" fillId="0" borderId="15" xfId="0" applyNumberFormat="1" applyFont="1" applyBorder="1" applyAlignment="1" applyProtection="1">
      <alignment horizontal="center"/>
      <protection locked="0"/>
    </xf>
    <xf numFmtId="49" fontId="33" fillId="0" borderId="17" xfId="0" applyNumberFormat="1" applyFont="1" applyBorder="1" applyProtection="1">
      <protection locked="0"/>
    </xf>
    <xf numFmtId="0" fontId="28" fillId="8" borderId="59" xfId="0" applyFont="1" applyFill="1" applyBorder="1" applyAlignment="1" applyProtection="1">
      <alignment horizontal="center"/>
      <protection locked="0"/>
    </xf>
    <xf numFmtId="0" fontId="28" fillId="8" borderId="17" xfId="0" applyFont="1" applyFill="1" applyBorder="1" applyAlignment="1" applyProtection="1">
      <alignment horizontal="center"/>
      <protection locked="0"/>
    </xf>
    <xf numFmtId="1" fontId="28" fillId="0" borderId="35" xfId="0" applyNumberFormat="1" applyFont="1" applyBorder="1" applyAlignment="1" applyProtection="1">
      <alignment horizontal="center"/>
      <protection locked="0"/>
    </xf>
    <xf numFmtId="0" fontId="28" fillId="8" borderId="60" xfId="0" applyFont="1" applyFill="1" applyBorder="1" applyAlignment="1" applyProtection="1">
      <alignment horizontal="center"/>
      <protection locked="0"/>
    </xf>
    <xf numFmtId="0" fontId="28" fillId="8" borderId="19" xfId="0" applyFont="1" applyFill="1" applyBorder="1" applyAlignment="1" applyProtection="1">
      <alignment horizontal="center"/>
      <protection locked="0"/>
    </xf>
    <xf numFmtId="0" fontId="28" fillId="0" borderId="19" xfId="0" applyFont="1" applyFill="1" applyBorder="1" applyAlignment="1" applyProtection="1">
      <alignment horizontal="center"/>
      <protection locked="0"/>
    </xf>
    <xf numFmtId="0" fontId="27" fillId="0" borderId="0" xfId="0" applyFont="1" applyAlignment="1" applyProtection="1">
      <alignment horizontal="center" vertical="top"/>
      <protection locked="0"/>
    </xf>
    <xf numFmtId="49" fontId="22" fillId="0" borderId="0" xfId="0" applyNumberFormat="1" applyFont="1" applyAlignment="1" applyProtection="1">
      <alignment vertical="top"/>
      <protection locked="0"/>
    </xf>
    <xf numFmtId="49" fontId="27" fillId="0" borderId="0" xfId="0" applyNumberFormat="1" applyFont="1" applyAlignment="1" applyProtection="1">
      <alignment horizontal="center"/>
      <protection locked="0"/>
    </xf>
    <xf numFmtId="1" fontId="28" fillId="4" borderId="25" xfId="0" applyNumberFormat="1" applyFont="1" applyFill="1" applyBorder="1" applyAlignment="1" applyProtection="1">
      <alignment horizontal="center"/>
      <protection locked="0"/>
    </xf>
    <xf numFmtId="49" fontId="33" fillId="4" borderId="19" xfId="0" applyNumberFormat="1" applyFont="1" applyFill="1" applyBorder="1" applyProtection="1">
      <protection locked="0"/>
    </xf>
    <xf numFmtId="1" fontId="28" fillId="4" borderId="15" xfId="0" applyNumberFormat="1" applyFont="1" applyFill="1" applyBorder="1" applyAlignment="1" applyProtection="1">
      <alignment horizontal="center"/>
      <protection locked="0"/>
    </xf>
    <xf numFmtId="49" fontId="33" fillId="4" borderId="17" xfId="0" applyNumberFormat="1" applyFont="1" applyFill="1" applyBorder="1" applyProtection="1">
      <protection locked="0"/>
    </xf>
    <xf numFmtId="1" fontId="28" fillId="4" borderId="35" xfId="0" applyNumberFormat="1" applyFont="1" applyFill="1" applyBorder="1" applyAlignment="1" applyProtection="1">
      <alignment horizontal="center"/>
      <protection locked="0"/>
    </xf>
    <xf numFmtId="49" fontId="37" fillId="4" borderId="19" xfId="0" applyNumberFormat="1" applyFont="1" applyFill="1" applyBorder="1" applyAlignment="1" applyProtection="1">
      <alignment vertical="top"/>
      <protection locked="0"/>
    </xf>
    <xf numFmtId="0" fontId="28" fillId="8" borderId="18" xfId="0" applyFont="1" applyFill="1" applyBorder="1" applyAlignment="1" applyProtection="1">
      <alignment horizontal="center"/>
      <protection locked="0"/>
    </xf>
    <xf numFmtId="0" fontId="28" fillId="8" borderId="32" xfId="0" applyFont="1" applyFill="1" applyBorder="1" applyAlignment="1" applyProtection="1">
      <alignment horizontal="center"/>
      <protection locked="0"/>
    </xf>
    <xf numFmtId="49" fontId="33" fillId="0" borderId="13" xfId="0" applyNumberFormat="1" applyFont="1" applyBorder="1" applyProtection="1">
      <protection locked="0"/>
    </xf>
    <xf numFmtId="49" fontId="45" fillId="0" borderId="0" xfId="0" applyNumberFormat="1" applyFont="1" applyAlignment="1" applyProtection="1">
      <alignment horizontal="center"/>
      <protection locked="0"/>
    </xf>
    <xf numFmtId="0" fontId="28" fillId="8" borderId="14" xfId="0" applyFont="1" applyFill="1" applyBorder="1" applyAlignment="1" applyProtection="1">
      <alignment horizontal="center"/>
      <protection locked="0"/>
    </xf>
    <xf numFmtId="3" fontId="27" fillId="0" borderId="0" xfId="0" applyNumberFormat="1" applyFont="1" applyAlignment="1" applyProtection="1">
      <alignment horizontal="center"/>
      <protection locked="0"/>
    </xf>
    <xf numFmtId="49" fontId="39" fillId="0" borderId="0" xfId="0" applyNumberFormat="1" applyFont="1" applyProtection="1">
      <protection locked="0"/>
    </xf>
    <xf numFmtId="49" fontId="37" fillId="4" borderId="13" xfId="0" applyNumberFormat="1" applyFont="1" applyFill="1" applyBorder="1" applyAlignment="1" applyProtection="1">
      <alignment vertical="top"/>
      <protection locked="0"/>
    </xf>
    <xf numFmtId="1" fontId="28" fillId="4" borderId="35" xfId="0" applyNumberFormat="1" applyFont="1" applyFill="1" applyBorder="1" applyAlignment="1" applyProtection="1">
      <alignment horizontal="center" vertical="top"/>
      <protection locked="0"/>
    </xf>
    <xf numFmtId="1" fontId="28" fillId="0" borderId="25" xfId="0" applyNumberFormat="1" applyFont="1" applyBorder="1" applyAlignment="1" applyProtection="1">
      <alignment horizontal="center"/>
      <protection locked="0"/>
    </xf>
    <xf numFmtId="49" fontId="33" fillId="0" borderId="19" xfId="0" applyNumberFormat="1" applyFont="1" applyBorder="1" applyProtection="1">
      <protection locked="0"/>
    </xf>
    <xf numFmtId="1" fontId="28" fillId="0" borderId="16" xfId="0" applyNumberFormat="1" applyFont="1" applyBorder="1" applyAlignment="1" applyProtection="1">
      <alignment horizontal="center"/>
      <protection locked="0"/>
    </xf>
    <xf numFmtId="0" fontId="30" fillId="0" borderId="0" xfId="0" applyFont="1" applyAlignment="1" applyProtection="1">
      <alignment vertical="top"/>
      <protection locked="0"/>
    </xf>
    <xf numFmtId="0" fontId="44" fillId="0" borderId="0" xfId="0" applyFont="1" applyAlignment="1" applyProtection="1">
      <alignment vertical="top"/>
      <protection locked="0"/>
    </xf>
    <xf numFmtId="0" fontId="28" fillId="4" borderId="17" xfId="0" applyFont="1" applyFill="1" applyBorder="1" applyAlignment="1" applyProtection="1">
      <alignment horizontal="center"/>
      <protection locked="0"/>
    </xf>
    <xf numFmtId="1" fontId="45" fillId="0" borderId="0" xfId="0" applyNumberFormat="1" applyFont="1" applyAlignment="1" applyProtection="1">
      <alignment horizontal="center"/>
      <protection locked="0"/>
    </xf>
    <xf numFmtId="49" fontId="33" fillId="4" borderId="13" xfId="0" applyNumberFormat="1" applyFont="1" applyFill="1" applyBorder="1" applyProtection="1">
      <protection locked="0"/>
    </xf>
    <xf numFmtId="0" fontId="22" fillId="0" borderId="25" xfId="0" applyFont="1" applyBorder="1" applyProtection="1">
      <protection locked="0"/>
    </xf>
    <xf numFmtId="1" fontId="28" fillId="4" borderId="19" xfId="0" applyNumberFormat="1" applyFont="1" applyFill="1" applyBorder="1" applyAlignment="1" applyProtection="1">
      <alignment horizontal="center"/>
      <protection locked="0"/>
    </xf>
    <xf numFmtId="1" fontId="28" fillId="4" borderId="17" xfId="0" applyNumberFormat="1" applyFont="1" applyFill="1" applyBorder="1" applyAlignment="1" applyProtection="1">
      <alignment horizontal="center"/>
      <protection locked="0"/>
    </xf>
    <xf numFmtId="1" fontId="28" fillId="9" borderId="13" xfId="0" applyNumberFormat="1" applyFont="1" applyFill="1" applyBorder="1" applyAlignment="1" applyProtection="1">
      <alignment horizontal="center"/>
      <protection locked="0"/>
    </xf>
    <xf numFmtId="0" fontId="33" fillId="9" borderId="13" xfId="0" applyFont="1" applyFill="1" applyBorder="1" applyAlignment="1" applyProtection="1">
      <alignment horizontal="left" vertical="center"/>
      <protection locked="0"/>
    </xf>
    <xf numFmtId="1" fontId="28" fillId="9" borderId="17" xfId="0" applyNumberFormat="1" applyFont="1" applyFill="1" applyBorder="1" applyAlignment="1" applyProtection="1">
      <alignment horizontal="center"/>
      <protection locked="0"/>
    </xf>
    <xf numFmtId="0" fontId="33" fillId="9" borderId="37" xfId="0" applyFont="1" applyFill="1" applyBorder="1" applyAlignment="1" applyProtection="1">
      <alignment vertical="center"/>
      <protection locked="0"/>
    </xf>
    <xf numFmtId="0" fontId="28" fillId="9" borderId="17" xfId="0" applyFont="1" applyFill="1" applyBorder="1" applyAlignment="1" applyProtection="1">
      <alignment horizontal="center" vertical="center"/>
      <protection locked="0"/>
    </xf>
    <xf numFmtId="1" fontId="28" fillId="16" borderId="19" xfId="0" applyNumberFormat="1" applyFont="1" applyFill="1" applyBorder="1" applyAlignment="1" applyProtection="1">
      <alignment horizontal="center"/>
      <protection locked="0"/>
    </xf>
    <xf numFmtId="49" fontId="33" fillId="16" borderId="13" xfId="0" applyNumberFormat="1" applyFont="1" applyFill="1" applyBorder="1" applyProtection="1">
      <protection locked="0"/>
    </xf>
    <xf numFmtId="0" fontId="28" fillId="16" borderId="14" xfId="0" applyFont="1" applyFill="1" applyBorder="1" applyAlignment="1" applyProtection="1">
      <alignment horizontal="center" vertical="center"/>
      <protection locked="0"/>
    </xf>
    <xf numFmtId="1" fontId="28" fillId="16" borderId="17" xfId="0" applyNumberFormat="1" applyFont="1" applyFill="1" applyBorder="1" applyAlignment="1" applyProtection="1">
      <alignment horizontal="center"/>
      <protection locked="0"/>
    </xf>
    <xf numFmtId="49" fontId="33" fillId="16" borderId="17" xfId="0" applyNumberFormat="1" applyFont="1" applyFill="1" applyBorder="1" applyProtection="1">
      <protection locked="0"/>
    </xf>
    <xf numFmtId="0" fontId="28" fillId="16" borderId="32" xfId="0" applyFont="1" applyFill="1" applyBorder="1" applyAlignment="1" applyProtection="1">
      <alignment horizontal="center" vertical="center"/>
      <protection locked="0"/>
    </xf>
    <xf numFmtId="49" fontId="50" fillId="0" borderId="0" xfId="0" applyNumberFormat="1" applyFont="1" applyProtection="1">
      <protection locked="0"/>
    </xf>
    <xf numFmtId="0" fontId="50" fillId="0" borderId="0" xfId="0" applyFont="1" applyProtection="1">
      <protection locked="0"/>
    </xf>
    <xf numFmtId="49" fontId="40" fillId="0" borderId="0" xfId="0" applyNumberFormat="1" applyFont="1" applyProtection="1">
      <protection locked="0"/>
    </xf>
    <xf numFmtId="0" fontId="40" fillId="0" borderId="0" xfId="0" applyFont="1" applyProtection="1">
      <protection locked="0"/>
    </xf>
    <xf numFmtId="0" fontId="52" fillId="17" borderId="0" xfId="0" applyFont="1" applyFill="1" applyProtection="1">
      <protection locked="0"/>
    </xf>
    <xf numFmtId="0" fontId="51" fillId="17" borderId="0" xfId="0" applyFont="1" applyFill="1" applyProtection="1">
      <protection locked="0"/>
    </xf>
    <xf numFmtId="0" fontId="51" fillId="0" borderId="0" xfId="0" applyFont="1" applyProtection="1">
      <protection locked="0"/>
    </xf>
    <xf numFmtId="0" fontId="53" fillId="0" borderId="0" xfId="0" applyFont="1" applyProtection="1">
      <protection locked="0"/>
    </xf>
    <xf numFmtId="3" fontId="26" fillId="0" borderId="13" xfId="0" applyNumberFormat="1" applyFont="1" applyBorder="1" applyProtection="1">
      <protection locked="0"/>
    </xf>
    <xf numFmtId="0" fontId="26" fillId="0" borderId="13" xfId="0" applyFont="1" applyBorder="1" applyProtection="1">
      <protection locked="0"/>
    </xf>
    <xf numFmtId="0" fontId="28" fillId="0" borderId="66" xfId="0" applyFont="1" applyBorder="1" applyAlignment="1" applyProtection="1">
      <alignment horizontal="center" vertical="center"/>
      <protection locked="0"/>
    </xf>
    <xf numFmtId="0" fontId="27" fillId="0" borderId="17" xfId="0" applyFont="1" applyBorder="1" applyAlignment="1" applyProtection="1">
      <alignment horizontal="center" vertical="top"/>
      <protection locked="0"/>
    </xf>
    <xf numFmtId="1" fontId="28" fillId="0" borderId="25" xfId="0" applyNumberFormat="1" applyFont="1" applyFill="1" applyBorder="1" applyAlignment="1" applyProtection="1">
      <alignment horizontal="center"/>
      <protection locked="0"/>
    </xf>
    <xf numFmtId="0" fontId="28" fillId="0" borderId="25" xfId="0" applyFont="1" applyFill="1" applyBorder="1" applyProtection="1">
      <protection locked="0"/>
    </xf>
    <xf numFmtId="0" fontId="28" fillId="4" borderId="19" xfId="0" applyFont="1" applyFill="1" applyBorder="1" applyAlignment="1" applyProtection="1">
      <alignment horizontal="center"/>
      <protection locked="0"/>
    </xf>
    <xf numFmtId="0" fontId="28" fillId="4" borderId="18" xfId="0" applyFont="1" applyFill="1" applyBorder="1" applyAlignment="1" applyProtection="1">
      <alignment horizontal="center"/>
      <protection locked="0"/>
    </xf>
    <xf numFmtId="0" fontId="28" fillId="4" borderId="25" xfId="0" applyFont="1" applyFill="1" applyBorder="1" applyAlignment="1" applyProtection="1">
      <alignment horizontal="center"/>
      <protection locked="0"/>
    </xf>
    <xf numFmtId="0" fontId="28" fillId="0" borderId="16" xfId="0" applyFont="1" applyFill="1" applyBorder="1" applyProtection="1">
      <protection locked="0"/>
    </xf>
    <xf numFmtId="0" fontId="28" fillId="4" borderId="32" xfId="0" applyFont="1" applyFill="1" applyBorder="1" applyAlignment="1" applyProtection="1">
      <alignment horizontal="center"/>
      <protection locked="0"/>
    </xf>
    <xf numFmtId="0" fontId="28" fillId="4" borderId="16" xfId="0" applyFont="1" applyFill="1" applyBorder="1" applyAlignment="1" applyProtection="1">
      <alignment horizontal="center"/>
      <protection locked="0"/>
    </xf>
    <xf numFmtId="0" fontId="29" fillId="4" borderId="25" xfId="0" applyFont="1" applyFill="1" applyBorder="1" applyAlignment="1" applyProtection="1">
      <alignment vertical="top"/>
      <protection locked="0"/>
    </xf>
    <xf numFmtId="0" fontId="28" fillId="4" borderId="16" xfId="0" applyFont="1" applyFill="1" applyBorder="1" applyProtection="1">
      <protection locked="0"/>
    </xf>
    <xf numFmtId="0" fontId="28" fillId="4" borderId="13" xfId="0" applyFont="1" applyFill="1" applyBorder="1" applyAlignment="1" applyProtection="1">
      <alignment horizontal="center"/>
      <protection locked="0"/>
    </xf>
    <xf numFmtId="0" fontId="26" fillId="0" borderId="0" xfId="0" applyFont="1" applyAlignment="1" applyProtection="1">
      <alignment vertical="top"/>
      <protection locked="0"/>
    </xf>
    <xf numFmtId="0" fontId="26" fillId="0" borderId="0" xfId="0" applyFont="1" applyBorder="1" applyAlignment="1" applyProtection="1">
      <alignment vertical="top"/>
      <protection locked="0"/>
    </xf>
    <xf numFmtId="0" fontId="56" fillId="0" borderId="0" xfId="0" applyFont="1" applyAlignment="1" applyProtection="1">
      <alignment horizontal="left"/>
      <protection locked="0"/>
    </xf>
    <xf numFmtId="49" fontId="26" fillId="0" borderId="0" xfId="0" applyNumberFormat="1" applyFont="1" applyProtection="1">
      <protection locked="0"/>
    </xf>
    <xf numFmtId="0" fontId="55" fillId="0" borderId="0" xfId="0" applyFont="1" applyProtection="1">
      <protection locked="0"/>
    </xf>
    <xf numFmtId="0" fontId="28" fillId="4" borderId="14" xfId="0" applyFont="1" applyFill="1" applyBorder="1" applyAlignment="1" applyProtection="1">
      <alignment horizontal="center"/>
      <protection locked="0"/>
    </xf>
    <xf numFmtId="0" fontId="55" fillId="0" borderId="0" xfId="0" applyFont="1" applyAlignment="1" applyProtection="1">
      <alignment horizontal="center"/>
      <protection locked="0"/>
    </xf>
    <xf numFmtId="0" fontId="27" fillId="0" borderId="0" xfId="0" applyFont="1" applyProtection="1">
      <protection locked="0"/>
    </xf>
    <xf numFmtId="1" fontId="45" fillId="0" borderId="15" xfId="0" applyNumberFormat="1" applyFont="1" applyFill="1" applyBorder="1" applyAlignment="1" applyProtection="1">
      <alignment horizontal="center"/>
      <protection locked="0"/>
    </xf>
    <xf numFmtId="1" fontId="45" fillId="9" borderId="13" xfId="0" applyNumberFormat="1" applyFont="1" applyFill="1" applyBorder="1" applyAlignment="1" applyProtection="1">
      <alignment horizontal="center"/>
      <protection locked="0"/>
    </xf>
    <xf numFmtId="0" fontId="82" fillId="9" borderId="36" xfId="0" applyFont="1" applyFill="1" applyBorder="1" applyAlignment="1" applyProtection="1">
      <alignment horizontal="left" vertical="center"/>
      <protection locked="0"/>
    </xf>
    <xf numFmtId="0" fontId="28" fillId="9" borderId="13" xfId="0" applyFont="1" applyFill="1" applyBorder="1" applyAlignment="1" applyProtection="1">
      <alignment horizontal="center" vertical="center"/>
      <protection locked="0"/>
    </xf>
    <xf numFmtId="1" fontId="45" fillId="9" borderId="17" xfId="0" applyNumberFormat="1" applyFont="1" applyFill="1" applyBorder="1" applyAlignment="1" applyProtection="1">
      <alignment horizontal="center"/>
      <protection locked="0"/>
    </xf>
    <xf numFmtId="0" fontId="82" fillId="9" borderId="17" xfId="0" applyFont="1" applyFill="1" applyBorder="1" applyAlignment="1" applyProtection="1">
      <alignment vertical="center"/>
      <protection locked="0"/>
    </xf>
    <xf numFmtId="1" fontId="33" fillId="4" borderId="0" xfId="0" applyNumberFormat="1" applyFont="1" applyFill="1" applyBorder="1" applyAlignment="1" applyProtection="1">
      <alignment vertical="center" wrapText="1"/>
      <protection locked="0"/>
    </xf>
    <xf numFmtId="0" fontId="45" fillId="4" borderId="0" xfId="0" applyFont="1" applyFill="1" applyAlignment="1" applyProtection="1">
      <alignment horizontal="center"/>
      <protection locked="0"/>
    </xf>
    <xf numFmtId="0" fontId="45" fillId="4" borderId="0" xfId="0" applyFont="1" applyFill="1" applyAlignment="1" applyProtection="1">
      <alignment horizontal="left"/>
      <protection locked="0"/>
    </xf>
    <xf numFmtId="0" fontId="26" fillId="0" borderId="42" xfId="0" applyFont="1" applyBorder="1" applyProtection="1">
      <protection locked="0"/>
    </xf>
    <xf numFmtId="0" fontId="26" fillId="0" borderId="0" xfId="0" applyFont="1" applyBorder="1" applyProtection="1">
      <protection locked="0"/>
    </xf>
    <xf numFmtId="0" fontId="26" fillId="0" borderId="0" xfId="0" applyFont="1" applyBorder="1" applyAlignment="1" applyProtection="1">
      <alignment horizontal="center"/>
      <protection locked="0"/>
    </xf>
    <xf numFmtId="0" fontId="27" fillId="0" borderId="0" xfId="0" applyFont="1" applyAlignment="1" applyProtection="1">
      <alignment horizontal="left"/>
      <protection locked="0"/>
    </xf>
    <xf numFmtId="0" fontId="22" fillId="0" borderId="0" xfId="0" applyFont="1" applyAlignment="1" applyProtection="1">
      <alignment horizontal="center"/>
      <protection locked="0"/>
    </xf>
    <xf numFmtId="0" fontId="31" fillId="0" borderId="0" xfId="0" applyFont="1" applyProtection="1">
      <protection locked="0"/>
    </xf>
    <xf numFmtId="0" fontId="57" fillId="0" borderId="0" xfId="0" applyFont="1" applyProtection="1">
      <protection locked="0"/>
    </xf>
    <xf numFmtId="0" fontId="58" fillId="0" borderId="0" xfId="0" applyFont="1" applyProtection="1">
      <protection locked="0"/>
    </xf>
    <xf numFmtId="0" fontId="59" fillId="0" borderId="0" xfId="0" applyFont="1" applyProtection="1">
      <protection locked="0"/>
    </xf>
    <xf numFmtId="0" fontId="60" fillId="17" borderId="0" xfId="0" applyFont="1" applyFill="1" applyProtection="1">
      <protection locked="0"/>
    </xf>
    <xf numFmtId="0" fontId="58" fillId="17" borderId="0" xfId="0" applyFont="1" applyFill="1" applyProtection="1">
      <protection locked="0"/>
    </xf>
    <xf numFmtId="0" fontId="61" fillId="0" borderId="0" xfId="0" applyFont="1" applyProtection="1">
      <protection locked="0"/>
    </xf>
    <xf numFmtId="0" fontId="26" fillId="19" borderId="0" xfId="0" applyFont="1" applyFill="1" applyProtection="1">
      <protection locked="0"/>
    </xf>
    <xf numFmtId="0" fontId="26" fillId="0" borderId="36" xfId="0" applyFont="1" applyBorder="1" applyProtection="1">
      <protection locked="0"/>
    </xf>
    <xf numFmtId="0" fontId="27" fillId="0" borderId="37" xfId="0" applyFont="1" applyBorder="1" applyAlignment="1" applyProtection="1">
      <alignment horizontal="center" vertical="top"/>
      <protection locked="0"/>
    </xf>
    <xf numFmtId="165" fontId="28" fillId="0" borderId="19" xfId="0" applyNumberFormat="1" applyFont="1" applyFill="1" applyBorder="1" applyAlignment="1" applyProtection="1">
      <alignment horizontal="center" vertical="center"/>
      <protection locked="0"/>
    </xf>
    <xf numFmtId="0" fontId="29" fillId="0" borderId="34" xfId="0" applyFont="1" applyBorder="1" applyAlignment="1" applyProtection="1">
      <alignment vertical="top"/>
      <protection locked="0"/>
    </xf>
    <xf numFmtId="0" fontId="0" fillId="4" borderId="13" xfId="0" applyFill="1" applyBorder="1" applyAlignment="1" applyProtection="1">
      <alignment vertical="top"/>
      <protection locked="0"/>
    </xf>
    <xf numFmtId="0" fontId="54" fillId="8" borderId="13" xfId="0" applyFont="1" applyFill="1" applyBorder="1" applyAlignment="1" applyProtection="1">
      <alignment horizontal="center"/>
      <protection locked="0"/>
    </xf>
    <xf numFmtId="0" fontId="27" fillId="0" borderId="39" xfId="0" applyFont="1" applyBorder="1" applyProtection="1">
      <protection locked="0"/>
    </xf>
    <xf numFmtId="0" fontId="49" fillId="8" borderId="17" xfId="0" applyFont="1" applyFill="1" applyBorder="1" applyAlignment="1" applyProtection="1">
      <alignment horizontal="center"/>
      <protection locked="0"/>
    </xf>
    <xf numFmtId="0" fontId="28" fillId="0" borderId="26" xfId="0" applyFont="1" applyBorder="1" applyProtection="1">
      <protection locked="0"/>
    </xf>
    <xf numFmtId="0" fontId="54" fillId="8" borderId="14" xfId="0" applyFont="1" applyFill="1" applyBorder="1" applyAlignment="1" applyProtection="1">
      <alignment horizontal="center"/>
      <protection locked="0"/>
    </xf>
    <xf numFmtId="0" fontId="49" fillId="8" borderId="32" xfId="0" applyFont="1" applyFill="1" applyBorder="1" applyAlignment="1" applyProtection="1">
      <alignment horizontal="center"/>
      <protection locked="0"/>
    </xf>
    <xf numFmtId="0" fontId="49" fillId="4" borderId="17" xfId="0" applyFont="1" applyFill="1" applyBorder="1" applyAlignment="1" applyProtection="1">
      <alignment horizontal="center"/>
      <protection locked="0"/>
    </xf>
    <xf numFmtId="1" fontId="78" fillId="4" borderId="35" xfId="0" applyNumberFormat="1" applyFont="1" applyFill="1" applyBorder="1" applyAlignment="1" applyProtection="1">
      <alignment horizontal="center"/>
      <protection locked="0"/>
    </xf>
    <xf numFmtId="0" fontId="28" fillId="4" borderId="26" xfId="0" applyFont="1" applyFill="1" applyBorder="1" applyProtection="1">
      <protection locked="0"/>
    </xf>
    <xf numFmtId="0" fontId="27" fillId="4" borderId="39" xfId="0" applyFont="1" applyFill="1" applyBorder="1" applyProtection="1">
      <protection locked="0"/>
    </xf>
    <xf numFmtId="0" fontId="49" fillId="8" borderId="19" xfId="0" applyFont="1" applyFill="1" applyBorder="1" applyAlignment="1" applyProtection="1">
      <alignment horizontal="center"/>
      <protection locked="0"/>
    </xf>
    <xf numFmtId="0" fontId="49" fillId="8" borderId="18" xfId="0" applyFont="1" applyFill="1" applyBorder="1" applyAlignment="1" applyProtection="1">
      <alignment horizontal="center"/>
      <protection locked="0"/>
    </xf>
    <xf numFmtId="0" fontId="49" fillId="4" borderId="19" xfId="0" applyFont="1" applyFill="1" applyBorder="1" applyAlignment="1" applyProtection="1">
      <alignment horizontal="center"/>
      <protection locked="0"/>
    </xf>
    <xf numFmtId="1" fontId="78" fillId="9" borderId="13" xfId="0" applyNumberFormat="1" applyFont="1" applyFill="1" applyBorder="1" applyAlignment="1" applyProtection="1">
      <alignment horizontal="center"/>
      <protection locked="0"/>
    </xf>
    <xf numFmtId="0" fontId="84" fillId="9" borderId="13" xfId="0" applyFont="1" applyFill="1" applyBorder="1" applyAlignment="1" applyProtection="1">
      <alignment horizontal="left" vertical="center"/>
      <protection locked="0"/>
    </xf>
    <xf numFmtId="1" fontId="78" fillId="9" borderId="17" xfId="0" applyNumberFormat="1" applyFont="1" applyFill="1" applyBorder="1" applyAlignment="1" applyProtection="1">
      <alignment horizontal="center"/>
      <protection locked="0"/>
    </xf>
    <xf numFmtId="0" fontId="84" fillId="9" borderId="37" xfId="0" applyFont="1" applyFill="1" applyBorder="1" applyAlignment="1" applyProtection="1">
      <alignment vertical="center"/>
      <protection locked="0"/>
    </xf>
    <xf numFmtId="0" fontId="33" fillId="9" borderId="22" xfId="0" applyFont="1" applyFill="1" applyBorder="1" applyAlignment="1" applyProtection="1">
      <alignment horizontal="left" vertical="center"/>
      <protection locked="0"/>
    </xf>
    <xf numFmtId="0" fontId="33" fillId="9" borderId="17" xfId="0" applyFont="1" applyFill="1" applyBorder="1" applyAlignment="1" applyProtection="1">
      <alignment vertical="center"/>
      <protection locked="0"/>
    </xf>
    <xf numFmtId="0" fontId="60" fillId="18" borderId="0" xfId="0" applyFont="1" applyFill="1" applyProtection="1">
      <protection locked="0"/>
    </xf>
    <xf numFmtId="0" fontId="58" fillId="18" borderId="0" xfId="0" applyFont="1" applyFill="1" applyProtection="1">
      <protection locked="0"/>
    </xf>
    <xf numFmtId="0" fontId="79" fillId="20" borderId="0" xfId="0" applyFont="1" applyFill="1" applyProtection="1">
      <protection locked="0"/>
    </xf>
    <xf numFmtId="0" fontId="0" fillId="0" borderId="0" xfId="0" applyAlignment="1" applyProtection="1">
      <alignment vertical="top"/>
      <protection locked="0"/>
    </xf>
    <xf numFmtId="0" fontId="28" fillId="0" borderId="18" xfId="0" applyFont="1" applyFill="1" applyBorder="1" applyAlignment="1" applyProtection="1">
      <alignment horizontal="center"/>
      <protection locked="0"/>
    </xf>
    <xf numFmtId="0" fontId="3" fillId="0" borderId="0" xfId="0" applyFont="1" applyProtection="1">
      <protection locked="0"/>
    </xf>
    <xf numFmtId="0" fontId="64" fillId="7" borderId="5" xfId="0" applyFont="1" applyFill="1" applyBorder="1" applyProtection="1">
      <protection locked="0"/>
    </xf>
    <xf numFmtId="0" fontId="62" fillId="0" borderId="0" xfId="0" applyFont="1" applyProtection="1">
      <protection locked="0"/>
    </xf>
    <xf numFmtId="3" fontId="65" fillId="0" borderId="0" xfId="0" applyNumberFormat="1" applyFont="1" applyAlignment="1" applyProtection="1">
      <alignment horizontal="center"/>
      <protection locked="0"/>
    </xf>
    <xf numFmtId="3" fontId="51" fillId="0" borderId="0" xfId="0" applyNumberFormat="1" applyFont="1" applyAlignment="1" applyProtection="1">
      <alignment horizontal="center"/>
      <protection locked="0"/>
    </xf>
    <xf numFmtId="0" fontId="4" fillId="0" borderId="0" xfId="0" applyFont="1" applyProtection="1">
      <protection locked="0"/>
    </xf>
    <xf numFmtId="0" fontId="65" fillId="0" borderId="0" xfId="0" applyFont="1" applyProtection="1">
      <protection locked="0"/>
    </xf>
    <xf numFmtId="0" fontId="66" fillId="0" borderId="0" xfId="0" applyFont="1" applyAlignment="1" applyProtection="1">
      <alignment vertical="top"/>
      <protection locked="0"/>
    </xf>
    <xf numFmtId="0" fontId="27" fillId="0" borderId="25" xfId="0" applyFont="1" applyBorder="1" applyProtection="1">
      <protection locked="0"/>
    </xf>
    <xf numFmtId="0" fontId="33" fillId="9" borderId="20" xfId="0" applyFont="1" applyFill="1" applyBorder="1" applyAlignment="1" applyProtection="1">
      <alignment horizontal="left" vertical="center"/>
      <protection locked="0"/>
    </xf>
    <xf numFmtId="0" fontId="64" fillId="7" borderId="5" xfId="0" applyFont="1" applyFill="1" applyBorder="1" applyAlignment="1" applyProtection="1">
      <alignment vertical="top"/>
      <protection locked="0"/>
    </xf>
    <xf numFmtId="0" fontId="38" fillId="0" borderId="0" xfId="0" applyFont="1" applyAlignment="1" applyProtection="1">
      <alignment horizontal="center"/>
      <protection locked="0"/>
    </xf>
    <xf numFmtId="0" fontId="64" fillId="0" borderId="0" xfId="0" applyFont="1" applyProtection="1">
      <protection locked="0"/>
    </xf>
    <xf numFmtId="1" fontId="47" fillId="4" borderId="0" xfId="0" applyNumberFormat="1" applyFont="1" applyFill="1" applyBorder="1" applyAlignment="1" applyProtection="1">
      <alignment vertical="top" wrapText="1"/>
      <protection locked="0"/>
    </xf>
    <xf numFmtId="0" fontId="0" fillId="4" borderId="0" xfId="0" applyFill="1" applyProtection="1">
      <protection locked="0"/>
    </xf>
    <xf numFmtId="0" fontId="26" fillId="20" borderId="0" xfId="0" applyFont="1" applyFill="1" applyProtection="1">
      <protection locked="0"/>
    </xf>
    <xf numFmtId="0" fontId="28" fillId="0" borderId="0" xfId="0" applyFont="1" applyBorder="1" applyAlignment="1" applyProtection="1">
      <alignment vertical="center"/>
      <protection locked="0"/>
    </xf>
    <xf numFmtId="0" fontId="28" fillId="0" borderId="17" xfId="0" applyFont="1" applyBorder="1" applyProtection="1">
      <protection locked="0"/>
    </xf>
    <xf numFmtId="0" fontId="28" fillId="0" borderId="25" xfId="0" applyFont="1" applyBorder="1" applyProtection="1">
      <protection locked="0"/>
    </xf>
    <xf numFmtId="1" fontId="28" fillId="0" borderId="24" xfId="0" applyNumberFormat="1" applyFont="1" applyBorder="1" applyAlignment="1" applyProtection="1">
      <alignment horizontal="center"/>
      <protection locked="0"/>
    </xf>
    <xf numFmtId="49" fontId="28" fillId="0" borderId="25" xfId="0" applyNumberFormat="1" applyFont="1" applyBorder="1" applyProtection="1">
      <protection locked="0"/>
    </xf>
    <xf numFmtId="0" fontId="28" fillId="4" borderId="17" xfId="0" applyFont="1" applyFill="1" applyBorder="1" applyProtection="1">
      <protection locked="0"/>
    </xf>
    <xf numFmtId="1" fontId="28" fillId="0" borderId="33" xfId="0" applyNumberFormat="1" applyFont="1" applyBorder="1" applyAlignment="1" applyProtection="1">
      <alignment horizontal="center" vertical="top"/>
      <protection locked="0"/>
    </xf>
    <xf numFmtId="1" fontId="28" fillId="0" borderId="38" xfId="0" applyNumberFormat="1" applyFont="1" applyBorder="1" applyAlignment="1" applyProtection="1">
      <alignment horizontal="center"/>
      <protection locked="0"/>
    </xf>
    <xf numFmtId="0" fontId="28" fillId="0" borderId="39" xfId="0" applyFont="1" applyBorder="1" applyProtection="1">
      <protection locked="0"/>
    </xf>
    <xf numFmtId="0" fontId="0" fillId="0" borderId="0" xfId="0" applyAlignment="1" applyProtection="1">
      <alignment wrapText="1"/>
      <protection locked="0"/>
    </xf>
    <xf numFmtId="0" fontId="60" fillId="0" borderId="0" xfId="0" applyFont="1" applyProtection="1">
      <protection locked="0"/>
    </xf>
    <xf numFmtId="0" fontId="45" fillId="0" borderId="0" xfId="0" applyFont="1" applyAlignment="1" applyProtection="1">
      <alignment horizontal="left"/>
      <protection locked="0"/>
    </xf>
    <xf numFmtId="0" fontId="67" fillId="0" borderId="0" xfId="0" applyFont="1" applyProtection="1">
      <protection locked="0"/>
    </xf>
    <xf numFmtId="1" fontId="27" fillId="4" borderId="33" xfId="0" applyNumberFormat="1" applyFont="1" applyFill="1" applyBorder="1" applyAlignment="1" applyProtection="1">
      <alignment horizontal="center" vertical="top"/>
      <protection locked="0"/>
    </xf>
    <xf numFmtId="0" fontId="26" fillId="4" borderId="28" xfId="0" applyFont="1" applyFill="1" applyBorder="1" applyAlignment="1" applyProtection="1">
      <alignment vertical="top"/>
      <protection locked="0"/>
    </xf>
    <xf numFmtId="0" fontId="56" fillId="4" borderId="13" xfId="0" applyFont="1" applyFill="1" applyBorder="1" applyAlignment="1" applyProtection="1">
      <alignment horizontal="center"/>
      <protection locked="0"/>
    </xf>
    <xf numFmtId="0" fontId="47" fillId="4" borderId="13" xfId="0" applyFont="1" applyFill="1" applyBorder="1" applyAlignment="1" applyProtection="1">
      <alignment horizontal="center"/>
      <protection locked="0"/>
    </xf>
    <xf numFmtId="1" fontId="27" fillId="4" borderId="38" xfId="0" applyNumberFormat="1" applyFont="1" applyFill="1" applyBorder="1" applyAlignment="1" applyProtection="1">
      <alignment horizontal="center"/>
      <protection locked="0"/>
    </xf>
    <xf numFmtId="0" fontId="27" fillId="4" borderId="24" xfId="0" applyFont="1" applyFill="1" applyBorder="1" applyProtection="1">
      <protection locked="0"/>
    </xf>
    <xf numFmtId="0" fontId="47" fillId="4" borderId="17" xfId="0" applyFont="1" applyFill="1" applyBorder="1" applyAlignment="1" applyProtection="1">
      <alignment horizontal="center"/>
      <protection locked="0"/>
    </xf>
    <xf numFmtId="0" fontId="47" fillId="4" borderId="24" xfId="0" applyFont="1" applyFill="1" applyBorder="1" applyAlignment="1" applyProtection="1">
      <alignment horizontal="center"/>
      <protection locked="0"/>
    </xf>
    <xf numFmtId="0" fontId="48" fillId="4" borderId="24" xfId="0" applyFont="1" applyFill="1" applyBorder="1" applyAlignment="1" applyProtection="1">
      <alignment horizontal="center"/>
      <protection locked="0"/>
    </xf>
    <xf numFmtId="1" fontId="0" fillId="0" borderId="0" xfId="0" applyNumberFormat="1" applyProtection="1">
      <protection locked="0"/>
    </xf>
    <xf numFmtId="1" fontId="27" fillId="0" borderId="35" xfId="0" applyNumberFormat="1" applyFont="1" applyBorder="1" applyAlignment="1" applyProtection="1">
      <alignment horizontal="center" vertical="top"/>
      <protection locked="0"/>
    </xf>
    <xf numFmtId="0" fontId="27" fillId="4" borderId="13" xfId="0" applyFont="1" applyFill="1" applyBorder="1" applyAlignment="1" applyProtection="1">
      <alignment horizontal="center"/>
      <protection locked="0"/>
    </xf>
    <xf numFmtId="0" fontId="63" fillId="0" borderId="0" xfId="0" applyFont="1" applyProtection="1">
      <protection locked="0"/>
    </xf>
    <xf numFmtId="1" fontId="27" fillId="0" borderId="38" xfId="0" applyNumberFormat="1" applyFont="1" applyBorder="1" applyAlignment="1" applyProtection="1">
      <alignment horizontal="center"/>
      <protection locked="0"/>
    </xf>
    <xf numFmtId="0" fontId="27" fillId="4" borderId="24" xfId="0" applyFont="1" applyFill="1" applyBorder="1" applyAlignment="1" applyProtection="1">
      <alignment horizontal="center"/>
      <protection locked="0"/>
    </xf>
    <xf numFmtId="0" fontId="47" fillId="4" borderId="19" xfId="0" applyFont="1" applyFill="1" applyBorder="1" applyAlignment="1" applyProtection="1">
      <alignment horizontal="center"/>
      <protection locked="0"/>
    </xf>
    <xf numFmtId="1" fontId="27" fillId="4" borderId="35" xfId="0" applyNumberFormat="1" applyFont="1" applyFill="1" applyBorder="1" applyAlignment="1" applyProtection="1">
      <alignment horizontal="center"/>
      <protection locked="0"/>
    </xf>
    <xf numFmtId="0" fontId="27" fillId="4" borderId="19" xfId="0" applyFont="1" applyFill="1" applyBorder="1" applyProtection="1">
      <protection locked="0"/>
    </xf>
    <xf numFmtId="0" fontId="27" fillId="0" borderId="19" xfId="0" applyFont="1" applyBorder="1" applyProtection="1">
      <protection locked="0"/>
    </xf>
    <xf numFmtId="0" fontId="27" fillId="4" borderId="17" xfId="0" applyFont="1" applyFill="1" applyBorder="1" applyAlignment="1" applyProtection="1">
      <alignment horizontal="center"/>
      <protection locked="0"/>
    </xf>
    <xf numFmtId="0" fontId="48" fillId="4" borderId="17" xfId="0" applyFont="1" applyFill="1" applyBorder="1" applyAlignment="1" applyProtection="1">
      <alignment horizontal="center"/>
      <protection locked="0"/>
    </xf>
    <xf numFmtId="1" fontId="27" fillId="4" borderId="25" xfId="0" applyNumberFormat="1" applyFont="1" applyFill="1" applyBorder="1" applyAlignment="1" applyProtection="1">
      <alignment horizontal="center"/>
      <protection locked="0"/>
    </xf>
    <xf numFmtId="0" fontId="27" fillId="4" borderId="25" xfId="0" applyFont="1" applyFill="1" applyBorder="1" applyProtection="1">
      <protection locked="0"/>
    </xf>
    <xf numFmtId="0" fontId="27" fillId="4" borderId="19" xfId="0" applyFont="1" applyFill="1" applyBorder="1" applyAlignment="1" applyProtection="1">
      <alignment horizontal="center"/>
      <protection locked="0"/>
    </xf>
    <xf numFmtId="0" fontId="46" fillId="4" borderId="19" xfId="0" applyFont="1" applyFill="1" applyBorder="1" applyAlignment="1" applyProtection="1">
      <alignment horizontal="center"/>
      <protection locked="0"/>
    </xf>
    <xf numFmtId="0" fontId="46" fillId="4" borderId="13" xfId="0" applyFont="1" applyFill="1" applyBorder="1" applyAlignment="1" applyProtection="1">
      <alignment horizontal="center"/>
      <protection locked="0"/>
    </xf>
    <xf numFmtId="49" fontId="27" fillId="4" borderId="39" xfId="0" applyNumberFormat="1" applyFont="1" applyFill="1" applyBorder="1" applyProtection="1">
      <protection locked="0"/>
    </xf>
    <xf numFmtId="1" fontId="27" fillId="0" borderId="25" xfId="0" applyNumberFormat="1" applyFont="1" applyBorder="1" applyAlignment="1" applyProtection="1">
      <alignment horizontal="center"/>
      <protection locked="0"/>
    </xf>
    <xf numFmtId="0" fontId="0" fillId="0" borderId="25" xfId="0" applyBorder="1" applyProtection="1">
      <protection locked="0"/>
    </xf>
    <xf numFmtId="49" fontId="27" fillId="0" borderId="39" xfId="0" applyNumberFormat="1" applyFont="1" applyBorder="1" applyProtection="1">
      <protection locked="0"/>
    </xf>
    <xf numFmtId="0" fontId="27" fillId="4" borderId="22" xfId="0" applyFont="1" applyFill="1" applyBorder="1" applyProtection="1">
      <protection locked="0"/>
    </xf>
    <xf numFmtId="0" fontId="48" fillId="4" borderId="13" xfId="0" applyFont="1" applyFill="1" applyBorder="1" applyAlignment="1" applyProtection="1">
      <alignment horizontal="center"/>
      <protection locked="0"/>
    </xf>
    <xf numFmtId="0" fontId="48" fillId="4" borderId="19" xfId="0" applyFont="1" applyFill="1" applyBorder="1" applyAlignment="1" applyProtection="1">
      <alignment horizontal="center"/>
      <protection locked="0"/>
    </xf>
    <xf numFmtId="1" fontId="47" fillId="0" borderId="25" xfId="0" applyNumberFormat="1" applyFont="1" applyBorder="1" applyAlignment="1" applyProtection="1">
      <alignment horizontal="center"/>
      <protection locked="0"/>
    </xf>
    <xf numFmtId="49" fontId="27" fillId="0" borderId="25" xfId="0" applyNumberFormat="1" applyFont="1" applyBorder="1" applyProtection="1">
      <protection locked="0"/>
    </xf>
    <xf numFmtId="1" fontId="27" fillId="0" borderId="22" xfId="0" applyNumberFormat="1" applyFont="1" applyBorder="1" applyAlignment="1" applyProtection="1">
      <alignment horizontal="center"/>
      <protection locked="0"/>
    </xf>
    <xf numFmtId="0" fontId="68" fillId="0" borderId="0" xfId="0" applyFont="1" applyProtection="1">
      <protection locked="0"/>
    </xf>
    <xf numFmtId="1" fontId="27" fillId="4" borderId="24" xfId="0" applyNumberFormat="1" applyFont="1" applyFill="1" applyBorder="1" applyAlignment="1" applyProtection="1">
      <alignment horizontal="center"/>
      <protection locked="0"/>
    </xf>
    <xf numFmtId="49" fontId="27" fillId="4" borderId="25" xfId="0" applyNumberFormat="1" applyFont="1" applyFill="1" applyBorder="1" applyProtection="1">
      <protection locked="0"/>
    </xf>
    <xf numFmtId="0" fontId="68" fillId="0" borderId="0" xfId="0" applyFont="1" applyAlignment="1" applyProtection="1">
      <alignment horizontal="center"/>
      <protection locked="0"/>
    </xf>
    <xf numFmtId="0" fontId="0" fillId="5" borderId="0" xfId="0" applyFill="1" applyProtection="1">
      <protection locked="0"/>
    </xf>
    <xf numFmtId="0" fontId="24" fillId="0" borderId="0" xfId="0" applyFont="1" applyProtection="1">
      <protection locked="0"/>
    </xf>
    <xf numFmtId="0" fontId="0" fillId="0" borderId="0" xfId="0" applyBorder="1" applyProtection="1">
      <protection locked="0"/>
    </xf>
    <xf numFmtId="3" fontId="26" fillId="4" borderId="0" xfId="0" applyNumberFormat="1" applyFont="1" applyFill="1" applyAlignment="1" applyProtection="1">
      <alignment horizontal="left"/>
      <protection locked="0"/>
    </xf>
    <xf numFmtId="0" fontId="27" fillId="4" borderId="0" xfId="0" applyFont="1" applyFill="1" applyProtection="1">
      <protection locked="0"/>
    </xf>
    <xf numFmtId="1" fontId="47" fillId="4" borderId="0" xfId="0" applyNumberFormat="1" applyFont="1" applyFill="1" applyAlignment="1" applyProtection="1">
      <alignment horizontal="center"/>
      <protection locked="0"/>
    </xf>
    <xf numFmtId="0" fontId="69" fillId="0" borderId="0" xfId="0" applyFont="1" applyBorder="1" applyAlignment="1" applyProtection="1">
      <alignment horizontal="left"/>
      <protection locked="0"/>
    </xf>
    <xf numFmtId="0" fontId="69" fillId="0" borderId="8" xfId="0" applyFont="1" applyBorder="1" applyAlignment="1" applyProtection="1">
      <alignment horizontal="left"/>
      <protection locked="0"/>
    </xf>
    <xf numFmtId="0" fontId="26" fillId="0" borderId="25" xfId="0" applyFont="1" applyBorder="1" applyAlignment="1" applyProtection="1">
      <alignment vertical="top"/>
      <protection locked="0"/>
    </xf>
    <xf numFmtId="1" fontId="27" fillId="4" borderId="35" xfId="0" applyNumberFormat="1" applyFont="1" applyFill="1" applyBorder="1" applyAlignment="1" applyProtection="1">
      <alignment horizontal="center" vertical="top"/>
      <protection locked="0"/>
    </xf>
    <xf numFmtId="0" fontId="26" fillId="4" borderId="25" xfId="0" applyFont="1" applyFill="1" applyBorder="1" applyAlignment="1" applyProtection="1">
      <alignment vertical="top"/>
      <protection locked="0"/>
    </xf>
    <xf numFmtId="1" fontId="0" fillId="0" borderId="0" xfId="0" applyNumberFormat="1" applyFill="1" applyProtection="1">
      <protection locked="0"/>
    </xf>
    <xf numFmtId="1" fontId="27" fillId="4" borderId="17" xfId="0" applyNumberFormat="1" applyFont="1" applyFill="1" applyBorder="1" applyAlignment="1" applyProtection="1">
      <alignment horizontal="center"/>
      <protection locked="0"/>
    </xf>
    <xf numFmtId="0" fontId="0" fillId="0" borderId="0" xfId="0" applyFill="1" applyProtection="1">
      <protection locked="0"/>
    </xf>
    <xf numFmtId="1" fontId="27" fillId="0" borderId="24" xfId="0" applyNumberFormat="1" applyFont="1" applyBorder="1" applyAlignment="1" applyProtection="1">
      <alignment horizontal="center"/>
      <protection locked="0"/>
    </xf>
    <xf numFmtId="1" fontId="27" fillId="0" borderId="38" xfId="0" applyNumberFormat="1" applyFont="1" applyFill="1" applyBorder="1" applyAlignment="1" applyProtection="1">
      <alignment horizontal="center"/>
      <protection locked="0"/>
    </xf>
    <xf numFmtId="1" fontId="27" fillId="4" borderId="19" xfId="0" applyNumberFormat="1" applyFont="1" applyFill="1" applyBorder="1" applyAlignment="1" applyProtection="1">
      <alignment horizontal="center"/>
      <protection locked="0"/>
    </xf>
    <xf numFmtId="1" fontId="27" fillId="4" borderId="43" xfId="0" applyNumberFormat="1" applyFont="1" applyFill="1" applyBorder="1" applyAlignment="1" applyProtection="1">
      <alignment horizontal="center"/>
      <protection locked="0"/>
    </xf>
    <xf numFmtId="0" fontId="70" fillId="0" borderId="0" xfId="0" applyFont="1" applyProtection="1">
      <protection locked="0"/>
    </xf>
    <xf numFmtId="0" fontId="54" fillId="8" borderId="19" xfId="0" applyFont="1" applyFill="1" applyBorder="1" applyAlignment="1" applyProtection="1">
      <alignment horizontal="center"/>
      <protection locked="0"/>
    </xf>
    <xf numFmtId="1" fontId="27" fillId="4" borderId="22" xfId="0" applyNumberFormat="1" applyFont="1" applyFill="1" applyBorder="1" applyAlignment="1" applyProtection="1">
      <alignment horizontal="center"/>
      <protection locked="0"/>
    </xf>
    <xf numFmtId="0" fontId="28" fillId="0" borderId="13" xfId="0" applyFont="1" applyFill="1" applyBorder="1" applyAlignment="1" applyProtection="1">
      <alignment horizontal="center"/>
      <protection locked="0"/>
    </xf>
    <xf numFmtId="0" fontId="49" fillId="0" borderId="19" xfId="0" applyFont="1" applyFill="1" applyBorder="1" applyAlignment="1" applyProtection="1">
      <alignment horizontal="center"/>
      <protection locked="0"/>
    </xf>
    <xf numFmtId="0" fontId="22" fillId="4" borderId="0" xfId="0" applyFont="1" applyFill="1" applyProtection="1">
      <protection locked="0"/>
    </xf>
    <xf numFmtId="1" fontId="33" fillId="9" borderId="21" xfId="0" applyNumberFormat="1" applyFont="1" applyFill="1" applyBorder="1" applyAlignment="1" applyProtection="1">
      <alignment horizontal="center" vertical="center"/>
      <protection locked="0"/>
    </xf>
    <xf numFmtId="0" fontId="33" fillId="9" borderId="21" xfId="0" applyFont="1" applyFill="1" applyBorder="1" applyAlignment="1" applyProtection="1">
      <alignment horizontal="left" vertical="center"/>
      <protection locked="0"/>
    </xf>
    <xf numFmtId="1" fontId="33" fillId="9" borderId="37" xfId="0" applyNumberFormat="1" applyFont="1" applyFill="1" applyBorder="1" applyAlignment="1" applyProtection="1">
      <alignment horizontal="center" vertical="center"/>
      <protection locked="0"/>
    </xf>
    <xf numFmtId="0" fontId="28" fillId="4" borderId="60" xfId="0" applyFont="1" applyFill="1" applyBorder="1" applyAlignment="1" applyProtection="1">
      <alignment horizontal="center"/>
      <protection locked="0"/>
    </xf>
    <xf numFmtId="0" fontId="87" fillId="4" borderId="13" xfId="0" applyFont="1" applyFill="1" applyBorder="1" applyAlignment="1" applyProtection="1">
      <alignment horizontal="center"/>
      <protection locked="0"/>
    </xf>
    <xf numFmtId="0" fontId="87" fillId="4" borderId="19" xfId="0" applyFont="1" applyFill="1" applyBorder="1" applyAlignment="1" applyProtection="1">
      <alignment horizontal="center"/>
      <protection locked="0"/>
    </xf>
    <xf numFmtId="0" fontId="47" fillId="0" borderId="17" xfId="0" applyFont="1" applyFill="1" applyBorder="1" applyAlignment="1" applyProtection="1">
      <alignment horizontal="center"/>
      <protection locked="0"/>
    </xf>
    <xf numFmtId="0" fontId="47" fillId="9" borderId="21" xfId="0" applyFont="1" applyFill="1" applyBorder="1" applyAlignment="1" applyProtection="1">
      <alignment horizontal="left" vertical="center"/>
      <protection locked="0"/>
    </xf>
    <xf numFmtId="0" fontId="47" fillId="9" borderId="37" xfId="0" applyFont="1" applyFill="1" applyBorder="1" applyAlignment="1" applyProtection="1">
      <alignment vertical="center"/>
      <protection locked="0"/>
    </xf>
    <xf numFmtId="0" fontId="47" fillId="9" borderId="17" xfId="0" applyFont="1" applyFill="1" applyBorder="1" applyAlignment="1" applyProtection="1">
      <alignment vertical="center"/>
      <protection locked="0"/>
    </xf>
    <xf numFmtId="0" fontId="47" fillId="9" borderId="22" xfId="0" applyFont="1" applyFill="1" applyBorder="1" applyAlignment="1" applyProtection="1">
      <alignment horizontal="left" vertical="center"/>
      <protection locked="0"/>
    </xf>
    <xf numFmtId="0" fontId="60" fillId="21" borderId="0" xfId="0" applyFont="1" applyFill="1" applyProtection="1">
      <protection locked="0"/>
    </xf>
    <xf numFmtId="0" fontId="58" fillId="21" borderId="0" xfId="0" applyFont="1" applyFill="1" applyProtection="1">
      <protection locked="0"/>
    </xf>
    <xf numFmtId="0" fontId="26" fillId="4" borderId="19" xfId="0" applyFont="1" applyFill="1" applyBorder="1" applyAlignment="1" applyProtection="1">
      <alignment vertical="top"/>
      <protection locked="0"/>
    </xf>
    <xf numFmtId="0" fontId="26" fillId="4" borderId="34" xfId="0" applyFont="1" applyFill="1" applyBorder="1" applyAlignment="1" applyProtection="1">
      <alignment vertical="top"/>
      <protection locked="0"/>
    </xf>
    <xf numFmtId="49" fontId="28" fillId="4" borderId="25" xfId="0" applyNumberFormat="1" applyFont="1" applyFill="1" applyBorder="1" applyProtection="1">
      <protection locked="0"/>
    </xf>
    <xf numFmtId="0" fontId="28" fillId="4" borderId="59" xfId="0" applyFont="1" applyFill="1" applyBorder="1" applyAlignment="1" applyProtection="1">
      <alignment horizontal="center"/>
      <protection locked="0"/>
    </xf>
    <xf numFmtId="1" fontId="27" fillId="0" borderId="25" xfId="0" applyNumberFormat="1" applyFont="1" applyFill="1" applyBorder="1" applyAlignment="1" applyProtection="1">
      <alignment horizontal="center"/>
      <protection locked="0"/>
    </xf>
    <xf numFmtId="0" fontId="27" fillId="0" borderId="22" xfId="0" applyFont="1" applyFill="1" applyBorder="1" applyProtection="1">
      <protection locked="0"/>
    </xf>
    <xf numFmtId="1" fontId="27" fillId="4" borderId="0" xfId="0" applyNumberFormat="1" applyFont="1" applyFill="1" applyBorder="1" applyAlignment="1" applyProtection="1">
      <alignment horizontal="left"/>
      <protection locked="0"/>
    </xf>
    <xf numFmtId="49" fontId="47" fillId="4" borderId="0" xfId="0" applyNumberFormat="1" applyFont="1" applyFill="1" applyBorder="1" applyProtection="1">
      <protection locked="0"/>
    </xf>
    <xf numFmtId="49" fontId="47" fillId="4" borderId="18" xfId="0" applyNumberFormat="1" applyFont="1" applyFill="1" applyBorder="1" applyProtection="1">
      <protection locked="0"/>
    </xf>
    <xf numFmtId="1" fontId="27" fillId="4" borderId="13" xfId="0" applyNumberFormat="1" applyFont="1" applyFill="1" applyBorder="1" applyAlignment="1" applyProtection="1">
      <alignment horizontal="left"/>
      <protection locked="0"/>
    </xf>
    <xf numFmtId="49" fontId="47" fillId="4" borderId="13" xfId="0" applyNumberFormat="1" applyFont="1" applyFill="1" applyBorder="1" applyProtection="1">
      <protection locked="0"/>
    </xf>
    <xf numFmtId="0" fontId="27" fillId="0" borderId="24" xfId="0" applyFont="1" applyFill="1" applyBorder="1" applyProtection="1">
      <protection locked="0"/>
    </xf>
    <xf numFmtId="1" fontId="28" fillId="0" borderId="64" xfId="0" applyNumberFormat="1" applyFont="1" applyFill="1" applyBorder="1" applyAlignment="1" applyProtection="1">
      <alignment horizontal="center" vertical="center"/>
      <protection locked="0"/>
    </xf>
    <xf numFmtId="1" fontId="28" fillId="0" borderId="3" xfId="0" applyNumberFormat="1" applyFont="1" applyFill="1" applyBorder="1" applyAlignment="1" applyProtection="1">
      <alignment horizontal="center" vertical="center"/>
      <protection locked="0"/>
    </xf>
    <xf numFmtId="0" fontId="28" fillId="0" borderId="64" xfId="0" applyFont="1" applyFill="1" applyBorder="1" applyAlignment="1" applyProtection="1">
      <alignment vertical="center"/>
      <protection locked="0"/>
    </xf>
    <xf numFmtId="1" fontId="28" fillId="0" borderId="65" xfId="0" applyNumberFormat="1" applyFont="1" applyFill="1" applyBorder="1" applyAlignment="1" applyProtection="1">
      <alignment horizontal="center" vertical="center"/>
      <protection locked="0"/>
    </xf>
    <xf numFmtId="1" fontId="28" fillId="0" borderId="9" xfId="0" applyNumberFormat="1" applyFont="1" applyFill="1" applyBorder="1" applyAlignment="1" applyProtection="1">
      <alignment horizontal="center" vertical="center"/>
      <protection locked="0"/>
    </xf>
    <xf numFmtId="0" fontId="28" fillId="0" borderId="65" xfId="0" applyFont="1" applyFill="1" applyBorder="1" applyAlignment="1" applyProtection="1">
      <alignment vertical="center"/>
      <protection locked="0"/>
    </xf>
    <xf numFmtId="0" fontId="47" fillId="0" borderId="19" xfId="0" applyFont="1" applyFill="1" applyBorder="1" applyAlignment="1" applyProtection="1">
      <alignment horizontal="center"/>
      <protection locked="0"/>
    </xf>
    <xf numFmtId="1" fontId="28" fillId="13" borderId="0" xfId="0" applyNumberFormat="1" applyFont="1" applyFill="1" applyBorder="1" applyAlignment="1" applyProtection="1">
      <alignment horizontal="center" vertical="center"/>
      <protection locked="0"/>
    </xf>
    <xf numFmtId="0" fontId="28" fillId="13" borderId="0" xfId="0" applyFont="1" applyFill="1" applyBorder="1" applyAlignment="1" applyProtection="1">
      <alignment vertical="center"/>
      <protection locked="0"/>
    </xf>
    <xf numFmtId="0" fontId="49" fillId="4" borderId="0" xfId="0" applyFont="1" applyFill="1" applyBorder="1" applyAlignment="1" applyProtection="1">
      <alignment horizontal="center" vertical="center"/>
      <protection locked="0"/>
    </xf>
    <xf numFmtId="1" fontId="28" fillId="4" borderId="16" xfId="0" applyNumberFormat="1" applyFont="1" applyFill="1" applyBorder="1" applyAlignment="1" applyProtection="1">
      <alignment horizontal="center"/>
      <protection locked="0"/>
    </xf>
    <xf numFmtId="0" fontId="89" fillId="4" borderId="13" xfId="0" applyFont="1" applyFill="1" applyBorder="1" applyAlignment="1" applyProtection="1">
      <alignment horizontal="center"/>
      <protection locked="0"/>
    </xf>
    <xf numFmtId="0" fontId="28" fillId="0" borderId="22" xfId="0" applyFont="1" applyFill="1" applyBorder="1" applyAlignment="1" applyProtection="1">
      <alignment vertical="center"/>
      <protection locked="0"/>
    </xf>
    <xf numFmtId="1" fontId="28" fillId="0" borderId="20" xfId="0" applyNumberFormat="1" applyFont="1" applyFill="1" applyBorder="1" applyAlignment="1" applyProtection="1">
      <alignment horizontal="center" vertical="center"/>
      <protection locked="0"/>
    </xf>
    <xf numFmtId="49" fontId="47" fillId="4" borderId="26" xfId="0" applyNumberFormat="1" applyFont="1" applyFill="1" applyBorder="1" applyProtection="1">
      <protection locked="0"/>
    </xf>
    <xf numFmtId="49" fontId="47" fillId="4" borderId="25" xfId="0" applyNumberFormat="1" applyFont="1" applyFill="1" applyBorder="1" applyProtection="1">
      <protection locked="0"/>
    </xf>
    <xf numFmtId="49" fontId="47" fillId="4" borderId="22" xfId="0" applyNumberFormat="1" applyFont="1" applyFill="1" applyBorder="1" applyProtection="1">
      <protection locked="0"/>
    </xf>
    <xf numFmtId="49" fontId="47" fillId="4" borderId="24" xfId="0" applyNumberFormat="1" applyFont="1" applyFill="1" applyBorder="1" applyProtection="1">
      <protection locked="0"/>
    </xf>
    <xf numFmtId="0" fontId="72" fillId="0" borderId="18" xfId="0" applyFont="1" applyFill="1" applyBorder="1" applyAlignment="1" applyProtection="1">
      <alignment horizontal="center"/>
      <protection locked="0"/>
    </xf>
    <xf numFmtId="0" fontId="88" fillId="4" borderId="14" xfId="0" applyFont="1" applyFill="1" applyBorder="1" applyAlignment="1">
      <alignment vertical="center"/>
    </xf>
    <xf numFmtId="0" fontId="88" fillId="4" borderId="68" xfId="0" applyFont="1" applyFill="1" applyBorder="1" applyAlignment="1">
      <alignment vertical="center"/>
    </xf>
    <xf numFmtId="1" fontId="28" fillId="0" borderId="62" xfId="0" applyNumberFormat="1" applyFont="1" applyFill="1" applyBorder="1" applyAlignment="1" applyProtection="1">
      <alignment horizontal="center" vertical="center"/>
      <protection locked="0"/>
    </xf>
    <xf numFmtId="0" fontId="28" fillId="0" borderId="63" xfId="0" applyFont="1" applyFill="1" applyBorder="1" applyAlignment="1" applyProtection="1">
      <alignment horizontal="center"/>
      <protection locked="0"/>
    </xf>
    <xf numFmtId="1" fontId="28" fillId="0" borderId="18" xfId="0" applyNumberFormat="1" applyFont="1" applyFill="1" applyBorder="1" applyAlignment="1" applyProtection="1">
      <alignment horizontal="center" vertical="center"/>
      <protection locked="0"/>
    </xf>
    <xf numFmtId="0" fontId="28" fillId="0" borderId="25" xfId="0" applyFont="1" applyFill="1" applyBorder="1" applyAlignment="1" applyProtection="1">
      <alignment horizontal="center"/>
      <protection locked="0"/>
    </xf>
    <xf numFmtId="0" fontId="39" fillId="9" borderId="19" xfId="0" applyFont="1" applyFill="1" applyBorder="1" applyAlignment="1" applyProtection="1">
      <alignment horizontal="center" vertical="center"/>
      <protection locked="0"/>
    </xf>
    <xf numFmtId="0" fontId="51" fillId="9" borderId="19" xfId="0" applyFont="1" applyFill="1" applyBorder="1" applyAlignment="1" applyProtection="1">
      <alignment horizontal="center" vertical="center"/>
      <protection locked="0"/>
    </xf>
    <xf numFmtId="0" fontId="2" fillId="0" borderId="0" xfId="0" applyFont="1" applyProtection="1">
      <protection locked="0"/>
    </xf>
    <xf numFmtId="0" fontId="2" fillId="0" borderId="69" xfId="0" applyFont="1" applyBorder="1" applyProtection="1">
      <protection locked="0"/>
    </xf>
    <xf numFmtId="0" fontId="2" fillId="0" borderId="70" xfId="0" applyFont="1" applyBorder="1" applyProtection="1">
      <protection locked="0"/>
    </xf>
    <xf numFmtId="0" fontId="0" fillId="0" borderId="71" xfId="0" applyBorder="1" applyProtection="1">
      <protection locked="0"/>
    </xf>
    <xf numFmtId="0" fontId="2" fillId="0" borderId="72" xfId="0" applyFont="1" applyBorder="1" applyProtection="1">
      <protection locked="0"/>
    </xf>
    <xf numFmtId="0" fontId="2" fillId="0" borderId="73" xfId="0" applyFont="1" applyBorder="1" applyProtection="1">
      <protection locked="0"/>
    </xf>
    <xf numFmtId="0" fontId="0" fillId="0" borderId="74" xfId="0" applyBorder="1" applyProtection="1">
      <protection locked="0"/>
    </xf>
    <xf numFmtId="0" fontId="1" fillId="0" borderId="0" xfId="0" applyFont="1" applyProtection="1">
      <protection locked="0"/>
    </xf>
    <xf numFmtId="49" fontId="47" fillId="4" borderId="14" xfId="0" applyNumberFormat="1" applyFont="1" applyFill="1" applyBorder="1" applyProtection="1">
      <protection locked="0"/>
    </xf>
    <xf numFmtId="1" fontId="28" fillId="0" borderId="23" xfId="0" applyNumberFormat="1" applyFont="1" applyFill="1" applyBorder="1" applyAlignment="1" applyProtection="1">
      <alignment horizontal="center"/>
      <protection locked="0"/>
    </xf>
    <xf numFmtId="0" fontId="28" fillId="0" borderId="23" xfId="0" applyFont="1" applyFill="1" applyBorder="1" applyProtection="1">
      <protection locked="0"/>
    </xf>
    <xf numFmtId="1" fontId="28" fillId="18" borderId="21" xfId="0" applyNumberFormat="1" applyFont="1" applyFill="1" applyBorder="1" applyAlignment="1" applyProtection="1">
      <alignment horizontal="center" vertical="center"/>
      <protection locked="0"/>
    </xf>
    <xf numFmtId="0" fontId="28" fillId="18" borderId="20" xfId="0" applyFont="1" applyFill="1" applyBorder="1" applyAlignment="1" applyProtection="1">
      <alignment vertical="center"/>
      <protection locked="0"/>
    </xf>
    <xf numFmtId="0" fontId="28" fillId="18" borderId="22" xfId="0" applyFont="1" applyFill="1" applyBorder="1" applyAlignment="1" applyProtection="1">
      <alignment horizontal="center" vertical="center"/>
      <protection locked="0"/>
    </xf>
    <xf numFmtId="1" fontId="28" fillId="18" borderId="23" xfId="0" applyNumberFormat="1" applyFont="1" applyFill="1" applyBorder="1" applyAlignment="1" applyProtection="1">
      <alignment horizontal="center" vertical="center"/>
      <protection locked="0"/>
    </xf>
    <xf numFmtId="0" fontId="28" fillId="18" borderId="23" xfId="0" applyFont="1" applyFill="1" applyBorder="1" applyAlignment="1" applyProtection="1">
      <alignment vertical="center"/>
      <protection locked="0"/>
    </xf>
    <xf numFmtId="0" fontId="28" fillId="18" borderId="24" xfId="0" applyFont="1" applyFill="1" applyBorder="1" applyAlignment="1" applyProtection="1">
      <alignment horizontal="center" vertical="center"/>
      <protection locked="0"/>
    </xf>
    <xf numFmtId="0" fontId="28" fillId="0" borderId="22" xfId="0" applyFont="1" applyFill="1" applyBorder="1" applyAlignment="1" applyProtection="1">
      <alignment horizontal="center"/>
      <protection locked="0"/>
    </xf>
    <xf numFmtId="0" fontId="28" fillId="0" borderId="24" xfId="0" applyFont="1" applyFill="1" applyBorder="1" applyAlignment="1" applyProtection="1">
      <alignment horizontal="center"/>
      <protection locked="0"/>
    </xf>
    <xf numFmtId="0" fontId="80" fillId="0" borderId="22" xfId="0" applyFont="1" applyFill="1" applyBorder="1" applyAlignment="1" applyProtection="1">
      <alignment horizontal="center" vertical="center"/>
      <protection locked="0"/>
    </xf>
    <xf numFmtId="1" fontId="45" fillId="0" borderId="17" xfId="0" applyNumberFormat="1" applyFont="1" applyFill="1" applyBorder="1" applyAlignment="1" applyProtection="1">
      <alignment horizontal="center"/>
      <protection locked="0"/>
    </xf>
    <xf numFmtId="1" fontId="28" fillId="0" borderId="67" xfId="0" applyNumberFormat="1" applyFont="1" applyFill="1" applyBorder="1" applyAlignment="1" applyProtection="1">
      <alignment horizontal="center" vertical="center"/>
      <protection locked="0"/>
    </xf>
    <xf numFmtId="1" fontId="72" fillId="0" borderId="35" xfId="0" applyNumberFormat="1" applyFont="1" applyFill="1" applyBorder="1" applyAlignment="1">
      <alignment horizontal="center" vertical="top"/>
    </xf>
    <xf numFmtId="3" fontId="29" fillId="0" borderId="19" xfId="0" applyNumberFormat="1" applyFont="1" applyFill="1" applyBorder="1"/>
    <xf numFmtId="1" fontId="72" fillId="0" borderId="19" xfId="0" applyNumberFormat="1" applyFont="1" applyFill="1" applyBorder="1" applyAlignment="1">
      <alignment horizontal="left" vertical="top"/>
    </xf>
    <xf numFmtId="1" fontId="28" fillId="0" borderId="24" xfId="0" applyNumberFormat="1" applyFont="1" applyFill="1" applyBorder="1" applyAlignment="1">
      <alignment horizontal="center"/>
    </xf>
    <xf numFmtId="1" fontId="28" fillId="0" borderId="24" xfId="0" applyNumberFormat="1" applyFont="1" applyFill="1" applyBorder="1" applyAlignment="1">
      <alignment horizontal="left"/>
    </xf>
    <xf numFmtId="1" fontId="28" fillId="0" borderId="21" xfId="0" applyNumberFormat="1" applyFont="1" applyFill="1" applyBorder="1" applyAlignment="1" applyProtection="1">
      <alignment horizontal="center"/>
      <protection locked="0"/>
    </xf>
    <xf numFmtId="0" fontId="28" fillId="0" borderId="21" xfId="0" applyFont="1" applyFill="1" applyBorder="1" applyProtection="1">
      <protection locked="0"/>
    </xf>
    <xf numFmtId="0" fontId="29" fillId="0" borderId="34" xfId="0" applyFont="1" applyFill="1" applyBorder="1" applyAlignment="1" applyProtection="1">
      <alignment vertical="top"/>
      <protection locked="0"/>
    </xf>
    <xf numFmtId="1" fontId="28" fillId="0" borderId="38" xfId="0" applyNumberFormat="1" applyFont="1" applyFill="1" applyBorder="1" applyAlignment="1" applyProtection="1">
      <alignment horizontal="center"/>
      <protection locked="0"/>
    </xf>
    <xf numFmtId="0" fontId="27" fillId="0" borderId="39" xfId="0" applyFont="1" applyFill="1" applyBorder="1" applyProtection="1">
      <protection locked="0"/>
    </xf>
    <xf numFmtId="1" fontId="78" fillId="0" borderId="35" xfId="0" applyNumberFormat="1" applyFont="1" applyFill="1" applyBorder="1" applyAlignment="1" applyProtection="1">
      <alignment horizontal="center"/>
      <protection locked="0"/>
    </xf>
    <xf numFmtId="1" fontId="28" fillId="0" borderId="22" xfId="0" applyNumberFormat="1" applyFont="1" applyFill="1" applyBorder="1" applyAlignment="1" applyProtection="1">
      <alignment horizontal="center"/>
      <protection locked="0"/>
    </xf>
    <xf numFmtId="1" fontId="28" fillId="0" borderId="24" xfId="0" applyNumberFormat="1" applyFont="1" applyFill="1" applyBorder="1" applyAlignment="1" applyProtection="1">
      <alignment horizontal="center"/>
      <protection locked="0"/>
    </xf>
    <xf numFmtId="0" fontId="88" fillId="4" borderId="0" xfId="0" applyFont="1" applyFill="1" applyBorder="1" applyAlignment="1">
      <alignment vertical="center"/>
    </xf>
    <xf numFmtId="0" fontId="28" fillId="0" borderId="0" xfId="0" applyFont="1" applyFill="1" applyBorder="1" applyAlignment="1" applyProtection="1">
      <alignment horizontal="center"/>
      <protection locked="0"/>
    </xf>
    <xf numFmtId="0" fontId="28" fillId="4" borderId="0" xfId="0" applyFont="1" applyFill="1" applyBorder="1" applyAlignment="1" applyProtection="1">
      <alignment horizontal="center"/>
      <protection locked="0"/>
    </xf>
    <xf numFmtId="1" fontId="28" fillId="0" borderId="0" xfId="0" applyNumberFormat="1" applyFont="1" applyBorder="1" applyAlignment="1" applyProtection="1">
      <alignment horizontal="center"/>
      <protection locked="0"/>
    </xf>
    <xf numFmtId="49" fontId="33" fillId="0" borderId="0" xfId="0" applyNumberFormat="1" applyFont="1" applyBorder="1" applyProtection="1">
      <protection locked="0"/>
    </xf>
    <xf numFmtId="1" fontId="28" fillId="4" borderId="0" xfId="0" applyNumberFormat="1" applyFont="1" applyFill="1" applyBorder="1" applyAlignment="1" applyProtection="1">
      <alignment horizontal="center"/>
      <protection locked="0"/>
    </xf>
    <xf numFmtId="0" fontId="33" fillId="4" borderId="0" xfId="0" applyFont="1" applyFill="1" applyBorder="1" applyAlignment="1" applyProtection="1">
      <alignment horizontal="left" vertical="center"/>
      <protection locked="0"/>
    </xf>
    <xf numFmtId="0" fontId="39" fillId="4" borderId="0" xfId="0" applyFont="1" applyFill="1" applyBorder="1" applyAlignment="1" applyProtection="1">
      <alignment horizontal="center" vertical="center"/>
      <protection locked="0"/>
    </xf>
    <xf numFmtId="0" fontId="28" fillId="4" borderId="0" xfId="0" applyFont="1" applyFill="1" applyBorder="1" applyAlignment="1" applyProtection="1">
      <alignment horizontal="center" vertical="center"/>
      <protection locked="0"/>
    </xf>
    <xf numFmtId="0" fontId="33" fillId="4" borderId="0" xfId="0" applyFont="1" applyFill="1" applyBorder="1" applyAlignment="1" applyProtection="1">
      <alignment vertical="center"/>
      <protection locked="0"/>
    </xf>
    <xf numFmtId="0" fontId="51" fillId="4" borderId="0" xfId="0" applyFont="1" applyFill="1" applyBorder="1" applyAlignment="1" applyProtection="1">
      <alignment horizontal="center" vertical="center"/>
      <protection locked="0"/>
    </xf>
    <xf numFmtId="49" fontId="33" fillId="4" borderId="0" xfId="0" applyNumberFormat="1" applyFont="1" applyFill="1" applyBorder="1" applyProtection="1">
      <protection locked="0"/>
    </xf>
    <xf numFmtId="1" fontId="45" fillId="0" borderId="35" xfId="0" applyNumberFormat="1" applyFont="1" applyFill="1" applyBorder="1" applyAlignment="1" applyProtection="1">
      <alignment horizontal="center" vertical="top"/>
      <protection locked="0"/>
    </xf>
    <xf numFmtId="0" fontId="81" fillId="0" borderId="25" xfId="0" applyFont="1" applyFill="1" applyBorder="1" applyAlignment="1" applyProtection="1">
      <alignment vertical="top"/>
      <protection locked="0"/>
    </xf>
    <xf numFmtId="0" fontId="45" fillId="0" borderId="40" xfId="0" applyFont="1" applyFill="1" applyBorder="1" applyProtection="1">
      <protection locked="0"/>
    </xf>
    <xf numFmtId="1" fontId="45" fillId="0" borderId="35" xfId="0" applyNumberFormat="1" applyFont="1" applyFill="1" applyBorder="1" applyAlignment="1" applyProtection="1">
      <alignment horizontal="center"/>
      <protection locked="0"/>
    </xf>
    <xf numFmtId="0" fontId="45" fillId="0" borderId="25" xfId="0" applyFont="1" applyFill="1" applyBorder="1" applyProtection="1">
      <protection locked="0"/>
    </xf>
    <xf numFmtId="0" fontId="45" fillId="0" borderId="16" xfId="0" applyFont="1" applyFill="1" applyBorder="1" applyProtection="1">
      <protection locked="0"/>
    </xf>
    <xf numFmtId="0" fontId="81" fillId="0" borderId="25" xfId="0" applyFont="1" applyFill="1" applyBorder="1" applyProtection="1">
      <protection locked="0"/>
    </xf>
    <xf numFmtId="0" fontId="77" fillId="0" borderId="19" xfId="0" applyFont="1" applyFill="1" applyBorder="1" applyAlignment="1" applyProtection="1">
      <alignment horizontal="center"/>
      <protection locked="0"/>
    </xf>
    <xf numFmtId="1" fontId="45" fillId="0" borderId="25" xfId="0" applyNumberFormat="1" applyFont="1" applyFill="1" applyBorder="1" applyAlignment="1" applyProtection="1">
      <alignment horizontal="center"/>
      <protection locked="0"/>
    </xf>
    <xf numFmtId="0" fontId="28" fillId="0" borderId="14" xfId="0" applyFont="1" applyFill="1" applyBorder="1" applyAlignment="1" applyProtection="1">
      <alignment horizontal="center"/>
      <protection locked="0"/>
    </xf>
    <xf numFmtId="20" fontId="28" fillId="0" borderId="19" xfId="0" applyNumberFormat="1" applyFont="1" applyFill="1" applyBorder="1" applyAlignment="1" applyProtection="1">
      <alignment horizontal="center"/>
      <protection locked="0"/>
    </xf>
    <xf numFmtId="1" fontId="28" fillId="14" borderId="15" xfId="0" applyNumberFormat="1" applyFont="1" applyFill="1" applyBorder="1" applyAlignment="1" applyProtection="1">
      <alignment horizontal="center"/>
      <protection locked="0"/>
    </xf>
    <xf numFmtId="49" fontId="33" fillId="14" borderId="17" xfId="0" applyNumberFormat="1" applyFont="1" applyFill="1" applyBorder="1" applyProtection="1">
      <protection locked="0"/>
    </xf>
    <xf numFmtId="1" fontId="72" fillId="0" borderId="33" xfId="0" applyNumberFormat="1" applyFont="1" applyFill="1" applyBorder="1" applyAlignment="1">
      <alignment horizontal="center" vertical="top"/>
    </xf>
    <xf numFmtId="1" fontId="28" fillId="0" borderId="15" xfId="0" applyNumberFormat="1" applyFont="1" applyFill="1" applyBorder="1" applyAlignment="1">
      <alignment horizontal="center"/>
    </xf>
    <xf numFmtId="0" fontId="27" fillId="0" borderId="20" xfId="0" applyFont="1" applyFill="1" applyBorder="1" applyAlignment="1" applyProtection="1">
      <alignment vertical="center"/>
      <protection locked="0"/>
    </xf>
    <xf numFmtId="0" fontId="27" fillId="0" borderId="17" xfId="0" applyFont="1" applyFill="1" applyBorder="1" applyAlignment="1" applyProtection="1">
      <alignment horizontal="center"/>
      <protection locked="0"/>
    </xf>
    <xf numFmtId="0" fontId="39" fillId="0" borderId="19" xfId="0" applyFont="1" applyFill="1" applyBorder="1" applyAlignment="1" applyProtection="1">
      <alignment horizontal="center" vertical="center"/>
      <protection locked="0"/>
    </xf>
    <xf numFmtId="0" fontId="28" fillId="0" borderId="17" xfId="0" applyFont="1" applyFill="1" applyBorder="1" applyAlignment="1" applyProtection="1">
      <alignment horizontal="center" vertical="center"/>
      <protection locked="0"/>
    </xf>
    <xf numFmtId="1" fontId="27" fillId="0" borderId="19" xfId="0" applyNumberFormat="1" applyFont="1" applyBorder="1" applyAlignment="1" applyProtection="1">
      <alignment horizontal="center"/>
      <protection locked="0"/>
    </xf>
    <xf numFmtId="1" fontId="27" fillId="4" borderId="19" xfId="0" applyNumberFormat="1" applyFont="1" applyFill="1" applyBorder="1" applyAlignment="1" applyProtection="1">
      <alignment horizontal="left"/>
      <protection locked="0"/>
    </xf>
    <xf numFmtId="0" fontId="90" fillId="4" borderId="24" xfId="0" applyFont="1" applyFill="1" applyBorder="1" applyAlignment="1" applyProtection="1">
      <alignment horizontal="center"/>
      <protection locked="0"/>
    </xf>
    <xf numFmtId="0" fontId="33" fillId="0" borderId="19" xfId="0" applyFont="1" applyFill="1" applyBorder="1" applyAlignment="1" applyProtection="1">
      <alignment horizontal="left" vertical="center"/>
      <protection locked="0"/>
    </xf>
    <xf numFmtId="0" fontId="49" fillId="0" borderId="17" xfId="0" applyFont="1" applyFill="1" applyBorder="1" applyAlignment="1" applyProtection="1">
      <alignment horizontal="center"/>
      <protection locked="0"/>
    </xf>
    <xf numFmtId="0" fontId="33" fillId="0" borderId="63" xfId="0" applyFont="1" applyFill="1" applyBorder="1" applyAlignment="1" applyProtection="1">
      <alignment vertical="center"/>
      <protection locked="0"/>
    </xf>
    <xf numFmtId="1" fontId="33" fillId="0" borderId="22" xfId="0" applyNumberFormat="1" applyFont="1" applyFill="1" applyBorder="1" applyAlignment="1" applyProtection="1">
      <alignment horizontal="center" vertical="center"/>
      <protection locked="0"/>
    </xf>
    <xf numFmtId="1" fontId="33" fillId="0" borderId="24" xfId="0" applyNumberFormat="1" applyFont="1" applyFill="1" applyBorder="1" applyAlignment="1" applyProtection="1">
      <alignment horizontal="center" vertical="center"/>
      <protection locked="0"/>
    </xf>
    <xf numFmtId="1" fontId="33" fillId="9" borderId="19" xfId="0" applyNumberFormat="1" applyFont="1" applyFill="1" applyBorder="1" applyAlignment="1" applyProtection="1">
      <alignment horizontal="center" vertical="center"/>
      <protection locked="0"/>
    </xf>
    <xf numFmtId="0" fontId="47" fillId="9" borderId="19" xfId="0" applyFont="1" applyFill="1" applyBorder="1" applyAlignment="1" applyProtection="1">
      <alignment horizontal="left" vertical="center"/>
      <protection locked="0"/>
    </xf>
    <xf numFmtId="1" fontId="33" fillId="9" borderId="17" xfId="0" applyNumberFormat="1" applyFont="1" applyFill="1" applyBorder="1" applyAlignment="1" applyProtection="1">
      <alignment horizontal="center" vertical="center"/>
      <protection locked="0"/>
    </xf>
    <xf numFmtId="0" fontId="51" fillId="16" borderId="19" xfId="0" applyFont="1" applyFill="1" applyBorder="1" applyAlignment="1" applyProtection="1">
      <alignment horizontal="center" vertical="center"/>
      <protection locked="0"/>
    </xf>
    <xf numFmtId="0" fontId="28" fillId="16" borderId="19" xfId="0" applyFont="1" applyFill="1" applyBorder="1" applyAlignment="1" applyProtection="1">
      <alignment horizontal="center" vertical="center"/>
      <protection locked="0"/>
    </xf>
    <xf numFmtId="0" fontId="28" fillId="16" borderId="17" xfId="0" applyFont="1" applyFill="1" applyBorder="1" applyAlignment="1" applyProtection="1">
      <alignment horizontal="center" vertical="center"/>
      <protection locked="0"/>
    </xf>
    <xf numFmtId="0" fontId="27" fillId="4" borderId="17" xfId="0" applyFont="1" applyFill="1" applyBorder="1" applyAlignment="1" applyProtection="1">
      <alignment vertical="center"/>
      <protection locked="0"/>
    </xf>
    <xf numFmtId="0" fontId="49" fillId="4" borderId="13" xfId="0" applyFont="1" applyFill="1" applyBorder="1" applyAlignment="1" applyProtection="1">
      <alignment horizontal="center"/>
      <protection locked="0"/>
    </xf>
    <xf numFmtId="0" fontId="26" fillId="4" borderId="13" xfId="0" applyFont="1" applyFill="1" applyBorder="1" applyProtection="1">
      <protection locked="0"/>
    </xf>
    <xf numFmtId="0" fontId="72" fillId="0" borderId="19" xfId="0" applyFont="1" applyFill="1" applyBorder="1" applyAlignment="1" applyProtection="1">
      <alignment horizontal="center"/>
      <protection locked="0"/>
    </xf>
    <xf numFmtId="1" fontId="72" fillId="0" borderId="25" xfId="0" applyNumberFormat="1" applyFont="1" applyFill="1" applyBorder="1" applyAlignment="1" applyProtection="1">
      <alignment horizontal="center"/>
      <protection locked="0"/>
    </xf>
    <xf numFmtId="0" fontId="54" fillId="0" borderId="19" xfId="0" applyFont="1" applyFill="1" applyBorder="1" applyAlignment="1" applyProtection="1">
      <alignment horizontal="center"/>
      <protection locked="0"/>
    </xf>
    <xf numFmtId="0" fontId="27" fillId="4" borderId="13" xfId="0" applyFont="1" applyFill="1" applyBorder="1" applyAlignment="1" applyProtection="1">
      <alignment vertical="center"/>
      <protection locked="0"/>
    </xf>
    <xf numFmtId="0" fontId="27" fillId="4" borderId="68" xfId="0" applyFont="1" applyFill="1" applyBorder="1" applyAlignment="1">
      <alignment horizontal="center" vertical="center"/>
    </xf>
    <xf numFmtId="0" fontId="27" fillId="4" borderId="14" xfId="0" applyFont="1" applyFill="1" applyBorder="1" applyAlignment="1">
      <alignment vertical="center"/>
    </xf>
    <xf numFmtId="1" fontId="27" fillId="0" borderId="26" xfId="0" applyNumberFormat="1" applyFont="1" applyFill="1" applyBorder="1" applyAlignment="1" applyProtection="1">
      <alignment horizontal="center"/>
      <protection locked="0"/>
    </xf>
    <xf numFmtId="0" fontId="28" fillId="0" borderId="32" xfId="0" applyFont="1" applyFill="1" applyBorder="1" applyAlignment="1" applyProtection="1">
      <alignment horizontal="center"/>
      <protection locked="0"/>
    </xf>
    <xf numFmtId="0" fontId="77" fillId="0" borderId="18" xfId="0" applyFont="1" applyFill="1" applyBorder="1" applyAlignment="1" applyProtection="1">
      <alignment horizontal="center"/>
      <protection locked="0"/>
    </xf>
    <xf numFmtId="165" fontId="28" fillId="0" borderId="32" xfId="0" applyNumberFormat="1" applyFont="1" applyBorder="1" applyAlignment="1" applyProtection="1">
      <alignment horizontal="center" vertical="center"/>
      <protection locked="0"/>
    </xf>
    <xf numFmtId="0" fontId="47" fillId="4" borderId="22" xfId="0" applyFont="1" applyFill="1" applyBorder="1" applyAlignment="1" applyProtection="1">
      <alignment horizontal="left"/>
      <protection locked="0"/>
    </xf>
    <xf numFmtId="0" fontId="47" fillId="4" borderId="24" xfId="0" applyFont="1" applyFill="1" applyBorder="1" applyAlignment="1" applyProtection="1">
      <alignment horizontal="left"/>
      <protection locked="0"/>
    </xf>
    <xf numFmtId="1" fontId="27" fillId="5" borderId="35" xfId="0" applyNumberFormat="1" applyFont="1" applyFill="1" applyBorder="1" applyAlignment="1" applyProtection="1">
      <alignment horizontal="center"/>
      <protection locked="0"/>
    </xf>
    <xf numFmtId="0" fontId="27" fillId="5" borderId="19" xfId="0" applyFont="1" applyFill="1" applyBorder="1" applyProtection="1">
      <protection locked="0"/>
    </xf>
    <xf numFmtId="0" fontId="47" fillId="5" borderId="13" xfId="0" applyFont="1" applyFill="1" applyBorder="1" applyAlignment="1" applyProtection="1">
      <alignment horizontal="center"/>
      <protection locked="0"/>
    </xf>
    <xf numFmtId="0" fontId="27" fillId="5" borderId="13" xfId="0" applyFont="1" applyFill="1" applyBorder="1" applyAlignment="1" applyProtection="1">
      <alignment horizontal="center"/>
      <protection locked="0"/>
    </xf>
    <xf numFmtId="1" fontId="27" fillId="5" borderId="38" xfId="0" applyNumberFormat="1" applyFont="1" applyFill="1" applyBorder="1" applyAlignment="1" applyProtection="1">
      <alignment horizontal="center"/>
      <protection locked="0"/>
    </xf>
    <xf numFmtId="0" fontId="27" fillId="5" borderId="24" xfId="0" applyFont="1" applyFill="1" applyBorder="1" applyProtection="1">
      <protection locked="0"/>
    </xf>
    <xf numFmtId="0" fontId="47" fillId="5" borderId="24" xfId="0" applyFont="1" applyFill="1" applyBorder="1" applyAlignment="1" applyProtection="1">
      <alignment horizontal="center"/>
      <protection locked="0"/>
    </xf>
    <xf numFmtId="3" fontId="29" fillId="0" borderId="19" xfId="0" applyNumberFormat="1" applyFont="1" applyBorder="1"/>
    <xf numFmtId="1" fontId="72" fillId="0" borderId="28" xfId="0" applyNumberFormat="1" applyFont="1" applyFill="1" applyBorder="1" applyAlignment="1">
      <alignment horizontal="left" vertical="top"/>
    </xf>
    <xf numFmtId="1" fontId="28" fillId="0" borderId="17" xfId="0" applyNumberFormat="1" applyFont="1" applyFill="1" applyBorder="1" applyAlignment="1">
      <alignment horizontal="left"/>
    </xf>
    <xf numFmtId="0" fontId="28" fillId="9" borderId="14" xfId="0" applyFont="1" applyFill="1" applyBorder="1" applyAlignment="1" applyProtection="1">
      <alignment horizontal="center" vertical="center"/>
      <protection locked="0"/>
    </xf>
    <xf numFmtId="0" fontId="28" fillId="9" borderId="32" xfId="0" applyFont="1" applyFill="1" applyBorder="1" applyAlignment="1" applyProtection="1">
      <alignment horizontal="center" vertical="center"/>
      <protection locked="0"/>
    </xf>
    <xf numFmtId="0" fontId="45" fillId="4" borderId="42" xfId="0" applyFont="1" applyFill="1" applyBorder="1" applyAlignment="1" applyProtection="1">
      <alignment horizontal="center"/>
      <protection locked="0"/>
    </xf>
    <xf numFmtId="0" fontId="45" fillId="4" borderId="42" xfId="0" applyFont="1" applyFill="1" applyBorder="1" applyAlignment="1" applyProtection="1">
      <alignment horizontal="left"/>
      <protection locked="0"/>
    </xf>
    <xf numFmtId="0" fontId="28" fillId="9" borderId="18" xfId="0" applyFont="1" applyFill="1" applyBorder="1" applyAlignment="1" applyProtection="1">
      <alignment horizontal="center" vertical="center"/>
      <protection locked="0"/>
    </xf>
    <xf numFmtId="1" fontId="28" fillId="0" borderId="17" xfId="0" applyNumberFormat="1" applyFont="1" applyFill="1" applyBorder="1" applyAlignment="1" applyProtection="1">
      <alignment horizontal="center"/>
      <protection locked="0"/>
    </xf>
    <xf numFmtId="0" fontId="27" fillId="0" borderId="43" xfId="0" applyFont="1" applyFill="1" applyBorder="1" applyProtection="1">
      <protection locked="0"/>
    </xf>
    <xf numFmtId="1" fontId="28" fillId="0" borderId="13" xfId="0" applyNumberFormat="1" applyFont="1" applyBorder="1" applyAlignment="1" applyProtection="1">
      <alignment horizontal="center"/>
      <protection locked="0"/>
    </xf>
    <xf numFmtId="0" fontId="28" fillId="4" borderId="32" xfId="0" applyFont="1" applyFill="1" applyBorder="1" applyProtection="1">
      <protection locked="0"/>
    </xf>
    <xf numFmtId="1" fontId="28" fillId="22" borderId="19" xfId="0" applyNumberFormat="1" applyFont="1" applyFill="1" applyBorder="1" applyAlignment="1" applyProtection="1">
      <alignment horizontal="center"/>
      <protection locked="0"/>
    </xf>
    <xf numFmtId="49" fontId="33" fillId="22" borderId="13" xfId="0" applyNumberFormat="1" applyFont="1" applyFill="1" applyBorder="1" applyProtection="1">
      <protection locked="0"/>
    </xf>
    <xf numFmtId="1" fontId="28" fillId="22" borderId="15" xfId="0" applyNumberFormat="1" applyFont="1" applyFill="1" applyBorder="1" applyAlignment="1" applyProtection="1">
      <alignment horizontal="center"/>
      <protection locked="0"/>
    </xf>
    <xf numFmtId="49" fontId="33" fillId="22" borderId="17" xfId="0" applyNumberFormat="1" applyFont="1" applyFill="1" applyBorder="1" applyProtection="1">
      <protection locked="0"/>
    </xf>
    <xf numFmtId="1" fontId="28" fillId="22" borderId="35" xfId="0" applyNumberFormat="1" applyFont="1" applyFill="1" applyBorder="1" applyAlignment="1" applyProtection="1">
      <alignment horizontal="center"/>
      <protection locked="0"/>
    </xf>
    <xf numFmtId="49" fontId="33" fillId="22" borderId="19" xfId="0" applyNumberFormat="1" applyFont="1" applyFill="1" applyBorder="1" applyProtection="1">
      <protection locked="0"/>
    </xf>
    <xf numFmtId="1" fontId="28" fillId="22" borderId="17" xfId="0" applyNumberFormat="1" applyFont="1" applyFill="1" applyBorder="1" applyAlignment="1" applyProtection="1">
      <alignment horizontal="center"/>
      <protection locked="0"/>
    </xf>
    <xf numFmtId="0" fontId="28" fillId="4" borderId="25" xfId="0" applyFont="1" applyFill="1" applyBorder="1" applyProtection="1">
      <protection locked="0"/>
    </xf>
    <xf numFmtId="0" fontId="27" fillId="4" borderId="17" xfId="0" applyFont="1" applyFill="1" applyBorder="1" applyProtection="1">
      <protection locked="0"/>
    </xf>
    <xf numFmtId="0" fontId="45" fillId="0" borderId="36" xfId="0" applyFont="1" applyFill="1" applyBorder="1" applyAlignment="1" applyProtection="1">
      <alignment horizontal="left" vertical="center"/>
      <protection locked="0"/>
    </xf>
    <xf numFmtId="1" fontId="28" fillId="5" borderId="35" xfId="0" applyNumberFormat="1" applyFont="1" applyFill="1" applyBorder="1" applyAlignment="1" applyProtection="1">
      <alignment horizontal="center"/>
      <protection locked="0"/>
    </xf>
    <xf numFmtId="0" fontId="28" fillId="5" borderId="26" xfId="0" applyFont="1" applyFill="1" applyBorder="1" applyProtection="1">
      <protection locked="0"/>
    </xf>
    <xf numFmtId="1" fontId="28" fillId="5" borderId="15" xfId="0" applyNumberFormat="1" applyFont="1" applyFill="1" applyBorder="1" applyAlignment="1" applyProtection="1">
      <alignment horizontal="center"/>
      <protection locked="0"/>
    </xf>
    <xf numFmtId="0" fontId="28" fillId="5" borderId="17" xfId="0" applyFont="1" applyFill="1" applyBorder="1" applyProtection="1">
      <protection locked="0"/>
    </xf>
    <xf numFmtId="0" fontId="45" fillId="0" borderId="18" xfId="0" applyFont="1" applyFill="1" applyBorder="1" applyProtection="1">
      <protection locked="0"/>
    </xf>
    <xf numFmtId="0" fontId="28" fillId="4" borderId="58" xfId="0" applyFont="1" applyFill="1" applyBorder="1" applyAlignment="1" applyProtection="1">
      <alignment horizontal="center"/>
      <protection locked="0"/>
    </xf>
    <xf numFmtId="0" fontId="54" fillId="8" borderId="42" xfId="0" applyFont="1" applyFill="1" applyBorder="1" applyAlignment="1" applyProtection="1">
      <alignment horizontal="center"/>
      <protection locked="0"/>
    </xf>
    <xf numFmtId="0" fontId="49" fillId="8" borderId="29" xfId="0" applyFont="1" applyFill="1" applyBorder="1" applyAlignment="1" applyProtection="1">
      <alignment horizontal="center"/>
      <protection locked="0"/>
    </xf>
    <xf numFmtId="0" fontId="54" fillId="8" borderId="66" xfId="0" applyFont="1" applyFill="1" applyBorder="1" applyAlignment="1" applyProtection="1">
      <alignment horizontal="center"/>
      <protection locked="0"/>
    </xf>
    <xf numFmtId="0" fontId="49" fillId="8" borderId="16" xfId="0" applyFont="1" applyFill="1" applyBorder="1" applyAlignment="1" applyProtection="1">
      <alignment horizontal="center"/>
      <protection locked="0"/>
    </xf>
    <xf numFmtId="0" fontId="49" fillId="4" borderId="32" xfId="0" applyFont="1" applyFill="1" applyBorder="1" applyAlignment="1" applyProtection="1">
      <alignment horizontal="center"/>
      <protection locked="0"/>
    </xf>
    <xf numFmtId="0" fontId="54" fillId="8" borderId="18" xfId="0" applyFont="1" applyFill="1" applyBorder="1" applyAlignment="1" applyProtection="1">
      <alignment horizontal="center"/>
      <protection locked="0"/>
    </xf>
    <xf numFmtId="0" fontId="28" fillId="8" borderId="66" xfId="0" applyFont="1" applyFill="1" applyBorder="1" applyAlignment="1" applyProtection="1">
      <alignment horizontal="center"/>
      <protection locked="0"/>
    </xf>
    <xf numFmtId="0" fontId="28" fillId="23" borderId="13" xfId="0" applyFont="1" applyFill="1" applyBorder="1" applyAlignment="1" applyProtection="1">
      <alignment horizontal="center"/>
      <protection locked="0"/>
    </xf>
    <xf numFmtId="0" fontId="54" fillId="23" borderId="13" xfId="0" applyFont="1" applyFill="1" applyBorder="1" applyAlignment="1" applyProtection="1">
      <alignment horizontal="center"/>
      <protection locked="0"/>
    </xf>
    <xf numFmtId="0" fontId="54" fillId="23" borderId="14" xfId="0" applyFont="1" applyFill="1" applyBorder="1" applyAlignment="1" applyProtection="1">
      <alignment horizontal="center"/>
      <protection locked="0"/>
    </xf>
    <xf numFmtId="0" fontId="49" fillId="23" borderId="17" xfId="0" applyFont="1" applyFill="1" applyBorder="1" applyAlignment="1" applyProtection="1">
      <alignment horizontal="center"/>
      <protection locked="0"/>
    </xf>
    <xf numFmtId="0" fontId="49" fillId="23" borderId="32" xfId="0" applyFont="1" applyFill="1" applyBorder="1" applyAlignment="1" applyProtection="1">
      <alignment horizontal="center"/>
      <protection locked="0"/>
    </xf>
    <xf numFmtId="0" fontId="49" fillId="5" borderId="17" xfId="0" applyFont="1" applyFill="1" applyBorder="1" applyAlignment="1" applyProtection="1">
      <alignment horizontal="center"/>
      <protection locked="0"/>
    </xf>
    <xf numFmtId="0" fontId="27" fillId="0" borderId="19" xfId="0" applyFont="1" applyFill="1" applyBorder="1" applyAlignment="1" applyProtection="1">
      <alignment horizontal="center"/>
      <protection locked="0"/>
    </xf>
    <xf numFmtId="0" fontId="45" fillId="0" borderId="23" xfId="0" applyFont="1" applyFill="1" applyBorder="1" applyAlignment="1" applyProtection="1">
      <alignment horizontal="left" vertical="center"/>
      <protection locked="0"/>
    </xf>
    <xf numFmtId="3" fontId="27" fillId="4" borderId="0" xfId="0" applyNumberFormat="1" applyFont="1" applyFill="1" applyAlignment="1" applyProtection="1">
      <alignment horizontal="center"/>
      <protection locked="0"/>
    </xf>
    <xf numFmtId="0" fontId="27" fillId="4" borderId="0" xfId="0" applyFont="1" applyFill="1" applyAlignment="1" applyProtection="1">
      <alignment horizontal="center" vertical="top"/>
      <protection locked="0"/>
    </xf>
    <xf numFmtId="0" fontId="22" fillId="4" borderId="0" xfId="0" applyFont="1" applyFill="1" applyAlignment="1" applyProtection="1">
      <alignment vertical="top"/>
      <protection locked="0"/>
    </xf>
    <xf numFmtId="0" fontId="49" fillId="6" borderId="17" xfId="0" applyFont="1" applyFill="1" applyBorder="1" applyAlignment="1" applyProtection="1">
      <alignment horizontal="center"/>
      <protection locked="0"/>
    </xf>
    <xf numFmtId="0" fontId="28" fillId="6" borderId="13" xfId="0" applyFont="1" applyFill="1" applyBorder="1" applyAlignment="1" applyProtection="1">
      <alignment horizontal="center"/>
      <protection locked="0"/>
    </xf>
    <xf numFmtId="0" fontId="28" fillId="6" borderId="17" xfId="0" applyFont="1" applyFill="1" applyBorder="1" applyAlignment="1" applyProtection="1">
      <alignment horizontal="center"/>
      <protection locked="0"/>
    </xf>
    <xf numFmtId="0" fontId="28" fillId="6" borderId="19" xfId="0" applyFont="1" applyFill="1" applyBorder="1" applyAlignment="1" applyProtection="1">
      <alignment horizontal="center"/>
      <protection locked="0"/>
    </xf>
    <xf numFmtId="0" fontId="49" fillId="6" borderId="19" xfId="0" applyFont="1" applyFill="1" applyBorder="1" applyAlignment="1" applyProtection="1">
      <alignment horizontal="center"/>
      <protection locked="0"/>
    </xf>
    <xf numFmtId="0" fontId="54" fillId="6" borderId="19" xfId="0" applyFont="1" applyFill="1" applyBorder="1" applyAlignment="1" applyProtection="1">
      <alignment horizontal="center"/>
      <protection locked="0"/>
    </xf>
    <xf numFmtId="0" fontId="78" fillId="4" borderId="13" xfId="0" applyFont="1" applyFill="1" applyBorder="1" applyAlignment="1" applyProtection="1">
      <alignment horizontal="center"/>
      <protection locked="0"/>
    </xf>
    <xf numFmtId="1" fontId="72" fillId="0" borderId="33" xfId="0" applyNumberFormat="1" applyFont="1" applyBorder="1" applyAlignment="1">
      <alignment horizontal="center" vertical="top"/>
    </xf>
    <xf numFmtId="1" fontId="72" fillId="0" borderId="13" xfId="0" applyNumberFormat="1" applyFont="1" applyBorder="1" applyAlignment="1">
      <alignment horizontal="left" vertical="top"/>
    </xf>
    <xf numFmtId="1" fontId="28" fillId="0" borderId="15" xfId="0" applyNumberFormat="1" applyFont="1" applyBorder="1" applyAlignment="1">
      <alignment horizontal="center"/>
    </xf>
    <xf numFmtId="1" fontId="28" fillId="0" borderId="17" xfId="0" applyNumberFormat="1" applyFont="1" applyBorder="1" applyAlignment="1">
      <alignment horizontal="left"/>
    </xf>
    <xf numFmtId="1" fontId="72" fillId="0" borderId="28" xfId="0" applyNumberFormat="1" applyFont="1" applyBorder="1" applyAlignment="1">
      <alignment horizontal="left" vertical="top"/>
    </xf>
    <xf numFmtId="1" fontId="72" fillId="0" borderId="33" xfId="0" applyNumberFormat="1" applyFont="1" applyFill="1" applyBorder="1" applyAlignment="1" applyProtection="1">
      <alignment horizontal="center" vertical="top"/>
      <protection locked="0"/>
    </xf>
    <xf numFmtId="0" fontId="46" fillId="0" borderId="19" xfId="0" applyFont="1" applyFill="1" applyBorder="1" applyAlignment="1" applyProtection="1">
      <alignment horizontal="center"/>
      <protection locked="0"/>
    </xf>
    <xf numFmtId="0" fontId="46" fillId="0" borderId="13" xfId="0" applyFont="1" applyFill="1" applyBorder="1" applyAlignment="1" applyProtection="1">
      <alignment horizontal="center"/>
      <protection locked="0"/>
    </xf>
    <xf numFmtId="0" fontId="86" fillId="0" borderId="13" xfId="0" applyFont="1" applyFill="1" applyBorder="1" applyAlignment="1" applyProtection="1">
      <alignment horizontal="center"/>
      <protection locked="0"/>
    </xf>
    <xf numFmtId="0" fontId="54" fillId="0" borderId="13" xfId="0" applyFont="1" applyFill="1" applyBorder="1" applyAlignment="1" applyProtection="1">
      <alignment horizontal="center"/>
      <protection locked="0"/>
    </xf>
    <xf numFmtId="0" fontId="28" fillId="0" borderId="26" xfId="0" applyFont="1" applyFill="1" applyBorder="1" applyProtection="1">
      <protection locked="0"/>
    </xf>
    <xf numFmtId="0" fontId="54" fillId="0" borderId="14" xfId="0" applyFont="1" applyFill="1" applyBorder="1" applyAlignment="1" applyProtection="1">
      <alignment horizontal="center"/>
      <protection locked="0"/>
    </xf>
    <xf numFmtId="0" fontId="49" fillId="0" borderId="32" xfId="0" applyFont="1" applyFill="1" applyBorder="1" applyAlignment="1" applyProtection="1">
      <alignment horizontal="center"/>
      <protection locked="0"/>
    </xf>
    <xf numFmtId="1" fontId="27" fillId="0" borderId="0" xfId="0" applyNumberFormat="1" applyFont="1" applyAlignment="1" applyProtection="1">
      <alignment horizontal="center"/>
      <protection locked="0"/>
    </xf>
    <xf numFmtId="1" fontId="27" fillId="0" borderId="6" xfId="0" applyNumberFormat="1" applyFont="1" applyBorder="1" applyAlignment="1" applyProtection="1">
      <alignment horizontal="center"/>
      <protection locked="0"/>
    </xf>
    <xf numFmtId="0" fontId="28" fillId="14" borderId="10" xfId="0" applyFont="1" applyFill="1" applyBorder="1" applyAlignment="1" applyProtection="1">
      <alignment horizontal="center" vertical="center"/>
    </xf>
    <xf numFmtId="0" fontId="28" fillId="14" borderId="11" xfId="0" applyFont="1" applyFill="1" applyBorder="1" applyAlignment="1" applyProtection="1">
      <alignment horizontal="center" vertical="center"/>
    </xf>
    <xf numFmtId="0" fontId="28" fillId="14" borderId="12" xfId="0" applyFont="1" applyFill="1" applyBorder="1" applyAlignment="1" applyProtection="1">
      <alignment horizontal="center" vertical="center"/>
    </xf>
    <xf numFmtId="1" fontId="28" fillId="0" borderId="0" xfId="0" applyNumberFormat="1" applyFont="1" applyAlignment="1">
      <alignment horizontal="center"/>
    </xf>
    <xf numFmtId="1" fontId="28" fillId="0" borderId="6" xfId="0" applyNumberFormat="1" applyFont="1" applyBorder="1" applyAlignment="1">
      <alignment horizontal="center"/>
    </xf>
    <xf numFmtId="0" fontId="28" fillId="0" borderId="10" xfId="0" applyFont="1" applyBorder="1" applyAlignment="1">
      <alignment horizontal="center" vertical="center"/>
    </xf>
    <xf numFmtId="0" fontId="28" fillId="0" borderId="11" xfId="0" applyFont="1" applyBorder="1" applyAlignment="1">
      <alignment horizontal="center" vertical="center"/>
    </xf>
    <xf numFmtId="0" fontId="28" fillId="0" borderId="12" xfId="0" applyFont="1" applyBorder="1" applyAlignment="1">
      <alignment horizontal="center" vertical="center"/>
    </xf>
    <xf numFmtId="0" fontId="41" fillId="0" borderId="0" xfId="0" applyFont="1" applyAlignment="1" applyProtection="1">
      <alignment horizontal="center" vertical="center"/>
      <protection locked="0"/>
    </xf>
    <xf numFmtId="0" fontId="42" fillId="0" borderId="0" xfId="0" applyFont="1" applyAlignment="1" applyProtection="1">
      <alignment horizontal="center" vertical="center" wrapText="1"/>
      <protection locked="0"/>
    </xf>
    <xf numFmtId="0" fontId="42" fillId="0" borderId="29" xfId="0" applyFont="1" applyBorder="1" applyAlignment="1" applyProtection="1">
      <alignment horizontal="center" vertical="center" wrapText="1"/>
      <protection locked="0"/>
    </xf>
    <xf numFmtId="0" fontId="78" fillId="0" borderId="10" xfId="0" applyFont="1" applyBorder="1" applyAlignment="1" applyProtection="1">
      <alignment horizontal="center" vertical="center"/>
    </xf>
    <xf numFmtId="0" fontId="78" fillId="0" borderId="11" xfId="0" applyFont="1" applyBorder="1" applyAlignment="1" applyProtection="1">
      <alignment horizontal="center" vertical="center"/>
    </xf>
    <xf numFmtId="0" fontId="78" fillId="0" borderId="12" xfId="0" applyFont="1" applyBorder="1" applyAlignment="1" applyProtection="1">
      <alignment horizontal="center" vertical="center"/>
    </xf>
    <xf numFmtId="0" fontId="27" fillId="19" borderId="0" xfId="0" applyFont="1" applyFill="1" applyAlignment="1" applyProtection="1">
      <alignment horizontal="center"/>
      <protection locked="0"/>
    </xf>
    <xf numFmtId="0" fontId="27" fillId="19" borderId="6" xfId="0" applyFont="1" applyFill="1" applyBorder="1" applyAlignment="1" applyProtection="1">
      <alignment horizontal="center"/>
      <protection locked="0"/>
    </xf>
    <xf numFmtId="0" fontId="28" fillId="0" borderId="10" xfId="0" applyFont="1" applyBorder="1" applyAlignment="1" applyProtection="1">
      <alignment horizontal="center" vertical="center"/>
    </xf>
    <xf numFmtId="0" fontId="28" fillId="0" borderId="11" xfId="0" applyFont="1" applyBorder="1" applyAlignment="1" applyProtection="1">
      <alignment horizontal="center" vertical="center"/>
    </xf>
    <xf numFmtId="0" fontId="28" fillId="0" borderId="12" xfId="0" applyFont="1" applyBorder="1" applyAlignment="1" applyProtection="1">
      <alignment horizontal="center" vertical="center"/>
    </xf>
    <xf numFmtId="3" fontId="27" fillId="4" borderId="0" xfId="0" applyNumberFormat="1" applyFont="1" applyFill="1" applyAlignment="1" applyProtection="1">
      <alignment horizontal="center"/>
      <protection locked="0"/>
    </xf>
    <xf numFmtId="0" fontId="69" fillId="0" borderId="29" xfId="0" applyFont="1" applyBorder="1" applyAlignment="1" applyProtection="1">
      <alignment horizontal="left"/>
      <protection locked="0"/>
    </xf>
    <xf numFmtId="1" fontId="47" fillId="0" borderId="0" xfId="0" applyNumberFormat="1" applyFont="1" applyBorder="1" applyAlignment="1">
      <alignment horizontal="center" vertical="center"/>
    </xf>
    <xf numFmtId="1" fontId="47" fillId="0" borderId="6" xfId="0" applyNumberFormat="1" applyFont="1" applyBorder="1" applyAlignment="1">
      <alignment horizontal="center" vertical="center"/>
    </xf>
    <xf numFmtId="1" fontId="72" fillId="0" borderId="0" xfId="0" applyNumberFormat="1" applyFont="1" applyAlignment="1">
      <alignment horizontal="center"/>
    </xf>
    <xf numFmtId="1" fontId="72" fillId="0" borderId="6" xfId="0" applyNumberFormat="1" applyFont="1" applyBorder="1" applyAlignment="1">
      <alignment horizontal="center"/>
    </xf>
    <xf numFmtId="1" fontId="28" fillId="0" borderId="6" xfId="0" applyNumberFormat="1" applyFont="1" applyBorder="1" applyAlignment="1">
      <alignment horizontal="center" vertical="center"/>
    </xf>
    <xf numFmtId="165" fontId="28" fillId="12" borderId="10" xfId="0" applyNumberFormat="1" applyFont="1" applyFill="1" applyBorder="1" applyAlignment="1">
      <alignment horizontal="center" vertical="center"/>
    </xf>
    <xf numFmtId="165" fontId="28" fillId="12" borderId="12" xfId="0" applyNumberFormat="1" applyFont="1" applyFill="1" applyBorder="1" applyAlignment="1">
      <alignment horizontal="center" vertical="center"/>
    </xf>
    <xf numFmtId="165" fontId="28" fillId="11" borderId="0" xfId="0" applyNumberFormat="1" applyFont="1" applyFill="1" applyBorder="1" applyAlignment="1">
      <alignment horizontal="center" vertical="center"/>
    </xf>
  </cellXfs>
  <cellStyles count="22">
    <cellStyle name="Normal" xfId="0" builtinId="0"/>
    <cellStyle name="Normal 10" xfId="15" xr:uid="{00000000-0005-0000-0000-000001000000}"/>
    <cellStyle name="Normal 11" xfId="16" xr:uid="{00000000-0005-0000-0000-000002000000}"/>
    <cellStyle name="Normal 12" xfId="17" xr:uid="{00000000-0005-0000-0000-000003000000}"/>
    <cellStyle name="Normal 13" xfId="18" xr:uid="{00000000-0005-0000-0000-000004000000}"/>
    <cellStyle name="Normal 14" xfId="19" xr:uid="{00000000-0005-0000-0000-000005000000}"/>
    <cellStyle name="Normal 15" xfId="20" xr:uid="{00000000-0005-0000-0000-000006000000}"/>
    <cellStyle name="Normal 16" xfId="21" xr:uid="{00000000-0005-0000-0000-000007000000}"/>
    <cellStyle name="Normal 2" xfId="4" xr:uid="{00000000-0005-0000-0000-000008000000}"/>
    <cellStyle name="Normal 2 2" xfId="1" xr:uid="{00000000-0005-0000-0000-000009000000}"/>
    <cellStyle name="Normal 3" xfId="5" xr:uid="{00000000-0005-0000-0000-00000A000000}"/>
    <cellStyle name="Normal 3 2" xfId="6" xr:uid="{00000000-0005-0000-0000-00000B000000}"/>
    <cellStyle name="Normal 3 3" xfId="7" xr:uid="{00000000-0005-0000-0000-00000C000000}"/>
    <cellStyle name="Normal 3 4" xfId="8" xr:uid="{00000000-0005-0000-0000-00000D000000}"/>
    <cellStyle name="Normal 3 5" xfId="9" xr:uid="{00000000-0005-0000-0000-00000E000000}"/>
    <cellStyle name="Normal 3 6" xfId="11" xr:uid="{00000000-0005-0000-0000-00000F000000}"/>
    <cellStyle name="Normal 4" xfId="10" xr:uid="{00000000-0005-0000-0000-000010000000}"/>
    <cellStyle name="Normal 5" xfId="2" xr:uid="{00000000-0005-0000-0000-000011000000}"/>
    <cellStyle name="Normal 6" xfId="3" xr:uid="{00000000-0005-0000-0000-000012000000}"/>
    <cellStyle name="Normal 7" xfId="12" xr:uid="{00000000-0005-0000-0000-000013000000}"/>
    <cellStyle name="Normal 8" xfId="13" xr:uid="{00000000-0005-0000-0000-000014000000}"/>
    <cellStyle name="Normal 9" xfId="14" xr:uid="{00000000-0005-0000-0000-000015000000}"/>
  </cellStyles>
  <dxfs count="1719">
    <dxf>
      <font>
        <b/>
        <i val="0"/>
        <color indexed="2"/>
      </font>
    </dxf>
    <dxf>
      <font>
        <b/>
        <i val="0"/>
        <color indexed="2"/>
      </font>
    </dxf>
    <dxf>
      <fill>
        <patternFill patternType="solid">
          <fgColor indexed="43"/>
          <bgColor indexed="43"/>
        </patternFill>
      </fill>
    </dxf>
    <dxf>
      <fill>
        <patternFill>
          <bgColor rgb="FFFFC000"/>
        </patternFill>
      </fill>
    </dxf>
    <dxf>
      <fill>
        <patternFill>
          <bgColor rgb="FFFFC000"/>
        </patternFill>
      </fill>
    </dxf>
    <dxf>
      <font>
        <color indexed="2"/>
      </font>
    </dxf>
    <dxf>
      <font>
        <b/>
        <i val="0"/>
        <color indexed="2"/>
      </font>
    </dxf>
    <dxf>
      <font>
        <color indexed="2"/>
      </font>
    </dxf>
    <dxf>
      <font>
        <color theme="0"/>
      </font>
    </dxf>
    <dxf>
      <font>
        <b/>
        <i val="0"/>
      </font>
      <fill>
        <patternFill patternType="solid">
          <fgColor indexed="5"/>
          <bgColor indexed="5"/>
        </patternFill>
      </fill>
    </dxf>
    <dxf>
      <font>
        <color rgb="FF9C0006"/>
      </font>
      <fill>
        <patternFill>
          <bgColor theme="7"/>
        </patternFill>
      </fill>
    </dxf>
    <dxf>
      <font>
        <b/>
        <i val="0"/>
        <color indexed="2"/>
      </font>
    </dxf>
    <dxf>
      <fill>
        <patternFill>
          <bgColor rgb="FFFFC000"/>
        </patternFill>
      </fill>
    </dxf>
    <dxf>
      <fill>
        <patternFill>
          <bgColor rgb="FFFFC000"/>
        </patternFill>
      </fill>
    </dxf>
    <dxf>
      <fill>
        <patternFill patternType="solid">
          <fgColor indexed="43"/>
          <bgColor indexed="43"/>
        </patternFill>
      </fill>
    </dxf>
    <dxf>
      <fill>
        <patternFill>
          <bgColor rgb="FFFFC000"/>
        </patternFill>
      </fill>
    </dxf>
    <dxf>
      <fill>
        <patternFill patternType="solid">
          <fgColor indexed="43"/>
          <bgColor indexed="43"/>
        </patternFill>
      </fill>
    </dxf>
    <dxf>
      <fill>
        <patternFill>
          <bgColor rgb="FFFFC000"/>
        </patternFill>
      </fill>
    </dxf>
    <dxf>
      <font>
        <color indexed="2"/>
      </font>
    </dxf>
    <dxf>
      <font>
        <b/>
        <i val="0"/>
        <color indexed="2"/>
      </font>
    </dxf>
    <dxf>
      <font>
        <color indexed="2"/>
      </font>
    </dxf>
    <dxf>
      <font>
        <color indexed="2"/>
      </font>
    </dxf>
    <dxf>
      <font>
        <b/>
        <i val="0"/>
        <color indexed="2"/>
      </font>
    </dxf>
    <dxf>
      <font>
        <color indexed="2"/>
      </font>
    </dxf>
    <dxf>
      <font>
        <color indexed="2"/>
      </font>
    </dxf>
    <dxf>
      <font>
        <color indexed="2"/>
      </font>
    </dxf>
    <dxf>
      <font>
        <b/>
        <i val="0"/>
        <color indexed="2"/>
      </font>
    </dxf>
    <dxf>
      <font>
        <color indexed="2"/>
      </font>
    </dxf>
    <dxf>
      <font>
        <b/>
        <i val="0"/>
        <color indexed="2"/>
      </font>
    </dxf>
    <dxf>
      <font>
        <color indexed="2"/>
      </font>
    </dxf>
    <dxf>
      <font>
        <b/>
        <i val="0"/>
        <color indexed="2"/>
      </font>
    </dxf>
    <dxf>
      <font>
        <color indexed="2"/>
      </font>
    </dxf>
    <dxf>
      <font>
        <color indexed="2"/>
      </font>
    </dxf>
    <dxf>
      <font>
        <b/>
        <i val="0"/>
        <color indexed="2"/>
      </font>
    </dxf>
    <dxf>
      <font>
        <color indexed="2"/>
      </font>
    </dxf>
    <dxf>
      <font>
        <color indexed="2"/>
      </font>
    </dxf>
    <dxf>
      <font>
        <color theme="0"/>
      </font>
    </dxf>
    <dxf>
      <fill>
        <patternFill patternType="solid">
          <fgColor indexed="43"/>
          <bgColor indexed="43"/>
        </patternFill>
      </fill>
    </dxf>
    <dxf>
      <font>
        <color theme="0"/>
      </font>
    </dxf>
    <dxf>
      <font>
        <color theme="0"/>
      </font>
    </dxf>
    <dxf>
      <font>
        <color indexed="2"/>
      </font>
    </dxf>
    <dxf>
      <font>
        <color indexed="2"/>
      </font>
    </dxf>
    <dxf>
      <font>
        <b/>
        <i val="0"/>
        <color indexed="2"/>
      </font>
    </dxf>
    <dxf>
      <font>
        <color theme="0"/>
      </font>
    </dxf>
    <dxf>
      <font>
        <color indexed="2"/>
      </font>
    </dxf>
    <dxf>
      <font>
        <b/>
        <i val="0"/>
        <color indexed="2"/>
      </font>
    </dxf>
    <dxf>
      <font>
        <color indexed="2"/>
      </font>
    </dxf>
    <dxf>
      <fill>
        <patternFill>
          <bgColor rgb="FFFFC000"/>
        </patternFill>
      </fill>
    </dxf>
    <dxf>
      <font>
        <color indexed="2"/>
      </font>
    </dxf>
    <dxf>
      <fill>
        <patternFill patternType="solid">
          <fgColor indexed="43"/>
          <bgColor indexed="43"/>
        </patternFill>
      </fill>
    </dxf>
    <dxf>
      <font>
        <b/>
        <i val="0"/>
        <color indexed="2"/>
      </font>
    </dxf>
    <dxf>
      <font>
        <color indexed="2"/>
      </font>
    </dxf>
    <dxf>
      <fill>
        <patternFill>
          <bgColor rgb="FFFFC000"/>
        </patternFill>
      </fill>
    </dxf>
    <dxf>
      <font>
        <color theme="0"/>
      </font>
    </dxf>
    <dxf>
      <font>
        <color indexed="2"/>
      </font>
    </dxf>
    <dxf>
      <font>
        <b/>
        <i val="0"/>
        <color indexed="2"/>
      </font>
    </dxf>
    <dxf>
      <font>
        <color indexed="2"/>
      </font>
    </dxf>
    <dxf>
      <font>
        <color theme="0"/>
      </font>
    </dxf>
    <dxf>
      <font>
        <color indexed="2"/>
      </font>
    </dxf>
    <dxf>
      <font>
        <b/>
        <i val="0"/>
        <color indexed="2"/>
      </font>
    </dxf>
    <dxf>
      <font>
        <color indexed="2"/>
      </font>
    </dxf>
    <dxf>
      <font>
        <color theme="0"/>
      </font>
    </dxf>
    <dxf>
      <font>
        <color indexed="2"/>
      </font>
    </dxf>
    <dxf>
      <font>
        <b/>
        <i val="0"/>
        <color indexed="2"/>
      </font>
    </dxf>
    <dxf>
      <font>
        <color indexed="2"/>
      </font>
    </dxf>
    <dxf>
      <font>
        <color indexed="2"/>
      </font>
    </dxf>
    <dxf>
      <font>
        <b/>
        <i val="0"/>
        <color indexed="2"/>
      </font>
    </dxf>
    <dxf>
      <font>
        <color indexed="2"/>
      </font>
    </dxf>
    <dxf>
      <fill>
        <patternFill patternType="solid">
          <fgColor indexed="43"/>
          <bgColor indexed="43"/>
        </patternFill>
      </fill>
    </dxf>
    <dxf>
      <font>
        <b/>
        <i val="0"/>
        <color indexed="2"/>
      </font>
    </dxf>
    <dxf>
      <font>
        <b/>
        <i val="0"/>
        <color indexed="2"/>
      </font>
    </dxf>
    <dxf>
      <font>
        <b/>
        <i val="0"/>
        <color indexed="2"/>
      </font>
    </dxf>
    <dxf>
      <font>
        <b/>
        <i val="0"/>
        <color indexed="2"/>
      </font>
    </dxf>
    <dxf>
      <fill>
        <patternFill patternType="solid">
          <fgColor indexed="43"/>
          <bgColor indexed="43"/>
        </patternFill>
      </fill>
    </dxf>
    <dxf>
      <font>
        <b/>
        <i val="0"/>
        <color indexed="2"/>
      </font>
    </dxf>
    <dxf>
      <fill>
        <patternFill patternType="solid">
          <fgColor indexed="43"/>
          <bgColor indexed="43"/>
        </patternFill>
      </fill>
    </dxf>
    <dxf>
      <font>
        <b/>
        <i val="0"/>
        <color indexed="2"/>
      </font>
    </dxf>
    <dxf>
      <font>
        <b/>
        <i val="0"/>
      </font>
      <fill>
        <patternFill patternType="solid">
          <fgColor rgb="FF7DFFFF"/>
          <bgColor rgb="FF7DFFFF"/>
        </patternFill>
      </fill>
    </dxf>
    <dxf>
      <font>
        <b/>
        <i val="0"/>
      </font>
      <fill>
        <patternFill patternType="solid">
          <fgColor rgb="FF81FFFF"/>
          <bgColor rgb="FF81FFFF"/>
        </patternFill>
      </fill>
    </dxf>
    <dxf>
      <fill>
        <patternFill patternType="solid">
          <fgColor indexed="43"/>
          <bgColor indexed="43"/>
        </patternFill>
      </fill>
    </dxf>
    <dxf>
      <fill>
        <patternFill patternType="solid">
          <fgColor indexed="43"/>
          <bgColor indexed="43"/>
        </patternFill>
      </fill>
    </dxf>
    <dxf>
      <fill>
        <patternFill>
          <bgColor rgb="FFFFFF00"/>
        </patternFill>
      </fill>
    </dxf>
    <dxf>
      <fill>
        <patternFill>
          <bgColor rgb="FFFFFF00"/>
        </patternFill>
      </fill>
    </dxf>
    <dxf>
      <font>
        <color indexed="2"/>
      </font>
    </dxf>
    <dxf>
      <fill>
        <patternFill patternType="solid">
          <fgColor rgb="FFFFCCFF"/>
          <bgColor rgb="FFFFCCFF"/>
        </patternFill>
      </fill>
    </dxf>
    <dxf>
      <fill>
        <patternFill patternType="solid">
          <fgColor rgb="FFAFFFFF"/>
          <bgColor rgb="FFAFFFFF"/>
        </patternFill>
      </fill>
    </dxf>
    <dxf>
      <font>
        <b/>
        <i val="0"/>
        <color indexed="2"/>
      </font>
    </dxf>
    <dxf>
      <font>
        <color indexed="2"/>
      </font>
    </dxf>
    <dxf>
      <fill>
        <patternFill patternType="solid">
          <fgColor indexed="43"/>
          <bgColor indexed="43"/>
        </patternFill>
      </fill>
    </dxf>
    <dxf>
      <font>
        <b/>
        <i val="0"/>
        <color indexed="2"/>
      </font>
    </dxf>
    <dxf>
      <font>
        <color indexed="2"/>
      </font>
    </dxf>
    <dxf>
      <font>
        <color indexed="2"/>
      </font>
    </dxf>
    <dxf>
      <font>
        <color theme="0"/>
      </font>
    </dxf>
    <dxf>
      <fill>
        <patternFill patternType="solid">
          <fgColor indexed="43"/>
          <bgColor indexed="43"/>
        </patternFill>
      </fill>
    </dxf>
    <dxf>
      <font>
        <color indexed="2"/>
      </font>
    </dxf>
    <dxf>
      <font>
        <b/>
        <i val="0"/>
        <color indexed="2"/>
      </font>
    </dxf>
    <dxf>
      <font>
        <color indexed="2"/>
      </font>
    </dxf>
    <dxf>
      <font>
        <color theme="0"/>
      </font>
    </dxf>
    <dxf>
      <fill>
        <patternFill patternType="solid">
          <fgColor indexed="43"/>
          <bgColor indexed="43"/>
        </patternFill>
      </fill>
    </dxf>
    <dxf>
      <fill>
        <patternFill>
          <bgColor rgb="FFFFC000"/>
        </patternFill>
      </fill>
    </dxf>
    <dxf>
      <fill>
        <patternFill>
          <bgColor rgb="FFFFC000"/>
        </patternFill>
      </fill>
    </dxf>
    <dxf>
      <font>
        <color indexed="2"/>
      </font>
    </dxf>
    <dxf>
      <font>
        <b/>
        <i val="0"/>
        <color indexed="2"/>
      </font>
    </dxf>
    <dxf>
      <font>
        <color indexed="2"/>
      </font>
    </dxf>
    <dxf>
      <font>
        <color theme="0"/>
      </font>
    </dxf>
    <dxf>
      <font>
        <b/>
        <i val="0"/>
      </font>
      <fill>
        <patternFill patternType="solid">
          <fgColor rgb="FF81FFFF"/>
          <bgColor rgb="FF81FFFF"/>
        </patternFill>
      </fill>
    </dxf>
    <dxf>
      <font>
        <b/>
        <i val="0"/>
      </font>
      <fill>
        <patternFill patternType="solid">
          <fgColor rgb="FF7DFFFF"/>
          <bgColor rgb="FF7DFFFF"/>
        </patternFill>
      </fill>
    </dxf>
    <dxf>
      <fill>
        <patternFill patternType="solid">
          <fgColor indexed="43"/>
          <bgColor indexed="43"/>
        </patternFill>
      </fill>
    </dxf>
    <dxf>
      <fill>
        <patternFill patternType="solid">
          <fgColor indexed="43"/>
          <bgColor indexed="43"/>
        </patternFill>
      </fill>
    </dxf>
    <dxf>
      <fill>
        <patternFill patternType="solid">
          <fgColor rgb="FFFFCCFF"/>
          <bgColor rgb="FFFFCCFF"/>
        </patternFill>
      </fill>
    </dxf>
    <dxf>
      <fill>
        <patternFill patternType="solid">
          <fgColor rgb="FFAFFFFF"/>
          <bgColor rgb="FFAFFFFF"/>
        </patternFill>
      </fill>
    </dxf>
    <dxf>
      <fill>
        <patternFill>
          <bgColor rgb="FFFFFF00"/>
        </patternFill>
      </fill>
    </dxf>
    <dxf>
      <fill>
        <patternFill>
          <bgColor rgb="FFFFFF00"/>
        </patternFill>
      </fill>
    </dxf>
    <dxf>
      <fill>
        <patternFill patternType="solid">
          <fgColor rgb="FFFFCCFF"/>
          <bgColor rgb="FFFFCCFF"/>
        </patternFill>
      </fill>
    </dxf>
    <dxf>
      <fill>
        <patternFill patternType="solid">
          <fgColor rgb="FFAFFFFF"/>
          <bgColor rgb="FFAFFFFF"/>
        </patternFill>
      </fill>
    </dxf>
    <dxf>
      <font>
        <b/>
        <i val="0"/>
        <color indexed="2"/>
      </font>
    </dxf>
    <dxf>
      <font>
        <color indexed="2"/>
      </font>
    </dxf>
    <dxf>
      <fill>
        <patternFill>
          <bgColor rgb="FFFFFF00"/>
        </patternFill>
      </fill>
    </dxf>
    <dxf>
      <fill>
        <patternFill>
          <bgColor rgb="FFFFFF00"/>
        </patternFill>
      </fill>
    </dxf>
    <dxf>
      <fill>
        <patternFill>
          <bgColor rgb="FFFFC000"/>
        </patternFill>
      </fill>
    </dxf>
    <dxf>
      <font>
        <color indexed="2"/>
      </font>
    </dxf>
    <dxf>
      <fill>
        <patternFill patternType="solid">
          <fgColor indexed="43"/>
          <bgColor indexed="43"/>
        </patternFill>
      </fill>
    </dxf>
    <dxf>
      <font>
        <color indexed="2"/>
      </font>
    </dxf>
    <dxf>
      <font>
        <b/>
        <i val="0"/>
        <color indexed="2"/>
      </font>
    </dxf>
    <dxf>
      <font>
        <color indexed="2"/>
      </font>
    </dxf>
    <dxf>
      <font>
        <b/>
        <i val="0"/>
        <color indexed="2"/>
      </font>
    </dxf>
    <dxf>
      <font>
        <color indexed="2"/>
      </font>
    </dxf>
    <dxf>
      <font>
        <color indexed="2"/>
      </font>
    </dxf>
    <dxf>
      <font>
        <color theme="0"/>
      </font>
    </dxf>
    <dxf>
      <font>
        <color theme="0"/>
      </font>
    </dxf>
    <dxf>
      <fill>
        <patternFill>
          <bgColor rgb="FFFFC000"/>
        </patternFill>
      </fill>
    </dxf>
    <dxf>
      <font>
        <color theme="0"/>
      </font>
    </dxf>
    <dxf>
      <fill>
        <patternFill patternType="solid">
          <fgColor indexed="43"/>
          <bgColor indexed="43"/>
        </patternFill>
      </fill>
    </dxf>
    <dxf>
      <fill>
        <patternFill>
          <bgColor rgb="FFFFC000"/>
        </patternFill>
      </fill>
    </dxf>
    <dxf>
      <fill>
        <patternFill patternType="solid">
          <fgColor rgb="FFFFCCFF"/>
          <bgColor rgb="FFFFCCFF"/>
        </patternFill>
      </fill>
    </dxf>
    <dxf>
      <font>
        <color indexed="2"/>
      </font>
    </dxf>
    <dxf>
      <font>
        <b/>
        <i val="0"/>
        <color indexed="2"/>
      </font>
    </dxf>
    <dxf>
      <fill>
        <patternFill patternType="solid">
          <fgColor rgb="FFAFFFFF"/>
          <bgColor rgb="FFAFFFFF"/>
        </patternFill>
      </fill>
    </dxf>
    <dxf>
      <font>
        <color indexed="2"/>
      </font>
    </dxf>
    <dxf>
      <fill>
        <patternFill>
          <bgColor rgb="FFFFFF00"/>
        </patternFill>
      </fill>
    </dxf>
    <dxf>
      <fill>
        <patternFill patternType="solid">
          <fgColor indexed="43"/>
          <bgColor indexed="43"/>
        </patternFill>
      </fill>
    </dxf>
    <dxf>
      <fill>
        <patternFill>
          <bgColor rgb="FFFFFF00"/>
        </patternFill>
      </fill>
    </dxf>
    <dxf>
      <font>
        <color indexed="2"/>
      </font>
    </dxf>
    <dxf>
      <font>
        <b/>
        <i val="0"/>
        <color indexed="2"/>
      </font>
    </dxf>
    <dxf>
      <font>
        <color indexed="2"/>
      </font>
    </dxf>
    <dxf>
      <font>
        <color theme="0"/>
      </font>
    </dxf>
    <dxf>
      <fill>
        <patternFill patternType="solid">
          <fgColor indexed="43"/>
          <bgColor indexed="43"/>
        </patternFill>
      </fill>
    </dxf>
    <dxf>
      <fill>
        <patternFill patternType="solid">
          <fgColor indexed="43"/>
          <bgColor indexed="43"/>
        </patternFill>
      </fill>
    </dxf>
    <dxf>
      <font>
        <b/>
        <i val="0"/>
        <color indexed="2"/>
      </font>
    </dxf>
    <dxf>
      <font>
        <b/>
        <i val="0"/>
        <color indexed="2"/>
      </font>
    </dxf>
    <dxf>
      <font>
        <color indexed="2"/>
      </font>
    </dxf>
    <dxf>
      <font>
        <color indexed="2"/>
      </font>
    </dxf>
    <dxf>
      <font>
        <color indexed="2"/>
      </font>
    </dxf>
    <dxf>
      <font>
        <color indexed="2"/>
      </font>
    </dxf>
    <dxf>
      <font>
        <color theme="0"/>
      </font>
    </dxf>
    <dxf>
      <font>
        <color theme="0"/>
      </font>
    </dxf>
    <dxf>
      <fill>
        <patternFill patternType="solid">
          <fgColor indexed="43"/>
          <bgColor indexed="43"/>
        </patternFill>
      </fill>
    </dxf>
    <dxf>
      <fill>
        <patternFill patternType="solid">
          <fgColor indexed="43"/>
          <bgColor indexed="43"/>
        </patternFill>
      </fill>
    </dxf>
    <dxf>
      <fill>
        <patternFill>
          <bgColor rgb="FFFFC000"/>
        </patternFill>
      </fill>
    </dxf>
    <dxf>
      <font>
        <b/>
        <i val="0"/>
        <color indexed="2"/>
      </font>
    </dxf>
    <dxf>
      <font>
        <color indexed="2"/>
      </font>
    </dxf>
    <dxf>
      <font>
        <color indexed="2"/>
      </font>
    </dxf>
    <dxf>
      <font>
        <b/>
        <i val="0"/>
        <color indexed="2"/>
      </font>
    </dxf>
    <dxf>
      <font>
        <color indexed="2"/>
      </font>
    </dxf>
    <dxf>
      <font>
        <color indexed="2"/>
      </font>
    </dxf>
    <dxf>
      <font>
        <color theme="0"/>
      </font>
    </dxf>
    <dxf>
      <font>
        <color theme="0"/>
      </font>
    </dxf>
    <dxf>
      <fill>
        <patternFill patternType="solid">
          <fgColor indexed="43"/>
          <bgColor indexed="43"/>
        </patternFill>
      </fill>
    </dxf>
    <dxf>
      <fill>
        <patternFill patternType="solid">
          <fgColor indexed="43"/>
          <bgColor indexed="43"/>
        </patternFill>
      </fill>
    </dxf>
    <dxf>
      <fill>
        <patternFill>
          <bgColor rgb="FFFFC000"/>
        </patternFill>
      </fill>
    </dxf>
    <dxf>
      <font>
        <color indexed="2"/>
      </font>
    </dxf>
    <dxf>
      <font>
        <b/>
        <i val="0"/>
        <color indexed="2"/>
      </font>
    </dxf>
    <dxf>
      <font>
        <color indexed="2"/>
      </font>
    </dxf>
    <dxf>
      <font>
        <color theme="0"/>
      </font>
    </dxf>
    <dxf>
      <fill>
        <patternFill patternType="solid">
          <fgColor indexed="43"/>
          <bgColor indexed="43"/>
        </patternFill>
      </fill>
    </dxf>
    <dxf>
      <font>
        <color indexed="2"/>
      </font>
    </dxf>
    <dxf>
      <font>
        <b/>
        <i val="0"/>
        <color indexed="2"/>
      </font>
    </dxf>
    <dxf>
      <font>
        <color indexed="2"/>
      </font>
    </dxf>
    <dxf>
      <font>
        <color theme="0"/>
      </font>
    </dxf>
    <dxf>
      <fill>
        <patternFill patternType="solid">
          <fgColor indexed="43"/>
          <bgColor indexed="43"/>
        </patternFill>
      </fill>
    </dxf>
    <dxf>
      <font>
        <b/>
        <i val="0"/>
        <color indexed="2"/>
      </font>
    </dxf>
    <dxf>
      <font>
        <color indexed="2"/>
      </font>
    </dxf>
    <dxf>
      <font>
        <color indexed="2"/>
      </font>
    </dxf>
    <dxf>
      <font>
        <color theme="0"/>
      </font>
    </dxf>
    <dxf>
      <fill>
        <patternFill patternType="solid">
          <fgColor indexed="43"/>
          <bgColor indexed="43"/>
        </patternFill>
      </fill>
    </dxf>
    <dxf>
      <font>
        <b/>
        <i val="0"/>
        <color indexed="2"/>
      </font>
    </dxf>
    <dxf>
      <font>
        <color indexed="2"/>
      </font>
    </dxf>
    <dxf>
      <font>
        <color indexed="2"/>
      </font>
    </dxf>
    <dxf>
      <font>
        <color theme="0"/>
      </font>
    </dxf>
    <dxf>
      <fill>
        <patternFill patternType="solid">
          <fgColor indexed="43"/>
          <bgColor indexed="43"/>
        </patternFill>
      </fill>
    </dxf>
    <dxf>
      <fill>
        <patternFill patternType="solid">
          <fgColor indexed="43"/>
          <bgColor indexed="43"/>
        </patternFill>
      </fill>
    </dxf>
    <dxf>
      <font>
        <color theme="0"/>
      </font>
    </dxf>
    <dxf>
      <font>
        <color indexed="2"/>
      </font>
    </dxf>
    <dxf>
      <font>
        <b/>
        <i val="0"/>
        <color indexed="2"/>
      </font>
    </dxf>
    <dxf>
      <font>
        <color indexed="2"/>
      </font>
    </dxf>
    <dxf>
      <fill>
        <patternFill>
          <bgColor rgb="FFFFC000"/>
        </patternFill>
      </fill>
    </dxf>
    <dxf>
      <fill>
        <patternFill>
          <bgColor rgb="FFFFC000"/>
        </patternFill>
      </fill>
    </dxf>
    <dxf>
      <fill>
        <patternFill patternType="solid">
          <fgColor indexed="43"/>
          <bgColor indexed="43"/>
        </patternFill>
      </fill>
    </dxf>
    <dxf>
      <font>
        <color indexed="2"/>
      </font>
    </dxf>
    <dxf>
      <font>
        <color indexed="2"/>
      </font>
    </dxf>
    <dxf>
      <font>
        <color rgb="FF9C0006"/>
      </font>
    </dxf>
    <dxf>
      <font>
        <b/>
        <i val="0"/>
        <color rgb="FFFF0000"/>
      </font>
    </dxf>
    <dxf>
      <font>
        <b/>
        <i val="0"/>
        <color indexed="2"/>
      </font>
    </dxf>
    <dxf>
      <fill>
        <patternFill>
          <bgColor rgb="FFFFC000"/>
        </patternFill>
      </fill>
    </dxf>
    <dxf>
      <font>
        <color theme="0"/>
      </font>
    </dxf>
    <dxf>
      <font>
        <color indexed="2"/>
      </font>
    </dxf>
    <dxf>
      <font>
        <b/>
        <i val="0"/>
        <color indexed="2"/>
      </font>
    </dxf>
    <dxf>
      <font>
        <color indexed="2"/>
      </font>
    </dxf>
    <dxf>
      <font>
        <color indexed="2"/>
      </font>
    </dxf>
    <dxf>
      <font>
        <b/>
        <i val="0"/>
        <color indexed="2"/>
      </font>
    </dxf>
    <dxf>
      <font>
        <color indexed="2"/>
      </font>
    </dxf>
    <dxf>
      <font>
        <color theme="0"/>
      </font>
    </dxf>
    <dxf>
      <font>
        <color indexed="2"/>
      </font>
    </dxf>
    <dxf>
      <font>
        <color indexed="2"/>
      </font>
    </dxf>
    <dxf>
      <font>
        <b/>
        <i val="0"/>
        <color indexed="2"/>
      </font>
    </dxf>
    <dxf>
      <font>
        <color theme="0"/>
      </font>
    </dxf>
    <dxf>
      <font>
        <b/>
        <i val="0"/>
        <color indexed="2"/>
      </font>
    </dxf>
    <dxf>
      <font>
        <color indexed="2"/>
      </font>
    </dxf>
    <dxf>
      <font>
        <color indexed="2"/>
      </font>
    </dxf>
    <dxf>
      <font>
        <color theme="0"/>
      </font>
    </dxf>
    <dxf>
      <font>
        <color indexed="2"/>
      </font>
    </dxf>
    <dxf>
      <font>
        <b/>
        <i val="0"/>
        <color indexed="2"/>
      </font>
    </dxf>
    <dxf>
      <font>
        <color indexed="2"/>
      </font>
    </dxf>
    <dxf>
      <fill>
        <patternFill>
          <bgColor rgb="FFFFC000"/>
        </patternFill>
      </fill>
    </dxf>
    <dxf>
      <font>
        <color theme="0"/>
      </font>
    </dxf>
    <dxf>
      <font>
        <color indexed="2"/>
      </font>
    </dxf>
    <dxf>
      <font>
        <b/>
        <i val="0"/>
        <color indexed="2"/>
      </font>
    </dxf>
    <dxf>
      <font>
        <color theme="0"/>
      </font>
    </dxf>
    <dxf>
      <font>
        <color theme="0"/>
      </font>
    </dxf>
    <dxf>
      <font>
        <color indexed="2"/>
      </font>
    </dxf>
    <dxf>
      <fill>
        <patternFill>
          <bgColor rgb="FFFFC000"/>
        </patternFill>
      </fill>
    </dxf>
    <dxf>
      <font>
        <color indexed="2"/>
      </font>
    </dxf>
    <dxf>
      <font>
        <b/>
        <i val="0"/>
        <color indexed="2"/>
      </font>
    </dxf>
    <dxf>
      <font>
        <color indexed="2"/>
      </font>
    </dxf>
    <dxf>
      <fill>
        <patternFill patternType="solid">
          <fgColor indexed="43"/>
          <bgColor indexed="43"/>
        </patternFill>
      </fill>
    </dxf>
    <dxf>
      <fill>
        <patternFill patternType="solid">
          <fgColor indexed="43"/>
          <bgColor indexed="43"/>
        </patternFill>
      </fill>
    </dxf>
    <dxf>
      <font>
        <color indexed="2"/>
      </font>
    </dxf>
    <dxf>
      <font>
        <color indexed="2"/>
      </font>
    </dxf>
    <dxf>
      <font>
        <b/>
        <i val="0"/>
        <color indexed="2"/>
      </font>
    </dxf>
    <dxf>
      <font>
        <color indexed="2"/>
      </font>
    </dxf>
    <dxf>
      <font>
        <color theme="0"/>
      </font>
    </dxf>
    <dxf>
      <font>
        <color indexed="2"/>
      </font>
    </dxf>
    <dxf>
      <font>
        <color theme="0"/>
      </font>
    </dxf>
    <dxf>
      <font>
        <b/>
        <i val="0"/>
        <color indexed="2"/>
      </font>
    </dxf>
    <dxf>
      <fill>
        <patternFill patternType="solid">
          <fgColor indexed="43"/>
          <bgColor indexed="43"/>
        </patternFill>
      </fill>
    </dxf>
    <dxf>
      <font>
        <color indexed="2"/>
      </font>
    </dxf>
    <dxf>
      <font>
        <b/>
        <i val="0"/>
        <color indexed="2"/>
      </font>
    </dxf>
    <dxf>
      <font>
        <color indexed="2"/>
      </font>
    </dxf>
    <dxf>
      <font>
        <color theme="0"/>
      </font>
    </dxf>
    <dxf>
      <font>
        <color indexed="2"/>
      </font>
    </dxf>
    <dxf>
      <font>
        <b/>
        <i val="0"/>
        <color indexed="2"/>
      </font>
    </dxf>
    <dxf>
      <font>
        <color indexed="2"/>
      </font>
    </dxf>
    <dxf>
      <font>
        <color theme="0"/>
      </font>
    </dxf>
    <dxf>
      <fill>
        <patternFill patternType="solid">
          <fgColor indexed="43"/>
          <bgColor indexed="43"/>
        </patternFill>
      </fill>
    </dxf>
    <dxf>
      <font>
        <color theme="0"/>
      </font>
    </dxf>
    <dxf>
      <fill>
        <patternFill patternType="solid">
          <fgColor indexed="43"/>
          <bgColor indexed="43"/>
        </patternFill>
      </fill>
    </dxf>
    <dxf>
      <font>
        <color theme="0"/>
      </font>
    </dxf>
    <dxf>
      <fill>
        <patternFill patternType="solid">
          <fgColor indexed="43"/>
          <bgColor indexed="43"/>
        </patternFill>
      </fill>
    </dxf>
    <dxf>
      <font>
        <color theme="0"/>
      </font>
    </dxf>
    <dxf>
      <fill>
        <patternFill>
          <bgColor rgb="FFFFC000"/>
        </patternFill>
      </fill>
    </dxf>
    <dxf>
      <font>
        <color indexed="2"/>
      </font>
    </dxf>
    <dxf>
      <font>
        <b/>
        <i val="0"/>
        <color indexed="2"/>
      </font>
    </dxf>
    <dxf>
      <font>
        <color indexed="2"/>
      </font>
    </dxf>
    <dxf>
      <font>
        <color indexed="2"/>
      </font>
    </dxf>
    <dxf>
      <font>
        <b/>
        <i val="0"/>
        <color indexed="2"/>
      </font>
    </dxf>
    <dxf>
      <font>
        <color indexed="2"/>
      </font>
    </dxf>
    <dxf>
      <fill>
        <patternFill patternType="solid">
          <fgColor indexed="43"/>
          <bgColor indexed="43"/>
        </patternFill>
      </fill>
    </dxf>
    <dxf>
      <font>
        <color theme="0"/>
      </font>
    </dxf>
    <dxf>
      <fill>
        <patternFill patternType="solid">
          <fgColor indexed="43"/>
          <bgColor indexed="43"/>
        </patternFill>
      </fill>
    </dxf>
    <dxf>
      <fill>
        <patternFill>
          <bgColor rgb="FFFFC000"/>
        </patternFill>
      </fill>
    </dxf>
    <dxf>
      <font>
        <color indexed="2"/>
      </font>
    </dxf>
    <dxf>
      <font>
        <color indexed="2"/>
      </font>
    </dxf>
    <dxf>
      <font>
        <b/>
        <i val="0"/>
        <color indexed="2"/>
      </font>
    </dxf>
    <dxf>
      <font>
        <color theme="0"/>
      </font>
    </dxf>
    <dxf>
      <fill>
        <patternFill patternType="solid">
          <fgColor indexed="43"/>
          <bgColor indexed="43"/>
        </patternFill>
      </fill>
    </dxf>
    <dxf>
      <font>
        <color theme="0"/>
      </font>
    </dxf>
    <dxf>
      <fill>
        <patternFill patternType="solid">
          <fgColor indexed="43"/>
          <bgColor indexed="43"/>
        </patternFill>
      </fill>
    </dxf>
    <dxf>
      <font>
        <color indexed="2"/>
      </font>
    </dxf>
    <dxf>
      <font>
        <b/>
        <i val="0"/>
        <color indexed="2"/>
      </font>
    </dxf>
    <dxf>
      <font>
        <color indexed="2"/>
      </font>
    </dxf>
    <dxf>
      <font>
        <color theme="0"/>
      </font>
    </dxf>
    <dxf>
      <font>
        <color indexed="2"/>
      </font>
    </dxf>
    <dxf>
      <fill>
        <patternFill patternType="solid">
          <fgColor indexed="43"/>
          <bgColor indexed="43"/>
        </patternFill>
      </fill>
    </dxf>
    <dxf>
      <font>
        <b/>
        <i val="0"/>
        <color indexed="2"/>
      </font>
    </dxf>
    <dxf>
      <font>
        <color indexed="2"/>
      </font>
    </dxf>
    <dxf>
      <font>
        <color theme="0"/>
      </font>
    </dxf>
    <dxf>
      <font>
        <color indexed="2"/>
      </font>
    </dxf>
    <dxf>
      <font>
        <color indexed="2"/>
      </font>
    </dxf>
    <dxf>
      <font>
        <b/>
        <i val="0"/>
        <color indexed="2"/>
      </font>
    </dxf>
    <dxf>
      <fill>
        <patternFill patternType="solid">
          <fgColor indexed="43"/>
          <bgColor indexed="43"/>
        </patternFill>
      </fill>
    </dxf>
    <dxf>
      <font>
        <color theme="0"/>
      </font>
    </dxf>
    <dxf>
      <fill>
        <patternFill patternType="solid">
          <fgColor indexed="43"/>
          <bgColor indexed="43"/>
        </patternFill>
      </fill>
    </dxf>
    <dxf>
      <fill>
        <patternFill>
          <bgColor rgb="FFFFC000"/>
        </patternFill>
      </fill>
    </dxf>
    <dxf>
      <fill>
        <patternFill>
          <bgColor rgb="FFFFC000"/>
        </patternFill>
      </fill>
    </dxf>
    <dxf>
      <font>
        <b/>
        <i val="0"/>
        <color indexed="2"/>
      </font>
    </dxf>
    <dxf>
      <font>
        <color indexed="2"/>
      </font>
    </dxf>
    <dxf>
      <font>
        <color indexed="2"/>
      </font>
    </dxf>
    <dxf>
      <font>
        <color theme="0"/>
      </font>
    </dxf>
    <dxf>
      <font>
        <b/>
        <i val="0"/>
      </font>
      <fill>
        <patternFill patternType="solid">
          <fgColor rgb="FF81FFFF"/>
          <bgColor rgb="FF81FFFF"/>
        </patternFill>
      </fill>
    </dxf>
    <dxf>
      <font>
        <b/>
        <i val="0"/>
      </font>
      <fill>
        <patternFill patternType="solid">
          <fgColor rgb="FF7DFFFF"/>
          <bgColor rgb="FF7DFFFF"/>
        </patternFill>
      </fill>
    </dxf>
    <dxf>
      <fill>
        <patternFill patternType="solid">
          <fgColor indexed="43"/>
          <bgColor indexed="43"/>
        </patternFill>
      </fill>
    </dxf>
    <dxf>
      <font>
        <color indexed="2"/>
      </font>
    </dxf>
    <dxf>
      <font>
        <color indexed="2"/>
      </font>
    </dxf>
    <dxf>
      <font>
        <b/>
        <i val="0"/>
        <color indexed="2"/>
      </font>
    </dxf>
    <dxf>
      <font>
        <color theme="0"/>
      </font>
    </dxf>
    <dxf>
      <fill>
        <patternFill patternType="solid">
          <fgColor indexed="43"/>
          <bgColor indexed="43"/>
        </patternFill>
      </fill>
    </dxf>
    <dxf>
      <font>
        <color indexed="2"/>
      </font>
    </dxf>
    <dxf>
      <font>
        <b/>
        <i val="0"/>
        <color indexed="2"/>
      </font>
    </dxf>
    <dxf>
      <font>
        <color indexed="2"/>
      </font>
    </dxf>
    <dxf>
      <font>
        <color theme="0"/>
      </font>
    </dxf>
    <dxf>
      <font>
        <color indexed="2"/>
      </font>
    </dxf>
    <dxf>
      <font>
        <b/>
        <i val="0"/>
        <color indexed="2"/>
      </font>
    </dxf>
    <dxf>
      <font>
        <color indexed="2"/>
      </font>
    </dxf>
    <dxf>
      <font>
        <color theme="0"/>
      </font>
    </dxf>
    <dxf>
      <font>
        <color indexed="2"/>
      </font>
    </dxf>
    <dxf>
      <font>
        <b/>
        <i val="0"/>
        <color indexed="2"/>
      </font>
    </dxf>
    <dxf>
      <font>
        <color indexed="2"/>
      </font>
    </dxf>
    <dxf>
      <font>
        <color theme="0"/>
      </font>
    </dxf>
    <dxf>
      <font>
        <color indexed="2"/>
      </font>
    </dxf>
    <dxf>
      <font>
        <b/>
        <i val="0"/>
        <color indexed="2"/>
      </font>
    </dxf>
    <dxf>
      <font>
        <color indexed="2"/>
      </font>
    </dxf>
    <dxf>
      <font>
        <color theme="0"/>
      </font>
    </dxf>
    <dxf>
      <font>
        <color indexed="2"/>
      </font>
    </dxf>
    <dxf>
      <font>
        <b/>
        <i val="0"/>
        <color indexed="2"/>
      </font>
    </dxf>
    <dxf>
      <font>
        <color indexed="2"/>
      </font>
    </dxf>
    <dxf>
      <font>
        <color theme="0"/>
      </font>
    </dxf>
    <dxf>
      <font>
        <color indexed="2"/>
      </font>
    </dxf>
    <dxf>
      <font>
        <b/>
        <i val="0"/>
        <color indexed="2"/>
      </font>
    </dxf>
    <dxf>
      <font>
        <color indexed="2"/>
      </font>
    </dxf>
    <dxf>
      <font>
        <color theme="0"/>
      </font>
    </dxf>
    <dxf>
      <fill>
        <patternFill patternType="solid">
          <fgColor indexed="43"/>
          <bgColor indexed="43"/>
        </patternFill>
      </fill>
    </dxf>
    <dxf>
      <font>
        <color indexed="2"/>
      </font>
    </dxf>
    <dxf>
      <font>
        <b/>
        <i val="0"/>
        <color indexed="2"/>
      </font>
    </dxf>
    <dxf>
      <font>
        <color indexed="2"/>
      </font>
    </dxf>
    <dxf>
      <font>
        <color theme="0"/>
      </font>
    </dxf>
    <dxf>
      <font>
        <color indexed="2"/>
      </font>
    </dxf>
    <dxf>
      <font>
        <color indexed="2"/>
      </font>
    </dxf>
    <dxf>
      <font>
        <b/>
        <i val="0"/>
        <color indexed="2"/>
      </font>
    </dxf>
    <dxf>
      <font>
        <color theme="0"/>
      </font>
    </dxf>
    <dxf>
      <font>
        <color indexed="2"/>
      </font>
    </dxf>
    <dxf>
      <font>
        <b/>
        <i val="0"/>
        <color indexed="2"/>
      </font>
    </dxf>
    <dxf>
      <font>
        <color indexed="2"/>
      </font>
    </dxf>
    <dxf>
      <font>
        <color theme="0"/>
      </font>
    </dxf>
    <dxf>
      <font>
        <b/>
        <i val="0"/>
        <color indexed="2"/>
      </font>
    </dxf>
    <dxf>
      <font>
        <color indexed="2"/>
      </font>
    </dxf>
    <dxf>
      <font>
        <color indexed="2"/>
      </font>
    </dxf>
    <dxf>
      <font>
        <color theme="0"/>
      </font>
    </dxf>
    <dxf>
      <font>
        <color indexed="2"/>
      </font>
    </dxf>
    <dxf>
      <font>
        <color indexed="2"/>
      </font>
    </dxf>
    <dxf>
      <font>
        <b/>
        <i val="0"/>
        <color indexed="2"/>
      </font>
    </dxf>
    <dxf>
      <font>
        <color theme="0"/>
      </font>
    </dxf>
    <dxf>
      <fill>
        <patternFill patternType="solid">
          <fgColor indexed="43"/>
          <bgColor indexed="43"/>
        </patternFill>
      </fill>
    </dxf>
    <dxf>
      <font>
        <color indexed="2"/>
      </font>
    </dxf>
    <dxf>
      <font>
        <b/>
        <i val="0"/>
        <color indexed="2"/>
      </font>
    </dxf>
    <dxf>
      <font>
        <color indexed="2"/>
      </font>
    </dxf>
    <dxf>
      <font>
        <color theme="0"/>
      </font>
    </dxf>
    <dxf>
      <font>
        <b/>
        <i val="0"/>
        <color indexed="2"/>
      </font>
    </dxf>
    <dxf>
      <font>
        <color indexed="2"/>
      </font>
    </dxf>
    <dxf>
      <font>
        <color indexed="2"/>
      </font>
    </dxf>
    <dxf>
      <font>
        <color theme="0"/>
      </font>
    </dxf>
    <dxf>
      <font>
        <b/>
        <i val="0"/>
        <color indexed="2"/>
      </font>
    </dxf>
    <dxf>
      <font>
        <color indexed="2"/>
      </font>
    </dxf>
    <dxf>
      <font>
        <color indexed="2"/>
      </font>
    </dxf>
    <dxf>
      <font>
        <color theme="0"/>
      </font>
    </dxf>
    <dxf>
      <font>
        <color indexed="2"/>
      </font>
    </dxf>
    <dxf>
      <font>
        <b/>
        <i val="0"/>
        <color indexed="2"/>
      </font>
    </dxf>
    <dxf>
      <font>
        <color indexed="2"/>
      </font>
    </dxf>
    <dxf>
      <font>
        <color theme="0"/>
      </font>
    </dxf>
    <dxf>
      <font>
        <color indexed="2"/>
      </font>
    </dxf>
    <dxf>
      <font>
        <b/>
        <i val="0"/>
        <color indexed="2"/>
      </font>
    </dxf>
    <dxf>
      <font>
        <color indexed="2"/>
      </font>
    </dxf>
    <dxf>
      <font>
        <color theme="0"/>
      </font>
    </dxf>
    <dxf>
      <font>
        <color indexed="2"/>
      </font>
    </dxf>
    <dxf>
      <font>
        <color indexed="2"/>
      </font>
    </dxf>
    <dxf>
      <font>
        <b/>
        <i val="0"/>
        <color indexed="2"/>
      </font>
    </dxf>
    <dxf>
      <font>
        <color theme="0"/>
      </font>
    </dxf>
    <dxf>
      <font>
        <color indexed="2"/>
      </font>
    </dxf>
    <dxf>
      <font>
        <b/>
        <i val="0"/>
        <color indexed="2"/>
      </font>
    </dxf>
    <dxf>
      <font>
        <color indexed="2"/>
      </font>
    </dxf>
    <dxf>
      <font>
        <color theme="0"/>
      </font>
    </dxf>
    <dxf>
      <font>
        <b/>
        <i val="0"/>
        <color indexed="2"/>
      </font>
    </dxf>
    <dxf>
      <font>
        <color indexed="2"/>
      </font>
    </dxf>
    <dxf>
      <font>
        <color indexed="2"/>
      </font>
    </dxf>
    <dxf>
      <font>
        <color theme="0"/>
      </font>
    </dxf>
    <dxf>
      <font>
        <color indexed="2"/>
      </font>
    </dxf>
    <dxf>
      <font>
        <b/>
        <i val="0"/>
        <color indexed="2"/>
      </font>
    </dxf>
    <dxf>
      <font>
        <color indexed="2"/>
      </font>
    </dxf>
    <dxf>
      <font>
        <color theme="0"/>
      </font>
    </dxf>
    <dxf>
      <fill>
        <patternFill patternType="solid">
          <fgColor indexed="43"/>
          <bgColor indexed="43"/>
        </patternFill>
      </fill>
    </dxf>
    <dxf>
      <font>
        <color indexed="2"/>
      </font>
    </dxf>
    <dxf>
      <font>
        <b/>
        <i val="0"/>
        <color indexed="2"/>
      </font>
    </dxf>
    <dxf>
      <font>
        <color indexed="2"/>
      </font>
    </dxf>
    <dxf>
      <font>
        <color theme="0"/>
      </font>
    </dxf>
    <dxf>
      <font>
        <color indexed="2"/>
      </font>
    </dxf>
    <dxf>
      <font>
        <b/>
        <i val="0"/>
        <color indexed="2"/>
      </font>
    </dxf>
    <dxf>
      <font>
        <color indexed="2"/>
      </font>
    </dxf>
    <dxf>
      <font>
        <color theme="0"/>
      </font>
    </dxf>
    <dxf>
      <font>
        <color indexed="2"/>
      </font>
    </dxf>
    <dxf>
      <font>
        <b/>
        <i val="0"/>
        <color indexed="2"/>
      </font>
    </dxf>
    <dxf>
      <font>
        <color indexed="2"/>
      </font>
    </dxf>
    <dxf>
      <font>
        <color theme="0"/>
      </font>
    </dxf>
    <dxf>
      <font>
        <color indexed="2"/>
      </font>
    </dxf>
    <dxf>
      <font>
        <b/>
        <i val="0"/>
        <color indexed="2"/>
      </font>
    </dxf>
    <dxf>
      <font>
        <color indexed="2"/>
      </font>
    </dxf>
    <dxf>
      <font>
        <color theme="0"/>
      </font>
    </dxf>
    <dxf>
      <font>
        <color indexed="2"/>
      </font>
    </dxf>
    <dxf>
      <font>
        <b/>
        <i val="0"/>
        <color indexed="2"/>
      </font>
    </dxf>
    <dxf>
      <font>
        <color indexed="2"/>
      </font>
    </dxf>
    <dxf>
      <font>
        <color theme="0"/>
      </font>
    </dxf>
    <dxf>
      <font>
        <color indexed="2"/>
      </font>
    </dxf>
    <dxf>
      <font>
        <color indexed="2"/>
      </font>
    </dxf>
    <dxf>
      <font>
        <b/>
        <i val="0"/>
        <color indexed="2"/>
      </font>
    </dxf>
    <dxf>
      <font>
        <color theme="0"/>
      </font>
    </dxf>
    <dxf>
      <font>
        <b/>
        <i val="0"/>
        <color indexed="2"/>
      </font>
    </dxf>
    <dxf>
      <font>
        <color indexed="2"/>
      </font>
    </dxf>
    <dxf>
      <font>
        <color indexed="2"/>
      </font>
    </dxf>
    <dxf>
      <font>
        <color theme="0"/>
      </font>
    </dxf>
    <dxf>
      <font>
        <b/>
        <i val="0"/>
        <color indexed="2"/>
      </font>
    </dxf>
    <dxf>
      <font>
        <color indexed="2"/>
      </font>
    </dxf>
    <dxf>
      <font>
        <color indexed="2"/>
      </font>
    </dxf>
    <dxf>
      <font>
        <color theme="0"/>
      </font>
    </dxf>
    <dxf>
      <font>
        <color indexed="2"/>
      </font>
    </dxf>
    <dxf>
      <font>
        <b/>
        <i val="0"/>
        <color indexed="2"/>
      </font>
    </dxf>
    <dxf>
      <font>
        <color indexed="2"/>
      </font>
    </dxf>
    <dxf>
      <font>
        <color theme="0"/>
      </font>
    </dxf>
    <dxf>
      <font>
        <color indexed="2"/>
      </font>
    </dxf>
    <dxf>
      <font>
        <color indexed="2"/>
      </font>
    </dxf>
    <dxf>
      <font>
        <b/>
        <i val="0"/>
        <color indexed="2"/>
      </font>
    </dxf>
    <dxf>
      <font>
        <color theme="0"/>
      </font>
    </dxf>
    <dxf>
      <font>
        <color indexed="2"/>
      </font>
    </dxf>
    <dxf>
      <font>
        <color indexed="2"/>
      </font>
    </dxf>
    <dxf>
      <font>
        <b/>
        <i val="0"/>
        <color indexed="2"/>
      </font>
    </dxf>
    <dxf>
      <font>
        <color theme="0"/>
      </font>
    </dxf>
    <dxf>
      <fill>
        <patternFill patternType="solid">
          <fgColor indexed="43"/>
          <bgColor indexed="43"/>
        </patternFill>
      </fill>
    </dxf>
    <dxf>
      <font>
        <color indexed="2"/>
      </font>
    </dxf>
    <dxf>
      <font>
        <color indexed="2"/>
      </font>
    </dxf>
    <dxf>
      <font>
        <b/>
        <i val="0"/>
        <color indexed="2"/>
      </font>
    </dxf>
    <dxf>
      <font>
        <color theme="0"/>
      </font>
    </dxf>
    <dxf>
      <font>
        <color indexed="2"/>
      </font>
    </dxf>
    <dxf>
      <font>
        <b/>
        <i val="0"/>
        <color indexed="2"/>
      </font>
    </dxf>
    <dxf>
      <font>
        <color indexed="2"/>
      </font>
    </dxf>
    <dxf>
      <fill>
        <patternFill patternType="solid">
          <fgColor indexed="43"/>
          <bgColor indexed="43"/>
        </patternFill>
      </fill>
    </dxf>
    <dxf>
      <fill>
        <patternFill>
          <bgColor rgb="FFFFC000"/>
        </patternFill>
      </fill>
    </dxf>
    <dxf>
      <fill>
        <patternFill>
          <bgColor rgb="FFFFC000"/>
        </patternFill>
      </fill>
    </dxf>
    <dxf>
      <font>
        <b/>
        <i val="0"/>
        <color indexed="2"/>
      </font>
    </dxf>
    <dxf>
      <font>
        <color indexed="2"/>
      </font>
    </dxf>
    <dxf>
      <font>
        <color indexed="2"/>
      </font>
    </dxf>
    <dxf>
      <font>
        <color theme="0"/>
      </font>
    </dxf>
    <dxf>
      <font>
        <b/>
        <i val="0"/>
      </font>
      <fill>
        <patternFill patternType="solid">
          <fgColor rgb="FF7DFFFF"/>
          <bgColor rgb="FF7DFFFF"/>
        </patternFill>
      </fill>
    </dxf>
    <dxf>
      <font>
        <b/>
        <i val="0"/>
      </font>
      <fill>
        <patternFill patternType="solid">
          <fgColor rgb="FF81FFFF"/>
          <bgColor rgb="FF81FFFF"/>
        </patternFill>
      </fill>
    </dxf>
    <dxf>
      <font>
        <color indexed="2"/>
      </font>
    </dxf>
    <dxf>
      <font>
        <color indexed="2"/>
      </font>
    </dxf>
    <dxf>
      <font>
        <b/>
        <i val="0"/>
        <color indexed="2"/>
      </font>
    </dxf>
    <dxf>
      <font>
        <color theme="0"/>
      </font>
    </dxf>
    <dxf>
      <fill>
        <patternFill patternType="solid">
          <fgColor indexed="43"/>
          <bgColor indexed="43"/>
        </patternFill>
      </fill>
    </dxf>
    <dxf>
      <fill>
        <patternFill>
          <bgColor rgb="FFFFC000"/>
        </patternFill>
      </fill>
    </dxf>
    <dxf>
      <fill>
        <patternFill>
          <bgColor rgb="FFFFC000"/>
        </patternFill>
      </fill>
    </dxf>
    <dxf>
      <font>
        <color indexed="2"/>
      </font>
    </dxf>
    <dxf>
      <font>
        <b/>
        <i val="0"/>
        <color indexed="2"/>
      </font>
    </dxf>
    <dxf>
      <font>
        <color indexed="2"/>
      </font>
    </dxf>
    <dxf>
      <font>
        <color theme="0"/>
      </font>
    </dxf>
    <dxf>
      <font>
        <color theme="0"/>
      </font>
    </dxf>
    <dxf>
      <font>
        <color indexed="2"/>
      </font>
    </dxf>
    <dxf>
      <font>
        <b/>
        <i val="0"/>
        <color indexed="2"/>
      </font>
    </dxf>
    <dxf>
      <font>
        <color indexed="2"/>
      </font>
    </dxf>
    <dxf>
      <font>
        <color indexed="2"/>
      </font>
    </dxf>
    <dxf>
      <font>
        <b/>
        <i val="0"/>
        <color indexed="2"/>
      </font>
    </dxf>
    <dxf>
      <font>
        <color indexed="2"/>
      </font>
    </dxf>
    <dxf>
      <font>
        <color theme="0"/>
      </font>
    </dxf>
    <dxf>
      <font>
        <color indexed="2"/>
      </font>
    </dxf>
    <dxf>
      <font>
        <b/>
        <i val="0"/>
        <color indexed="2"/>
      </font>
    </dxf>
    <dxf>
      <font>
        <color indexed="2"/>
      </font>
    </dxf>
    <dxf>
      <font>
        <color theme="0"/>
      </font>
    </dxf>
    <dxf>
      <font>
        <b/>
        <i val="0"/>
        <color indexed="2"/>
      </font>
    </dxf>
    <dxf>
      <font>
        <color indexed="2"/>
      </font>
    </dxf>
    <dxf>
      <font>
        <color indexed="2"/>
      </font>
    </dxf>
    <dxf>
      <font>
        <color theme="0"/>
      </font>
    </dxf>
    <dxf>
      <fill>
        <patternFill patternType="solid">
          <fgColor indexed="43"/>
          <bgColor indexed="43"/>
        </patternFill>
      </fill>
    </dxf>
    <dxf>
      <font>
        <b/>
        <i val="0"/>
        <color indexed="2"/>
      </font>
    </dxf>
    <dxf>
      <font>
        <color indexed="2"/>
      </font>
    </dxf>
    <dxf>
      <font>
        <color indexed="2"/>
      </font>
    </dxf>
    <dxf>
      <font>
        <color theme="0"/>
      </font>
    </dxf>
    <dxf>
      <font>
        <color indexed="2"/>
      </font>
    </dxf>
    <dxf>
      <font>
        <b/>
        <i val="0"/>
        <color indexed="2"/>
      </font>
    </dxf>
    <dxf>
      <font>
        <color indexed="2"/>
      </font>
    </dxf>
    <dxf>
      <font>
        <color theme="0"/>
      </font>
    </dxf>
    <dxf>
      <font>
        <color indexed="2"/>
      </font>
    </dxf>
    <dxf>
      <font>
        <b/>
        <i val="0"/>
        <color indexed="2"/>
      </font>
    </dxf>
    <dxf>
      <font>
        <color indexed="2"/>
      </font>
    </dxf>
    <dxf>
      <font>
        <color theme="0"/>
      </font>
    </dxf>
    <dxf>
      <font>
        <color indexed="2"/>
      </font>
    </dxf>
    <dxf>
      <font>
        <b/>
        <i val="0"/>
        <color indexed="2"/>
      </font>
    </dxf>
    <dxf>
      <font>
        <color indexed="2"/>
      </font>
    </dxf>
    <dxf>
      <font>
        <color theme="0"/>
      </font>
    </dxf>
    <dxf>
      <font>
        <b/>
        <i val="0"/>
        <color indexed="2"/>
      </font>
    </dxf>
    <dxf>
      <font>
        <color indexed="2"/>
      </font>
    </dxf>
    <dxf>
      <font>
        <color indexed="2"/>
      </font>
    </dxf>
    <dxf>
      <font>
        <color theme="0"/>
      </font>
    </dxf>
    <dxf>
      <font>
        <b/>
        <i val="0"/>
        <color indexed="2"/>
      </font>
    </dxf>
    <dxf>
      <font>
        <color indexed="2"/>
      </font>
    </dxf>
    <dxf>
      <font>
        <color indexed="2"/>
      </font>
    </dxf>
    <dxf>
      <font>
        <color theme="0"/>
      </font>
    </dxf>
    <dxf>
      <font>
        <color indexed="2"/>
      </font>
    </dxf>
    <dxf>
      <font>
        <b/>
        <i val="0"/>
        <color indexed="2"/>
      </font>
    </dxf>
    <dxf>
      <font>
        <color indexed="2"/>
      </font>
    </dxf>
    <dxf>
      <font>
        <color theme="0"/>
      </font>
    </dxf>
    <dxf>
      <font>
        <color indexed="2"/>
      </font>
    </dxf>
    <dxf>
      <font>
        <b/>
        <i val="0"/>
        <color indexed="2"/>
      </font>
    </dxf>
    <dxf>
      <font>
        <color indexed="2"/>
      </font>
    </dxf>
    <dxf>
      <font>
        <color theme="0"/>
      </font>
    </dxf>
    <dxf>
      <fill>
        <patternFill patternType="solid">
          <fgColor indexed="43"/>
          <bgColor indexed="43"/>
        </patternFill>
      </fill>
    </dxf>
    <dxf>
      <font>
        <color indexed="2"/>
      </font>
    </dxf>
    <dxf>
      <font>
        <b/>
        <i val="0"/>
        <color indexed="2"/>
      </font>
    </dxf>
    <dxf>
      <font>
        <color indexed="2"/>
      </font>
    </dxf>
    <dxf>
      <font>
        <color theme="0"/>
      </font>
    </dxf>
    <dxf>
      <fill>
        <patternFill patternType="solid">
          <fgColor indexed="43"/>
          <bgColor indexed="43"/>
        </patternFill>
      </fill>
    </dxf>
    <dxf>
      <font>
        <color indexed="2"/>
      </font>
    </dxf>
    <dxf>
      <font>
        <b/>
        <i val="0"/>
        <color indexed="2"/>
      </font>
    </dxf>
    <dxf>
      <font>
        <color indexed="2"/>
      </font>
    </dxf>
    <dxf>
      <font>
        <color theme="0"/>
      </font>
    </dxf>
    <dxf>
      <font>
        <color indexed="2"/>
      </font>
    </dxf>
    <dxf>
      <font>
        <b/>
        <i val="0"/>
        <color indexed="2"/>
      </font>
    </dxf>
    <dxf>
      <font>
        <color indexed="2"/>
      </font>
    </dxf>
    <dxf>
      <font>
        <color theme="0"/>
      </font>
    </dxf>
    <dxf>
      <font>
        <color indexed="2"/>
      </font>
    </dxf>
    <dxf>
      <font>
        <b/>
        <i val="0"/>
        <color indexed="2"/>
      </font>
    </dxf>
    <dxf>
      <font>
        <color indexed="2"/>
      </font>
    </dxf>
    <dxf>
      <font>
        <color theme="0"/>
      </font>
    </dxf>
    <dxf>
      <fill>
        <patternFill patternType="solid">
          <fgColor indexed="43"/>
          <bgColor indexed="43"/>
        </patternFill>
      </fill>
    </dxf>
    <dxf>
      <font>
        <color indexed="2"/>
      </font>
    </dxf>
    <dxf>
      <font>
        <b/>
        <i val="0"/>
        <color indexed="2"/>
      </font>
    </dxf>
    <dxf>
      <font>
        <color indexed="2"/>
      </font>
    </dxf>
    <dxf>
      <font>
        <color theme="0"/>
      </font>
    </dxf>
    <dxf>
      <fill>
        <patternFill patternType="solid">
          <fgColor indexed="43"/>
          <bgColor indexed="43"/>
        </patternFill>
      </fill>
    </dxf>
    <dxf>
      <font>
        <color indexed="2"/>
      </font>
    </dxf>
    <dxf>
      <font>
        <b/>
        <i val="0"/>
        <color indexed="2"/>
      </font>
    </dxf>
    <dxf>
      <font>
        <color indexed="2"/>
      </font>
    </dxf>
    <dxf>
      <font>
        <color theme="0"/>
      </font>
    </dxf>
    <dxf>
      <font>
        <color indexed="2"/>
      </font>
    </dxf>
    <dxf>
      <font>
        <b/>
        <i val="0"/>
        <color indexed="2"/>
      </font>
    </dxf>
    <dxf>
      <font>
        <color indexed="2"/>
      </font>
    </dxf>
    <dxf>
      <font>
        <color theme="0"/>
      </font>
    </dxf>
    <dxf>
      <font>
        <color indexed="2"/>
      </font>
    </dxf>
    <dxf>
      <font>
        <b/>
        <i val="0"/>
        <color indexed="2"/>
      </font>
    </dxf>
    <dxf>
      <font>
        <color indexed="2"/>
      </font>
    </dxf>
    <dxf>
      <font>
        <color theme="0"/>
      </font>
    </dxf>
    <dxf>
      <font>
        <color indexed="2"/>
      </font>
    </dxf>
    <dxf>
      <font>
        <color indexed="2"/>
      </font>
    </dxf>
    <dxf>
      <font>
        <b/>
        <i val="0"/>
        <color indexed="2"/>
      </font>
    </dxf>
    <dxf>
      <font>
        <color theme="0"/>
      </font>
    </dxf>
    <dxf>
      <font>
        <color indexed="2"/>
      </font>
    </dxf>
    <dxf>
      <font>
        <b/>
        <i val="0"/>
        <color indexed="2"/>
      </font>
    </dxf>
    <dxf>
      <font>
        <color indexed="2"/>
      </font>
    </dxf>
    <dxf>
      <font>
        <color theme="0"/>
      </font>
    </dxf>
    <dxf>
      <font>
        <color indexed="2"/>
      </font>
    </dxf>
    <dxf>
      <font>
        <b/>
        <i val="0"/>
        <color indexed="2"/>
      </font>
    </dxf>
    <dxf>
      <font>
        <color indexed="2"/>
      </font>
    </dxf>
    <dxf>
      <font>
        <color theme="0"/>
      </font>
    </dxf>
    <dxf>
      <font>
        <b/>
        <i val="0"/>
        <color indexed="2"/>
      </font>
    </dxf>
    <dxf>
      <font>
        <color indexed="2"/>
      </font>
    </dxf>
    <dxf>
      <font>
        <color indexed="2"/>
      </font>
    </dxf>
    <dxf>
      <font>
        <b/>
        <i val="0"/>
        <color indexed="2"/>
      </font>
    </dxf>
    <dxf>
      <font>
        <color indexed="2"/>
      </font>
    </dxf>
    <dxf>
      <font>
        <color indexed="2"/>
      </font>
    </dxf>
    <dxf>
      <font>
        <color theme="0"/>
      </font>
    </dxf>
    <dxf>
      <font>
        <b/>
        <i val="0"/>
        <color indexed="2"/>
      </font>
    </dxf>
    <dxf>
      <font>
        <color indexed="2"/>
      </font>
    </dxf>
    <dxf>
      <font>
        <color indexed="2"/>
      </font>
    </dxf>
    <dxf>
      <font>
        <color theme="0"/>
      </font>
    </dxf>
    <dxf>
      <font>
        <color indexed="2"/>
      </font>
    </dxf>
    <dxf>
      <font>
        <b/>
        <i val="0"/>
        <color indexed="2"/>
      </font>
    </dxf>
    <dxf>
      <font>
        <color indexed="2"/>
      </font>
    </dxf>
    <dxf>
      <font>
        <color theme="0"/>
      </font>
    </dxf>
    <dxf>
      <font>
        <color indexed="2"/>
      </font>
    </dxf>
    <dxf>
      <font>
        <b/>
        <i val="0"/>
        <color indexed="2"/>
      </font>
    </dxf>
    <dxf>
      <font>
        <color indexed="2"/>
      </font>
    </dxf>
    <dxf>
      <font>
        <color theme="0"/>
      </font>
    </dxf>
    <dxf>
      <font>
        <color indexed="2"/>
      </font>
    </dxf>
    <dxf>
      <font>
        <b/>
        <i val="0"/>
        <color indexed="2"/>
      </font>
    </dxf>
    <dxf>
      <font>
        <color indexed="2"/>
      </font>
    </dxf>
    <dxf>
      <font>
        <color theme="0"/>
      </font>
    </dxf>
    <dxf>
      <font>
        <color indexed="2"/>
      </font>
    </dxf>
    <dxf>
      <font>
        <b/>
        <i val="0"/>
        <color indexed="2"/>
      </font>
    </dxf>
    <dxf>
      <font>
        <color indexed="2"/>
      </font>
    </dxf>
    <dxf>
      <font>
        <color theme="0"/>
      </font>
    </dxf>
    <dxf>
      <font>
        <color indexed="2"/>
      </font>
    </dxf>
    <dxf>
      <font>
        <color indexed="2"/>
      </font>
    </dxf>
    <dxf>
      <font>
        <b/>
        <i val="0"/>
        <color indexed="2"/>
      </font>
    </dxf>
    <dxf>
      <font>
        <color theme="0"/>
      </font>
    </dxf>
    <dxf>
      <font>
        <color indexed="2"/>
      </font>
    </dxf>
    <dxf>
      <font>
        <b/>
        <i val="0"/>
        <color indexed="2"/>
      </font>
    </dxf>
    <dxf>
      <font>
        <color indexed="2"/>
      </font>
    </dxf>
    <dxf>
      <font>
        <color theme="0"/>
      </font>
    </dxf>
    <dxf>
      <font>
        <b/>
        <i val="0"/>
        <color indexed="2"/>
      </font>
    </dxf>
    <dxf>
      <font>
        <color indexed="2"/>
      </font>
    </dxf>
    <dxf>
      <font>
        <color indexed="2"/>
      </font>
    </dxf>
    <dxf>
      <font>
        <color theme="0"/>
      </font>
    </dxf>
    <dxf>
      <fill>
        <patternFill>
          <bgColor rgb="FFFFC000"/>
        </patternFill>
      </fill>
    </dxf>
    <dxf>
      <fill>
        <patternFill>
          <bgColor rgb="FFFFC000"/>
        </patternFill>
      </fill>
    </dxf>
    <dxf>
      <font>
        <color indexed="2"/>
      </font>
    </dxf>
    <dxf>
      <font>
        <color indexed="2"/>
      </font>
    </dxf>
    <dxf>
      <font>
        <b/>
        <i val="0"/>
        <color indexed="2"/>
      </font>
    </dxf>
    <dxf>
      <font>
        <color theme="0"/>
      </font>
    </dxf>
    <dxf>
      <font>
        <b/>
        <i val="0"/>
      </font>
      <fill>
        <patternFill patternType="solid">
          <fgColor rgb="FF7DFFFF"/>
          <bgColor rgb="FF7DFFFF"/>
        </patternFill>
      </fill>
    </dxf>
    <dxf>
      <font>
        <b/>
        <i val="0"/>
      </font>
      <fill>
        <patternFill patternType="solid">
          <fgColor rgb="FF81FFFF"/>
          <bgColor rgb="FF81FFFF"/>
        </patternFill>
      </fill>
    </dxf>
    <dxf>
      <font>
        <b/>
        <i val="0"/>
        <color indexed="2"/>
      </font>
    </dxf>
    <dxf>
      <font>
        <color indexed="2"/>
      </font>
    </dxf>
    <dxf>
      <font>
        <color indexed="2"/>
      </font>
    </dxf>
    <dxf>
      <font>
        <color theme="0"/>
      </font>
    </dxf>
    <dxf>
      <font>
        <color indexed="2"/>
      </font>
    </dxf>
    <dxf>
      <font>
        <b/>
        <i val="0"/>
        <color indexed="2"/>
      </font>
    </dxf>
    <dxf>
      <font>
        <color indexed="2"/>
      </font>
    </dxf>
    <dxf>
      <font>
        <color theme="0"/>
      </font>
    </dxf>
    <dxf>
      <font>
        <color indexed="2"/>
      </font>
    </dxf>
    <dxf>
      <font>
        <b/>
        <i val="0"/>
        <color indexed="2"/>
      </font>
    </dxf>
    <dxf>
      <font>
        <color indexed="2"/>
      </font>
    </dxf>
    <dxf>
      <font>
        <color theme="0"/>
      </font>
    </dxf>
    <dxf>
      <font>
        <color indexed="2"/>
      </font>
    </dxf>
    <dxf>
      <font>
        <color indexed="2"/>
      </font>
    </dxf>
    <dxf>
      <font>
        <b/>
        <i val="0"/>
        <color indexed="2"/>
      </font>
    </dxf>
    <dxf>
      <font>
        <color theme="0"/>
      </font>
    </dxf>
    <dxf>
      <font>
        <color indexed="2"/>
      </font>
    </dxf>
    <dxf>
      <font>
        <color indexed="2"/>
      </font>
    </dxf>
    <dxf>
      <font>
        <b/>
        <i val="0"/>
        <color indexed="2"/>
      </font>
    </dxf>
    <dxf>
      <font>
        <color theme="0"/>
      </font>
    </dxf>
    <dxf>
      <font>
        <b/>
        <i val="0"/>
        <color indexed="2"/>
      </font>
    </dxf>
    <dxf>
      <font>
        <color indexed="2"/>
      </font>
    </dxf>
    <dxf>
      <font>
        <color indexed="2"/>
      </font>
    </dxf>
    <dxf>
      <font>
        <color theme="0"/>
      </font>
    </dxf>
    <dxf>
      <font>
        <color indexed="2"/>
      </font>
    </dxf>
    <dxf>
      <font>
        <color indexed="2"/>
      </font>
    </dxf>
    <dxf>
      <font>
        <b/>
        <i val="0"/>
        <color indexed="2"/>
      </font>
    </dxf>
    <dxf>
      <font>
        <color theme="0"/>
      </font>
    </dxf>
    <dxf>
      <font>
        <color indexed="2"/>
      </font>
    </dxf>
    <dxf>
      <font>
        <b/>
        <i val="0"/>
        <color indexed="2"/>
      </font>
    </dxf>
    <dxf>
      <font>
        <color indexed="2"/>
      </font>
    </dxf>
    <dxf>
      <font>
        <color theme="0"/>
      </font>
    </dxf>
    <dxf>
      <font>
        <color indexed="2"/>
      </font>
    </dxf>
    <dxf>
      <font>
        <b/>
        <i val="0"/>
        <color indexed="2"/>
      </font>
    </dxf>
    <dxf>
      <font>
        <color indexed="2"/>
      </font>
    </dxf>
    <dxf>
      <font>
        <color theme="0"/>
      </font>
    </dxf>
    <dxf>
      <font>
        <b/>
        <i val="0"/>
        <color indexed="2"/>
      </font>
    </dxf>
    <dxf>
      <font>
        <color indexed="2"/>
      </font>
    </dxf>
    <dxf>
      <font>
        <color indexed="2"/>
      </font>
    </dxf>
    <dxf>
      <font>
        <color theme="0"/>
      </font>
    </dxf>
    <dxf>
      <font>
        <b/>
        <i val="0"/>
        <color indexed="2"/>
      </font>
    </dxf>
    <dxf>
      <font>
        <color indexed="2"/>
      </font>
    </dxf>
    <dxf>
      <font>
        <color indexed="2"/>
      </font>
    </dxf>
    <dxf>
      <font>
        <color theme="0"/>
      </font>
    </dxf>
    <dxf>
      <font>
        <color indexed="2"/>
      </font>
    </dxf>
    <dxf>
      <font>
        <b/>
        <i val="0"/>
        <color indexed="2"/>
      </font>
    </dxf>
    <dxf>
      <font>
        <color indexed="2"/>
      </font>
    </dxf>
    <dxf>
      <font>
        <color theme="0"/>
      </font>
    </dxf>
    <dxf>
      <fill>
        <patternFill patternType="solid">
          <fgColor indexed="43"/>
          <bgColor indexed="43"/>
        </patternFill>
      </fill>
    </dxf>
    <dxf>
      <font>
        <b/>
        <i val="0"/>
        <color indexed="2"/>
      </font>
    </dxf>
    <dxf>
      <font>
        <color indexed="2"/>
      </font>
    </dxf>
    <dxf>
      <font>
        <color indexed="2"/>
      </font>
    </dxf>
    <dxf>
      <font>
        <color theme="0"/>
      </font>
    </dxf>
    <dxf>
      <font>
        <color indexed="2"/>
      </font>
    </dxf>
    <dxf>
      <font>
        <color indexed="2"/>
      </font>
    </dxf>
    <dxf>
      <font>
        <b/>
        <i val="0"/>
        <color indexed="2"/>
      </font>
    </dxf>
    <dxf>
      <font>
        <color theme="0"/>
      </font>
    </dxf>
    <dxf>
      <font>
        <color indexed="2"/>
      </font>
    </dxf>
    <dxf>
      <font>
        <b/>
        <i val="0"/>
        <color indexed="2"/>
      </font>
    </dxf>
    <dxf>
      <font>
        <color indexed="2"/>
      </font>
    </dxf>
    <dxf>
      <font>
        <color theme="0"/>
      </font>
    </dxf>
    <dxf>
      <font>
        <color indexed="2"/>
      </font>
    </dxf>
    <dxf>
      <font>
        <b/>
        <i val="0"/>
        <color indexed="2"/>
      </font>
    </dxf>
    <dxf>
      <font>
        <color indexed="2"/>
      </font>
    </dxf>
    <dxf>
      <font>
        <color theme="0"/>
      </font>
    </dxf>
    <dxf>
      <fill>
        <patternFill patternType="solid">
          <fgColor indexed="43"/>
          <bgColor indexed="43"/>
        </patternFill>
      </fill>
    </dxf>
    <dxf>
      <font>
        <color indexed="2"/>
      </font>
    </dxf>
    <dxf>
      <font>
        <b/>
        <i val="0"/>
        <color indexed="2"/>
      </font>
    </dxf>
    <dxf>
      <font>
        <color indexed="2"/>
      </font>
    </dxf>
    <dxf>
      <font>
        <color theme="0"/>
      </font>
    </dxf>
    <dxf>
      <fill>
        <patternFill patternType="solid">
          <fgColor indexed="43"/>
          <bgColor indexed="43"/>
        </patternFill>
      </fill>
    </dxf>
    <dxf>
      <font>
        <color indexed="2"/>
      </font>
    </dxf>
    <dxf>
      <font>
        <b/>
        <i val="0"/>
        <color indexed="2"/>
      </font>
    </dxf>
    <dxf>
      <font>
        <color indexed="2"/>
      </font>
    </dxf>
    <dxf>
      <font>
        <color theme="0"/>
      </font>
    </dxf>
    <dxf>
      <font>
        <b/>
        <i val="0"/>
        <color indexed="2"/>
      </font>
    </dxf>
    <dxf>
      <font>
        <color indexed="2"/>
      </font>
    </dxf>
    <dxf>
      <font>
        <color indexed="2"/>
      </font>
    </dxf>
    <dxf>
      <font>
        <color theme="0"/>
      </font>
    </dxf>
    <dxf>
      <font>
        <color indexed="2"/>
      </font>
    </dxf>
    <dxf>
      <font>
        <b/>
        <i val="0"/>
        <color indexed="2"/>
      </font>
    </dxf>
    <dxf>
      <font>
        <color indexed="2"/>
      </font>
    </dxf>
    <dxf>
      <font>
        <color theme="0"/>
      </font>
    </dxf>
    <dxf>
      <fill>
        <patternFill patternType="solid">
          <fgColor indexed="43"/>
          <bgColor indexed="43"/>
        </patternFill>
      </fill>
    </dxf>
    <dxf>
      <font>
        <color indexed="2"/>
      </font>
    </dxf>
    <dxf>
      <font>
        <color indexed="2"/>
      </font>
    </dxf>
    <dxf>
      <font>
        <b/>
        <i val="0"/>
        <color indexed="2"/>
      </font>
    </dxf>
    <dxf>
      <font>
        <b/>
        <i val="0"/>
        <color indexed="2"/>
      </font>
    </dxf>
    <dxf>
      <font>
        <color theme="0"/>
      </font>
    </dxf>
    <dxf>
      <font>
        <color indexed="2"/>
      </font>
    </dxf>
    <dxf>
      <font>
        <color indexed="2"/>
      </font>
    </dxf>
    <dxf>
      <fill>
        <patternFill patternType="solid">
          <fgColor indexed="43"/>
          <bgColor indexed="43"/>
        </patternFill>
      </fill>
    </dxf>
    <dxf>
      <fill>
        <patternFill>
          <bgColor rgb="FFFFC000"/>
        </patternFill>
      </fill>
    </dxf>
    <dxf>
      <fill>
        <patternFill>
          <bgColor rgb="FFFFC000"/>
        </patternFill>
      </fill>
    </dxf>
    <dxf>
      <font>
        <color indexed="2"/>
      </font>
    </dxf>
    <dxf>
      <font>
        <b/>
        <i val="0"/>
        <color indexed="2"/>
      </font>
    </dxf>
    <dxf>
      <font>
        <color indexed="2"/>
      </font>
    </dxf>
    <dxf>
      <font>
        <color theme="0"/>
      </font>
    </dxf>
    <dxf>
      <font>
        <color theme="0"/>
      </font>
    </dxf>
    <dxf>
      <font>
        <color indexed="2"/>
      </font>
    </dxf>
    <dxf>
      <font>
        <b/>
        <i val="0"/>
        <color indexed="2"/>
      </font>
    </dxf>
    <dxf>
      <font>
        <color indexed="2"/>
      </font>
    </dxf>
    <dxf>
      <fill>
        <patternFill patternType="solid">
          <fgColor indexed="43"/>
          <bgColor indexed="43"/>
        </patternFill>
      </fill>
    </dxf>
    <dxf>
      <font>
        <color indexed="2"/>
      </font>
    </dxf>
    <dxf>
      <font>
        <b/>
        <i val="0"/>
        <color indexed="2"/>
      </font>
    </dxf>
    <dxf>
      <font>
        <color indexed="2"/>
      </font>
    </dxf>
    <dxf>
      <font>
        <color theme="0"/>
      </font>
    </dxf>
    <dxf>
      <fill>
        <patternFill patternType="solid">
          <fgColor indexed="43"/>
          <bgColor indexed="43"/>
        </patternFill>
      </fill>
    </dxf>
    <dxf>
      <font>
        <color indexed="2"/>
      </font>
    </dxf>
    <dxf>
      <font>
        <b/>
        <i val="0"/>
        <color indexed="2"/>
      </font>
    </dxf>
    <dxf>
      <font>
        <color indexed="2"/>
      </font>
    </dxf>
    <dxf>
      <font>
        <color theme="0"/>
      </font>
    </dxf>
    <dxf>
      <fill>
        <patternFill patternType="solid">
          <fgColor indexed="43"/>
          <bgColor indexed="43"/>
        </patternFill>
      </fill>
    </dxf>
    <dxf>
      <font>
        <color theme="0"/>
      </font>
    </dxf>
    <dxf>
      <fill>
        <patternFill patternType="solid">
          <fgColor indexed="43"/>
          <bgColor indexed="43"/>
        </patternFill>
      </fill>
    </dxf>
    <dxf>
      <font>
        <color indexed="2"/>
      </font>
    </dxf>
    <dxf>
      <font>
        <b/>
        <i val="0"/>
        <color indexed="2"/>
      </font>
    </dxf>
    <dxf>
      <font>
        <color indexed="2"/>
      </font>
    </dxf>
    <dxf>
      <fill>
        <patternFill patternType="solid">
          <fgColor indexed="43"/>
          <bgColor indexed="43"/>
        </patternFill>
      </fill>
    </dxf>
    <dxf>
      <font>
        <color indexed="2"/>
      </font>
    </dxf>
    <dxf>
      <font>
        <b/>
        <i val="0"/>
        <color indexed="2"/>
      </font>
    </dxf>
    <dxf>
      <font>
        <color indexed="2"/>
      </font>
    </dxf>
    <dxf>
      <font>
        <color theme="0"/>
      </font>
    </dxf>
    <dxf>
      <fill>
        <patternFill patternType="solid">
          <fgColor indexed="43"/>
          <bgColor indexed="43"/>
        </patternFill>
      </fill>
    </dxf>
    <dxf>
      <font>
        <color theme="0"/>
      </font>
    </dxf>
    <dxf>
      <fill>
        <patternFill patternType="solid">
          <fgColor indexed="43"/>
          <bgColor indexed="43"/>
        </patternFill>
      </fill>
    </dxf>
    <dxf>
      <font>
        <color indexed="2"/>
      </font>
    </dxf>
    <dxf>
      <font>
        <b/>
        <i val="0"/>
        <color indexed="2"/>
      </font>
    </dxf>
    <dxf>
      <font>
        <color indexed="2"/>
      </font>
    </dxf>
    <dxf>
      <font>
        <color theme="0"/>
      </font>
    </dxf>
    <dxf>
      <fill>
        <patternFill patternType="solid">
          <fgColor indexed="43"/>
          <bgColor indexed="43"/>
        </patternFill>
      </fill>
    </dxf>
    <dxf>
      <font>
        <color theme="0"/>
      </font>
    </dxf>
    <dxf>
      <fill>
        <patternFill patternType="solid">
          <fgColor indexed="43"/>
          <bgColor indexed="43"/>
        </patternFill>
      </fill>
    </dxf>
    <dxf>
      <font>
        <b/>
        <i val="0"/>
        <color indexed="2"/>
      </font>
    </dxf>
    <dxf>
      <font>
        <color indexed="2"/>
      </font>
    </dxf>
    <dxf>
      <font>
        <color indexed="2"/>
      </font>
    </dxf>
    <dxf>
      <font>
        <color theme="0"/>
      </font>
    </dxf>
    <dxf>
      <fill>
        <patternFill patternType="solid">
          <fgColor indexed="43"/>
          <bgColor indexed="43"/>
        </patternFill>
      </fill>
    </dxf>
    <dxf>
      <font>
        <color indexed="2"/>
      </font>
    </dxf>
    <dxf>
      <font>
        <b/>
        <i val="0"/>
        <color indexed="2"/>
      </font>
    </dxf>
    <dxf>
      <font>
        <color indexed="2"/>
      </font>
    </dxf>
    <dxf>
      <font>
        <color theme="0"/>
      </font>
    </dxf>
    <dxf>
      <fill>
        <patternFill patternType="solid">
          <fgColor indexed="43"/>
          <bgColor indexed="43"/>
        </patternFill>
      </fill>
    </dxf>
    <dxf>
      <font>
        <color indexed="2"/>
      </font>
    </dxf>
    <dxf>
      <font>
        <b/>
        <i val="0"/>
        <color indexed="2"/>
      </font>
    </dxf>
    <dxf>
      <font>
        <color indexed="2"/>
      </font>
    </dxf>
    <dxf>
      <font>
        <color theme="0"/>
      </font>
    </dxf>
    <dxf>
      <fill>
        <patternFill patternType="solid">
          <fgColor indexed="43"/>
          <bgColor indexed="43"/>
        </patternFill>
      </fill>
    </dxf>
    <dxf>
      <fill>
        <patternFill>
          <bgColor rgb="FFFFC000"/>
        </patternFill>
      </fill>
    </dxf>
    <dxf>
      <font>
        <color theme="0"/>
      </font>
    </dxf>
    <dxf>
      <fill>
        <patternFill>
          <bgColor rgb="FFFFC000"/>
        </patternFill>
      </fill>
    </dxf>
    <dxf>
      <font>
        <color indexed="2"/>
      </font>
    </dxf>
    <dxf>
      <font>
        <b/>
        <i val="0"/>
        <color indexed="2"/>
      </font>
    </dxf>
    <dxf>
      <font>
        <color indexed="2"/>
      </font>
    </dxf>
    <dxf>
      <fill>
        <patternFill patternType="solid">
          <fgColor indexed="43"/>
          <bgColor indexed="43"/>
        </patternFill>
      </fill>
    </dxf>
    <dxf>
      <fill>
        <patternFill>
          <bgColor rgb="FFFFC000"/>
        </patternFill>
      </fill>
    </dxf>
    <dxf>
      <font>
        <color auto="1"/>
      </font>
      <fill>
        <patternFill>
          <bgColor theme="7"/>
        </patternFill>
      </fill>
    </dxf>
    <dxf>
      <font>
        <color auto="1"/>
      </font>
      <fill>
        <patternFill>
          <bgColor theme="9" tint="0.59996337778862885"/>
        </patternFill>
      </fill>
    </dxf>
    <dxf>
      <font>
        <color auto="1"/>
      </font>
      <fill>
        <patternFill>
          <bgColor rgb="FFFFC000"/>
        </patternFill>
      </fill>
    </dxf>
    <dxf>
      <font>
        <b/>
        <i val="0"/>
      </font>
      <fill>
        <patternFill patternType="solid">
          <fgColor rgb="FF7DFFFF"/>
          <bgColor rgb="FF7DFFFF"/>
        </patternFill>
      </fill>
    </dxf>
    <dxf>
      <font>
        <b/>
        <i val="0"/>
      </font>
      <fill>
        <patternFill patternType="solid">
          <fgColor rgb="FF81FFFF"/>
          <bgColor rgb="FF81FFFF"/>
        </patternFill>
      </fill>
    </dxf>
    <dxf>
      <fill>
        <patternFill patternType="solid">
          <fgColor indexed="43"/>
          <bgColor indexed="43"/>
        </patternFill>
      </fill>
    </dxf>
    <dxf>
      <fill>
        <patternFill patternType="solid">
          <fgColor indexed="43"/>
          <bgColor indexed="43"/>
        </patternFill>
      </fill>
    </dxf>
    <dxf>
      <fill>
        <patternFill patternType="solid">
          <fgColor indexed="43"/>
          <bgColor indexed="43"/>
        </patternFill>
      </fill>
    </dxf>
    <dxf>
      <fill>
        <patternFill>
          <bgColor rgb="FFFFFF00"/>
        </patternFill>
      </fill>
    </dxf>
    <dxf>
      <fill>
        <patternFill>
          <bgColor rgb="FFFFFF00"/>
        </patternFill>
      </fill>
    </dxf>
    <dxf>
      <font>
        <color indexed="2"/>
      </font>
    </dxf>
    <dxf>
      <font>
        <b/>
        <i val="0"/>
        <color indexed="2"/>
      </font>
    </dxf>
    <dxf>
      <fill>
        <patternFill patternType="solid">
          <fgColor rgb="FFAFFFFF"/>
          <bgColor rgb="FFAFFFFF"/>
        </patternFill>
      </fill>
    </dxf>
    <dxf>
      <fill>
        <patternFill patternType="solid">
          <fgColor rgb="FFFFCCFF"/>
          <bgColor rgb="FFFFCCFF"/>
        </patternFill>
      </fill>
    </dxf>
    <dxf>
      <font>
        <color indexed="2"/>
      </font>
    </dxf>
    <dxf>
      <font>
        <color indexed="2"/>
      </font>
    </dxf>
    <dxf>
      <font>
        <color indexed="2"/>
      </font>
    </dxf>
    <dxf>
      <font>
        <b/>
        <i val="0"/>
        <color indexed="2"/>
      </font>
    </dxf>
    <dxf>
      <font>
        <color theme="0"/>
      </font>
    </dxf>
    <dxf>
      <fill>
        <patternFill patternType="solid">
          <fgColor indexed="43"/>
          <bgColor indexed="43"/>
        </patternFill>
      </fill>
    </dxf>
    <dxf>
      <fill>
        <patternFill patternType="solid">
          <fgColor indexed="43"/>
          <bgColor indexed="43"/>
        </patternFill>
      </fill>
    </dxf>
    <dxf>
      <fill>
        <patternFill>
          <bgColor rgb="FFFFC000"/>
        </patternFill>
      </fill>
    </dxf>
    <dxf>
      <fill>
        <patternFill>
          <bgColor rgb="FFFFC000"/>
        </patternFill>
      </fill>
    </dxf>
    <dxf>
      <fill>
        <patternFill>
          <bgColor rgb="FFFFC000"/>
        </patternFill>
      </fill>
    </dxf>
    <dxf>
      <font>
        <color indexed="2"/>
      </font>
    </dxf>
    <dxf>
      <font>
        <b/>
        <i val="0"/>
        <color indexed="2"/>
      </font>
    </dxf>
    <dxf>
      <font>
        <color indexed="2"/>
      </font>
    </dxf>
    <dxf>
      <font>
        <b/>
        <i val="0"/>
        <color indexed="2"/>
      </font>
    </dxf>
    <dxf>
      <font>
        <color indexed="2"/>
      </font>
    </dxf>
    <dxf>
      <font>
        <color indexed="2"/>
      </font>
    </dxf>
    <dxf>
      <font>
        <color theme="0"/>
      </font>
    </dxf>
    <dxf>
      <font>
        <color theme="0"/>
      </font>
    </dxf>
    <dxf>
      <fill>
        <patternFill patternType="solid">
          <fgColor indexed="43"/>
          <bgColor indexed="43"/>
        </patternFill>
      </fill>
    </dxf>
    <dxf>
      <fill>
        <patternFill>
          <bgColor rgb="FFFFC000"/>
        </patternFill>
      </fill>
    </dxf>
    <dxf>
      <fill>
        <patternFill>
          <bgColor rgb="FFFFC000"/>
        </patternFill>
      </fill>
    </dxf>
    <dxf>
      <font>
        <color indexed="2"/>
      </font>
    </dxf>
    <dxf>
      <font>
        <b/>
        <i val="0"/>
        <color indexed="2"/>
      </font>
    </dxf>
    <dxf>
      <font>
        <color indexed="2"/>
      </font>
    </dxf>
    <dxf>
      <font>
        <color theme="0"/>
      </font>
    </dxf>
    <dxf>
      <font>
        <b/>
        <i val="0"/>
        <color indexed="2"/>
      </font>
    </dxf>
    <dxf>
      <font>
        <color indexed="2"/>
      </font>
    </dxf>
    <dxf>
      <font>
        <color indexed="2"/>
      </font>
    </dxf>
    <dxf>
      <font>
        <color theme="0"/>
      </font>
    </dxf>
    <dxf>
      <font>
        <color theme="0"/>
      </font>
    </dxf>
    <dxf>
      <font>
        <b/>
        <i val="0"/>
        <color indexed="2"/>
      </font>
    </dxf>
    <dxf>
      <font>
        <color indexed="2"/>
      </font>
    </dxf>
    <dxf>
      <font>
        <color indexed="2"/>
      </font>
    </dxf>
    <dxf>
      <font>
        <color theme="0"/>
      </font>
    </dxf>
    <dxf>
      <font>
        <b/>
        <i val="0"/>
        <color indexed="2"/>
      </font>
    </dxf>
    <dxf>
      <font>
        <color indexed="2"/>
      </font>
    </dxf>
    <dxf>
      <font>
        <color indexed="2"/>
      </font>
    </dxf>
    <dxf>
      <font>
        <b/>
        <i val="0"/>
        <color indexed="2"/>
      </font>
    </dxf>
    <dxf>
      <font>
        <color indexed="2"/>
      </font>
    </dxf>
    <dxf>
      <font>
        <color indexed="2"/>
      </font>
    </dxf>
    <dxf>
      <font>
        <color indexed="2"/>
      </font>
    </dxf>
    <dxf>
      <font>
        <b/>
        <i val="0"/>
        <color indexed="2"/>
      </font>
    </dxf>
    <dxf>
      <fill>
        <patternFill patternType="solid">
          <fgColor indexed="43"/>
          <bgColor indexed="43"/>
        </patternFill>
      </fill>
    </dxf>
    <dxf>
      <font>
        <color indexed="2"/>
      </font>
    </dxf>
    <dxf>
      <font>
        <color rgb="FF9C0006"/>
      </font>
    </dxf>
    <dxf>
      <font>
        <b/>
        <i val="0"/>
        <color rgb="FFFF0000"/>
      </font>
    </dxf>
    <dxf>
      <fill>
        <patternFill>
          <bgColor rgb="FFFFC000"/>
        </patternFill>
      </fill>
    </dxf>
    <dxf>
      <font>
        <color theme="0"/>
      </font>
    </dxf>
    <dxf>
      <font>
        <b/>
        <i val="0"/>
      </font>
      <fill>
        <patternFill patternType="solid">
          <fgColor rgb="FF7DFFFF"/>
          <bgColor rgb="FF7DFFFF"/>
        </patternFill>
      </fill>
    </dxf>
    <dxf>
      <font>
        <b/>
        <i val="0"/>
      </font>
      <fill>
        <patternFill patternType="solid">
          <fgColor rgb="FF81FFFF"/>
          <bgColor rgb="FF81FFFF"/>
        </patternFill>
      </fill>
    </dxf>
    <dxf>
      <font>
        <b/>
        <i val="0"/>
      </font>
      <fill>
        <patternFill patternType="solid">
          <fgColor rgb="FF81FFFF"/>
          <bgColor rgb="FF81FFFF"/>
        </patternFill>
      </fill>
    </dxf>
    <dxf>
      <font>
        <b/>
        <i val="0"/>
      </font>
      <fill>
        <patternFill patternType="solid">
          <fgColor rgb="FF7DFFFF"/>
          <bgColor rgb="FF7DFFFF"/>
        </patternFill>
      </fill>
    </dxf>
    <dxf>
      <font>
        <b/>
        <i val="0"/>
      </font>
      <fill>
        <patternFill patternType="solid">
          <fgColor rgb="FF81FFFF"/>
          <bgColor rgb="FF81FFFF"/>
        </patternFill>
      </fill>
    </dxf>
    <dxf>
      <font>
        <b/>
        <i val="0"/>
      </font>
      <fill>
        <patternFill patternType="solid">
          <fgColor rgb="FF7DFFFF"/>
          <bgColor rgb="FF7DFFFF"/>
        </patternFill>
      </fill>
    </dxf>
    <dxf>
      <font>
        <b/>
        <i val="0"/>
        <color indexed="2"/>
      </font>
    </dxf>
    <dxf>
      <font>
        <color indexed="2"/>
      </font>
    </dxf>
    <dxf>
      <font>
        <color indexed="2"/>
      </font>
    </dxf>
    <dxf>
      <font>
        <color theme="0"/>
      </font>
    </dxf>
    <dxf>
      <font>
        <color indexed="2"/>
      </font>
    </dxf>
    <dxf>
      <font>
        <b/>
        <i val="0"/>
        <color indexed="2"/>
      </font>
    </dxf>
    <dxf>
      <font>
        <color indexed="2"/>
      </font>
    </dxf>
    <dxf>
      <font>
        <color indexed="2"/>
      </font>
    </dxf>
    <dxf>
      <font>
        <b/>
        <i val="0"/>
        <color indexed="2"/>
      </font>
    </dxf>
    <dxf>
      <font>
        <color indexed="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rgb="FFFFCCFF"/>
        </patternFill>
      </fill>
    </dxf>
    <dxf>
      <fill>
        <patternFill>
          <bgColor rgb="FFB9FFFF"/>
        </patternFill>
      </fill>
    </dxf>
    <dxf>
      <font>
        <b/>
        <i val="0"/>
      </font>
      <fill>
        <patternFill>
          <bgColor theme="4" tint="0.59996337778862885"/>
        </patternFill>
      </fill>
    </dxf>
    <dxf>
      <fill>
        <patternFill>
          <bgColor rgb="FFFFFF00"/>
        </patternFill>
      </fill>
    </dxf>
    <dxf>
      <fill>
        <patternFill>
          <bgColor rgb="FFB9FFFF"/>
        </patternFill>
      </fill>
    </dxf>
    <dxf>
      <fill>
        <patternFill>
          <bgColor rgb="FFFFCCFF"/>
        </patternFill>
      </fill>
    </dxf>
    <dxf>
      <font>
        <b/>
        <i val="0"/>
      </font>
      <fill>
        <patternFill>
          <bgColor theme="4" tint="0.59996337778862885"/>
        </patternFill>
      </fill>
    </dxf>
    <dxf>
      <fill>
        <patternFill>
          <bgColor rgb="FFFFCCFF"/>
        </patternFill>
      </fill>
    </dxf>
    <dxf>
      <fill>
        <patternFill>
          <bgColor rgb="FFB9FFFF"/>
        </patternFill>
      </fill>
    </dxf>
    <dxf>
      <fill>
        <patternFill>
          <bgColor rgb="FFFFFF00"/>
        </patternFill>
      </fill>
    </dxf>
    <dxf>
      <fill>
        <patternFill>
          <bgColor theme="9" tint="0.39994506668294322"/>
        </patternFill>
      </fill>
    </dxf>
    <dxf>
      <fill>
        <patternFill>
          <bgColor rgb="FFFFFF00"/>
        </patternFill>
      </fill>
    </dxf>
    <dxf>
      <font>
        <b/>
        <i val="0"/>
      </font>
      <fill>
        <patternFill>
          <bgColor theme="4" tint="0.59996337778862885"/>
        </patternFill>
      </fill>
    </dxf>
    <dxf>
      <fill>
        <patternFill>
          <bgColor rgb="FFB9FFFF"/>
        </patternFill>
      </fill>
    </dxf>
    <dxf>
      <fill>
        <patternFill>
          <bgColor rgb="FFFFCCFF"/>
        </patternFill>
      </fill>
    </dxf>
    <dxf>
      <fill>
        <patternFill>
          <bgColor theme="7" tint="0.39994506668294322"/>
        </patternFill>
      </fill>
    </dxf>
    <dxf>
      <font>
        <color rgb="FF006100"/>
      </font>
      <fill>
        <patternFill>
          <bgColor rgb="FFC6EFCE"/>
        </patternFill>
      </fill>
    </dxf>
    <dxf>
      <font>
        <color theme="1"/>
      </font>
      <fill>
        <patternFill>
          <bgColor theme="5" tint="0.59996337778862885"/>
        </patternFill>
      </fill>
    </dxf>
    <dxf>
      <font>
        <color rgb="FF006100"/>
      </font>
      <fill>
        <patternFill>
          <bgColor rgb="FFC6EFCE"/>
        </patternFill>
      </fill>
    </dxf>
    <dxf>
      <font>
        <b/>
        <i val="0"/>
      </font>
      <fill>
        <patternFill>
          <bgColor theme="4" tint="0.59996337778862885"/>
        </patternFill>
      </fill>
    </dxf>
    <dxf>
      <fill>
        <patternFill>
          <bgColor rgb="FFB9FFFF"/>
        </patternFill>
      </fill>
    </dxf>
    <dxf>
      <fill>
        <patternFill>
          <bgColor rgb="FFFFCCFF"/>
        </patternFill>
      </fill>
    </dxf>
    <dxf>
      <fill>
        <patternFill>
          <bgColor rgb="FFFFFF00"/>
        </patternFill>
      </fill>
    </dxf>
    <dxf>
      <fill>
        <patternFill>
          <bgColor theme="9" tint="0.39994506668294322"/>
        </patternFill>
      </fill>
    </dxf>
    <dxf>
      <font>
        <color theme="0"/>
      </font>
      <fill>
        <patternFill>
          <bgColor rgb="FFFF0000"/>
        </patternFill>
      </fill>
    </dxf>
    <dxf>
      <fill>
        <patternFill>
          <bgColor rgb="FFFFFF00"/>
        </patternFill>
      </fill>
    </dxf>
    <dxf>
      <font>
        <color theme="0"/>
      </font>
      <fill>
        <patternFill>
          <bgColor rgb="FFFF0000"/>
        </patternFill>
      </fill>
    </dxf>
    <dxf>
      <fill>
        <patternFill>
          <bgColor rgb="FFFFFF00"/>
        </patternFill>
      </fill>
    </dxf>
    <dxf>
      <font>
        <color theme="0"/>
      </font>
      <fill>
        <patternFill>
          <bgColor rgb="FFFF0000"/>
        </patternFill>
      </fill>
    </dxf>
    <dxf>
      <fill>
        <patternFill>
          <bgColor rgb="FFFFFF00"/>
        </patternFill>
      </fill>
    </dxf>
    <dxf>
      <font>
        <color theme="0"/>
      </font>
      <fill>
        <patternFill>
          <bgColor rgb="FFFF0000"/>
        </patternFill>
      </fill>
    </dxf>
    <dxf>
      <fill>
        <patternFill>
          <bgColor rgb="FFFFFF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rgb="FFFFFF00"/>
        </patternFill>
      </fill>
    </dxf>
    <dxf>
      <font>
        <color theme="0"/>
      </font>
      <fill>
        <patternFill>
          <bgColor rgb="FFFF0000"/>
        </patternFill>
      </fill>
    </dxf>
    <dxf>
      <font>
        <b/>
        <i val="0"/>
      </font>
      <fill>
        <patternFill patternType="solid">
          <fgColor rgb="FF81FFFF"/>
          <bgColor rgb="FF81FFFF"/>
        </patternFill>
      </fill>
    </dxf>
    <dxf>
      <font>
        <b/>
        <i val="0"/>
      </font>
      <fill>
        <patternFill patternType="solid">
          <fgColor rgb="FF7DFFFF"/>
          <bgColor rgb="FF7DFFFF"/>
        </patternFill>
      </fill>
    </dxf>
    <dxf>
      <font>
        <b/>
        <i val="0"/>
      </font>
      <fill>
        <patternFill patternType="solid">
          <fgColor rgb="FF81FFFF"/>
          <bgColor rgb="FF81FFFF"/>
        </patternFill>
      </fill>
    </dxf>
    <dxf>
      <font>
        <b/>
        <i val="0"/>
      </font>
      <fill>
        <patternFill patternType="solid">
          <fgColor rgb="FF7DFFFF"/>
          <bgColor rgb="FF7DFFFF"/>
        </patternFill>
      </fill>
    </dxf>
    <dxf>
      <font>
        <color rgb="FFC00000"/>
      </font>
      <fill>
        <patternFill>
          <bgColor theme="0"/>
        </patternFill>
      </fill>
    </dxf>
    <dxf>
      <font>
        <b/>
        <i val="0"/>
      </font>
      <fill>
        <patternFill patternType="solid">
          <fgColor rgb="FF81FFFF"/>
          <bgColor rgb="FF81FFFF"/>
        </patternFill>
      </fill>
    </dxf>
    <dxf>
      <font>
        <b/>
        <i val="0"/>
      </font>
      <fill>
        <patternFill patternType="solid">
          <fgColor rgb="FF7DFFFF"/>
          <bgColor rgb="FF7DFFFF"/>
        </patternFill>
      </fill>
    </dxf>
    <dxf>
      <font>
        <color indexed="2"/>
      </font>
    </dxf>
    <dxf>
      <fill>
        <patternFill patternType="solid">
          <fgColor rgb="FFFFCCFF"/>
          <bgColor rgb="FFFFCCFF"/>
        </patternFill>
      </fill>
    </dxf>
    <dxf>
      <fill>
        <patternFill patternType="solid">
          <fgColor rgb="FFAFFFFF"/>
          <bgColor rgb="FFAFFFFF"/>
        </patternFill>
      </fill>
    </dxf>
    <dxf>
      <font>
        <b/>
        <i val="0"/>
        <color indexed="2"/>
      </font>
    </dxf>
    <dxf>
      <font>
        <b/>
        <i val="0"/>
        <color indexed="2"/>
      </font>
    </dxf>
    <dxf>
      <fill>
        <patternFill patternType="solid">
          <fgColor indexed="43"/>
          <bgColor indexed="43"/>
        </patternFill>
      </fill>
    </dxf>
    <dxf>
      <font>
        <b/>
        <i val="0"/>
        <color indexed="2"/>
      </font>
    </dxf>
    <dxf>
      <font>
        <b/>
        <i val="0"/>
        <color indexed="2"/>
      </font>
    </dxf>
    <dxf>
      <fill>
        <patternFill patternType="solid">
          <fgColor indexed="43"/>
          <bgColor indexed="43"/>
        </patternFill>
      </fill>
    </dxf>
    <dxf>
      <font>
        <color indexed="2"/>
      </font>
    </dxf>
    <dxf>
      <fill>
        <patternFill patternType="solid">
          <fgColor rgb="FFFFCCFF"/>
          <bgColor rgb="FFFFCCFF"/>
        </patternFill>
      </fill>
    </dxf>
    <dxf>
      <fill>
        <patternFill patternType="solid">
          <fgColor rgb="FFAFFFFF"/>
          <bgColor rgb="FFAFFFFF"/>
        </patternFill>
      </fill>
    </dxf>
    <dxf>
      <font>
        <b/>
        <i val="0"/>
      </font>
      <fill>
        <patternFill patternType="solid">
          <fgColor rgb="FF81FFFF"/>
          <bgColor rgb="FF81FFFF"/>
        </patternFill>
      </fill>
    </dxf>
    <dxf>
      <font>
        <b/>
        <i val="0"/>
      </font>
      <fill>
        <patternFill patternType="solid">
          <fgColor rgb="FF7DFFFF"/>
          <bgColor rgb="FF7DFFFF"/>
        </patternFill>
      </fill>
    </dxf>
    <dxf>
      <font>
        <b/>
        <i val="0"/>
      </font>
      <fill>
        <patternFill patternType="solid">
          <fgColor rgb="FF81FFFF"/>
          <bgColor rgb="FF81FFFF"/>
        </patternFill>
      </fill>
    </dxf>
    <dxf>
      <font>
        <b/>
        <i val="0"/>
      </font>
      <fill>
        <patternFill patternType="solid">
          <fgColor rgb="FF7DFFFF"/>
          <bgColor rgb="FF7DFFFF"/>
        </patternFill>
      </fill>
    </dxf>
    <dxf>
      <font>
        <b/>
        <i val="0"/>
        <color indexed="2"/>
      </font>
    </dxf>
    <dxf>
      <font>
        <color indexed="2"/>
      </font>
    </dxf>
    <dxf>
      <fill>
        <patternFill patternType="solid">
          <fgColor rgb="FFFFCCFF"/>
          <bgColor rgb="FFFFCCFF"/>
        </patternFill>
      </fill>
    </dxf>
    <dxf>
      <fill>
        <patternFill patternType="solid">
          <fgColor rgb="FFAFFFFF"/>
          <bgColor rgb="FFAFFFFF"/>
        </patternFill>
      </fill>
    </dxf>
    <dxf>
      <font>
        <color indexed="2"/>
      </font>
    </dxf>
    <dxf>
      <font>
        <b/>
        <i val="0"/>
        <color indexed="2"/>
      </font>
    </dxf>
    <dxf>
      <font>
        <b/>
        <i val="0"/>
      </font>
      <fill>
        <patternFill patternType="solid">
          <fgColor rgb="FF81FFFF"/>
          <bgColor rgb="FF81FFFF"/>
        </patternFill>
      </fill>
    </dxf>
    <dxf>
      <font>
        <b/>
        <i val="0"/>
      </font>
      <fill>
        <patternFill patternType="solid">
          <fgColor rgb="FF7DFFFF"/>
          <bgColor rgb="FF7DFFFF"/>
        </patternFill>
      </fill>
    </dxf>
    <dxf>
      <font>
        <b/>
        <i val="0"/>
        <color indexed="2"/>
      </font>
    </dxf>
    <dxf>
      <font>
        <color indexed="2"/>
      </font>
    </dxf>
    <dxf>
      <fill>
        <patternFill patternType="solid">
          <fgColor rgb="FFFFCCFF"/>
          <bgColor rgb="FFFFCCFF"/>
        </patternFill>
      </fill>
    </dxf>
    <dxf>
      <fill>
        <patternFill patternType="solid">
          <fgColor rgb="FFAFFFFF"/>
          <bgColor rgb="FFAFFFFF"/>
        </patternFill>
      </fill>
    </dxf>
    <dxf>
      <font>
        <color indexed="2"/>
      </font>
    </dxf>
    <dxf>
      <fill>
        <patternFill patternType="solid">
          <fgColor indexed="43"/>
          <bgColor indexed="43"/>
        </patternFill>
      </fill>
    </dxf>
    <dxf>
      <font>
        <b/>
        <i val="0"/>
        <color indexed="2"/>
      </font>
    </dxf>
    <dxf>
      <font>
        <color indexed="2"/>
      </font>
    </dxf>
    <dxf>
      <fill>
        <patternFill patternType="solid">
          <fgColor rgb="FFFFCCFF"/>
          <bgColor rgb="FFFFCCFF"/>
        </patternFill>
      </fill>
    </dxf>
    <dxf>
      <fill>
        <patternFill patternType="solid">
          <fgColor rgb="FFAFFFFF"/>
          <bgColor rgb="FFAFFFFF"/>
        </patternFill>
      </fill>
    </dxf>
    <dxf>
      <font>
        <b/>
        <i val="0"/>
        <color indexed="2"/>
      </font>
    </dxf>
    <dxf>
      <fill>
        <patternFill patternType="solid">
          <fgColor indexed="43"/>
          <bgColor indexed="43"/>
        </patternFill>
      </fill>
    </dxf>
    <dxf>
      <font>
        <color indexed="2"/>
      </font>
    </dxf>
    <dxf>
      <font>
        <color rgb="FFFF0000"/>
      </font>
    </dxf>
    <dxf>
      <fill>
        <patternFill>
          <bgColor rgb="FFFFFFCC"/>
        </patternFill>
      </fill>
    </dxf>
    <dxf>
      <fill>
        <patternFill>
          <bgColor theme="5" tint="0.39994506668294322"/>
        </patternFill>
      </fill>
    </dxf>
    <dxf>
      <font>
        <color indexed="2"/>
      </font>
    </dxf>
    <dxf>
      <fill>
        <patternFill patternType="solid">
          <fgColor rgb="FFFFCCFF"/>
          <bgColor rgb="FFFFCCFF"/>
        </patternFill>
      </fill>
    </dxf>
    <dxf>
      <fill>
        <patternFill patternType="solid">
          <fgColor rgb="FFAFFFFF"/>
          <bgColor rgb="FFAFFFFF"/>
        </patternFill>
      </fill>
    </dxf>
    <dxf>
      <font>
        <b/>
        <i val="0"/>
      </font>
      <fill>
        <patternFill patternType="solid">
          <fgColor indexed="5"/>
          <bgColor indexed="5"/>
        </patternFill>
      </fill>
    </dxf>
    <dxf>
      <font>
        <color auto="1"/>
      </font>
      <fill>
        <patternFill>
          <bgColor theme="5" tint="0.39994506668294322"/>
        </patternFill>
      </fill>
    </dxf>
    <dxf>
      <fill>
        <patternFill>
          <bgColor theme="5" tint="-0.24994659260841701"/>
        </patternFill>
      </fill>
    </dxf>
    <dxf>
      <font>
        <b/>
        <i val="0"/>
      </font>
      <fill>
        <patternFill patternType="solid">
          <fgColor rgb="FF7DFFFF"/>
          <bgColor rgb="FF7DFFFF"/>
        </patternFill>
      </fill>
    </dxf>
    <dxf>
      <font>
        <b/>
        <i val="0"/>
      </font>
      <fill>
        <patternFill patternType="solid">
          <fgColor rgb="FF81FFFF"/>
          <bgColor rgb="FF81FFFF"/>
        </patternFill>
      </fill>
    </dxf>
    <dxf>
      <font>
        <color indexed="2"/>
      </font>
    </dxf>
    <dxf>
      <fill>
        <patternFill>
          <bgColor rgb="FFFFFF00"/>
        </patternFill>
      </fill>
    </dxf>
    <dxf>
      <fill>
        <patternFill>
          <bgColor theme="9" tint="0.59996337778862885"/>
        </patternFill>
      </fill>
    </dxf>
    <dxf>
      <fill>
        <patternFill patternType="solid">
          <fgColor theme="4" tint="0.59996337778862885"/>
          <bgColor theme="4" tint="0.59996337778862885"/>
        </patternFill>
      </fill>
    </dxf>
    <dxf>
      <fill>
        <patternFill patternType="solid">
          <fgColor theme="4" tint="0.59996337778862885"/>
          <bgColor theme="4" tint="0.59996337778862885"/>
        </patternFill>
      </fill>
    </dxf>
    <dxf>
      <fill>
        <patternFill patternType="solid">
          <fgColor indexed="47"/>
          <bgColor indexed="47"/>
        </patternFill>
      </fill>
    </dxf>
    <dxf>
      <fill>
        <patternFill patternType="solid">
          <fgColor indexed="43"/>
          <bgColor indexed="43"/>
        </patternFill>
      </fill>
    </dxf>
    <dxf>
      <fill>
        <patternFill>
          <bgColor rgb="FFFFFF00"/>
        </patternFill>
      </fill>
    </dxf>
    <dxf>
      <fill>
        <patternFill>
          <bgColor theme="9" tint="0.59996337778862885"/>
        </patternFill>
      </fill>
    </dxf>
    <dxf>
      <font>
        <b/>
        <i val="0"/>
      </font>
      <fill>
        <patternFill patternType="solid">
          <fgColor rgb="FF81FFFF"/>
          <bgColor rgb="FF81FFFF"/>
        </patternFill>
      </fill>
    </dxf>
    <dxf>
      <font>
        <b/>
        <i val="0"/>
      </font>
      <fill>
        <patternFill patternType="solid">
          <fgColor rgb="FF7DFFFF"/>
          <bgColor rgb="FF7DFFFF"/>
        </patternFill>
      </fill>
    </dxf>
    <dxf>
      <font>
        <b/>
        <i val="0"/>
        <color indexed="2"/>
      </font>
    </dxf>
    <dxf>
      <font>
        <b/>
        <i val="0"/>
        <color indexed="2"/>
      </font>
    </dxf>
    <dxf>
      <font>
        <b/>
        <i val="0"/>
      </font>
      <fill>
        <patternFill patternType="solid">
          <fgColor indexed="5"/>
          <bgColor indexed="5"/>
        </patternFill>
      </fill>
    </dxf>
    <dxf>
      <font>
        <b/>
        <i val="0"/>
        <color rgb="FFFF66FF"/>
      </font>
      <fill>
        <patternFill>
          <bgColor theme="0"/>
        </patternFill>
      </fill>
    </dxf>
    <dxf>
      <font>
        <b/>
        <i val="0"/>
      </font>
      <fill>
        <patternFill patternType="solid">
          <fgColor indexed="5"/>
          <bgColor indexed="5"/>
        </patternFill>
      </fill>
    </dxf>
    <dxf>
      <font>
        <color rgb="FF006100"/>
      </font>
      <fill>
        <patternFill>
          <bgColor rgb="FFC6EFCE"/>
        </patternFill>
      </fill>
    </dxf>
    <dxf>
      <font>
        <color rgb="FFFF66FF"/>
      </font>
      <fill>
        <patternFill>
          <bgColor theme="4" tint="-0.499984740745262"/>
        </patternFill>
      </fill>
    </dxf>
    <dxf>
      <font>
        <color auto="1"/>
      </font>
      <fill>
        <patternFill>
          <bgColor rgb="FFFF66FF"/>
        </patternFill>
      </fill>
    </dxf>
    <dxf>
      <font>
        <color auto="1"/>
      </font>
      <fill>
        <patternFill>
          <bgColor theme="5" tint="0.39994506668294322"/>
        </patternFill>
      </fill>
    </dxf>
    <dxf>
      <fill>
        <patternFill>
          <bgColor theme="5" tint="-0.24994659260841701"/>
        </patternFill>
      </fill>
    </dxf>
    <dxf>
      <font>
        <color rgb="FFFF0000"/>
      </font>
    </dxf>
    <dxf>
      <fill>
        <patternFill>
          <bgColor rgb="FFFFFFCC"/>
        </patternFill>
      </fill>
    </dxf>
    <dxf>
      <fill>
        <patternFill>
          <bgColor theme="5" tint="0.39994506668294322"/>
        </patternFill>
      </fill>
    </dxf>
    <dxf>
      <font>
        <color indexed="2"/>
      </font>
    </dxf>
    <dxf>
      <fill>
        <patternFill patternType="solid">
          <fgColor rgb="FFFFCCFF"/>
          <bgColor rgb="FFFFCCFF"/>
        </patternFill>
      </fill>
    </dxf>
    <dxf>
      <fill>
        <patternFill patternType="solid">
          <fgColor rgb="FFAFFFFF"/>
          <bgColor rgb="FFAFFFFF"/>
        </patternFill>
      </fill>
    </dxf>
    <dxf>
      <font>
        <color auto="1"/>
      </font>
      <fill>
        <patternFill>
          <bgColor theme="5" tint="0.39994506668294322"/>
        </patternFill>
      </fill>
    </dxf>
    <dxf>
      <fill>
        <patternFill>
          <bgColor theme="5" tint="-0.24994659260841701"/>
        </patternFill>
      </fill>
    </dxf>
    <dxf>
      <font>
        <b/>
        <i val="0"/>
      </font>
      <fill>
        <patternFill patternType="solid">
          <fgColor rgb="FF7DFFFF"/>
          <bgColor rgb="FF7DFFFF"/>
        </patternFill>
      </fill>
    </dxf>
    <dxf>
      <font>
        <b/>
        <i val="0"/>
      </font>
      <fill>
        <patternFill patternType="solid">
          <fgColor rgb="FF81FFFF"/>
          <bgColor rgb="FF81FFFF"/>
        </patternFill>
      </fill>
    </dxf>
    <dxf>
      <font>
        <color indexed="2"/>
      </font>
    </dxf>
    <dxf>
      <font>
        <color auto="1"/>
      </font>
      <fill>
        <patternFill>
          <bgColor rgb="FFFF66FF"/>
        </patternFill>
      </fill>
    </dxf>
    <dxf>
      <fill>
        <patternFill>
          <bgColor rgb="FFFFFF00"/>
        </patternFill>
      </fill>
    </dxf>
    <dxf>
      <fill>
        <patternFill>
          <bgColor theme="9" tint="0.59996337778862885"/>
        </patternFill>
      </fill>
    </dxf>
    <dxf>
      <fill>
        <patternFill patternType="solid">
          <fgColor theme="4" tint="0.59996337778862885"/>
          <bgColor theme="4" tint="0.59996337778862885"/>
        </patternFill>
      </fill>
    </dxf>
    <dxf>
      <fill>
        <patternFill patternType="solid">
          <fgColor theme="4" tint="0.59996337778862885"/>
          <bgColor theme="4" tint="0.59996337778862885"/>
        </patternFill>
      </fill>
    </dxf>
    <dxf>
      <fill>
        <patternFill patternType="solid">
          <fgColor indexed="47"/>
          <bgColor indexed="47"/>
        </patternFill>
      </fill>
    </dxf>
    <dxf>
      <fill>
        <patternFill patternType="solid">
          <fgColor indexed="43"/>
          <bgColor indexed="43"/>
        </patternFill>
      </fill>
    </dxf>
    <dxf>
      <font>
        <b/>
        <i val="0"/>
      </font>
      <fill>
        <patternFill patternType="solid">
          <fgColor rgb="FF81FFFF"/>
          <bgColor rgb="FF81FFFF"/>
        </patternFill>
      </fill>
    </dxf>
    <dxf>
      <font>
        <b/>
        <i val="0"/>
      </font>
      <fill>
        <patternFill patternType="solid">
          <fgColor rgb="FF7DFFFF"/>
          <bgColor rgb="FF7DFFFF"/>
        </patternFill>
      </fill>
    </dxf>
    <dxf>
      <font>
        <b/>
        <i val="0"/>
        <color indexed="2"/>
      </font>
    </dxf>
    <dxf>
      <font>
        <b/>
        <i val="0"/>
        <color indexed="2"/>
      </font>
    </dxf>
    <dxf>
      <font>
        <b/>
        <i val="0"/>
      </font>
      <fill>
        <patternFill patternType="solid">
          <fgColor indexed="5"/>
          <bgColor indexed="5"/>
        </patternFill>
      </fill>
    </dxf>
    <dxf>
      <fill>
        <patternFill patternType="solid">
          <fgColor theme="4" tint="0.59996337778862885"/>
          <bgColor theme="4" tint="0.59996337778862885"/>
        </patternFill>
      </fill>
    </dxf>
    <dxf>
      <fill>
        <patternFill>
          <bgColor rgb="FFFFE5FF"/>
        </patternFill>
      </fill>
    </dxf>
    <dxf>
      <fill>
        <patternFill>
          <bgColor rgb="FFB7FFFF"/>
        </patternFill>
      </fill>
    </dxf>
    <dxf>
      <font>
        <color auto="1"/>
      </font>
      <fill>
        <patternFill>
          <bgColor rgb="FFFFC000"/>
        </patternFill>
      </fill>
    </dxf>
    <dxf>
      <fill>
        <patternFill patternType="solid">
          <fgColor theme="4" tint="0.59996337778862885"/>
          <bgColor theme="4" tint="0.59996337778862885"/>
        </patternFill>
      </fill>
    </dxf>
    <dxf>
      <fill>
        <patternFill>
          <bgColor rgb="FFFFE5FF"/>
        </patternFill>
      </fill>
    </dxf>
    <dxf>
      <fill>
        <patternFill>
          <bgColor rgb="FFB7FFFF"/>
        </patternFill>
      </fill>
    </dxf>
    <dxf>
      <font>
        <color auto="1"/>
      </font>
      <fill>
        <patternFill>
          <bgColor rgb="FFFFC000"/>
        </patternFill>
      </fill>
    </dxf>
    <dxf>
      <fill>
        <patternFill patternType="solid">
          <fgColor theme="4" tint="0.59996337778862885"/>
          <bgColor theme="4" tint="0.59996337778862885"/>
        </patternFill>
      </fill>
    </dxf>
    <dxf>
      <fill>
        <patternFill>
          <bgColor rgb="FFFFE5FF"/>
        </patternFill>
      </fill>
    </dxf>
    <dxf>
      <fill>
        <patternFill>
          <bgColor rgb="FFB7FFFF"/>
        </patternFill>
      </fill>
    </dxf>
    <dxf>
      <font>
        <color auto="1"/>
      </font>
      <fill>
        <patternFill>
          <bgColor rgb="FFFFC000"/>
        </patternFill>
      </fill>
    </dxf>
    <dxf>
      <fill>
        <patternFill patternType="solid">
          <fgColor theme="4" tint="0.59996337778862885"/>
          <bgColor theme="4" tint="0.59996337778862885"/>
        </patternFill>
      </fill>
    </dxf>
    <dxf>
      <fill>
        <patternFill>
          <bgColor rgb="FFFFE5FF"/>
        </patternFill>
      </fill>
    </dxf>
    <dxf>
      <fill>
        <patternFill>
          <bgColor rgb="FFB7FFFF"/>
        </patternFill>
      </fill>
    </dxf>
    <dxf>
      <font>
        <color auto="1"/>
      </font>
      <fill>
        <patternFill>
          <bgColor rgb="FFFFC000"/>
        </patternFill>
      </fill>
    </dxf>
    <dxf>
      <fill>
        <patternFill patternType="solid">
          <fgColor theme="4" tint="0.59996337778862885"/>
          <bgColor theme="4" tint="0.59996337778862885"/>
        </patternFill>
      </fill>
    </dxf>
    <dxf>
      <fill>
        <patternFill>
          <bgColor rgb="FFFFE5FF"/>
        </patternFill>
      </fill>
    </dxf>
    <dxf>
      <fill>
        <patternFill>
          <bgColor rgb="FFB7FFFF"/>
        </patternFill>
      </fill>
    </dxf>
    <dxf>
      <font>
        <color auto="1"/>
      </font>
      <fill>
        <patternFill>
          <bgColor rgb="FFFFC000"/>
        </patternFill>
      </fill>
    </dxf>
    <dxf>
      <fill>
        <patternFill patternType="solid">
          <fgColor theme="4" tint="0.59996337778862885"/>
          <bgColor theme="4" tint="0.59996337778862885"/>
        </patternFill>
      </fill>
    </dxf>
    <dxf>
      <fill>
        <patternFill>
          <bgColor rgb="FFFFE5FF"/>
        </patternFill>
      </fill>
    </dxf>
    <dxf>
      <fill>
        <patternFill>
          <bgColor rgb="FFB7FFFF"/>
        </patternFill>
      </fill>
    </dxf>
    <dxf>
      <font>
        <color auto="1"/>
      </font>
      <fill>
        <patternFill>
          <bgColor rgb="FFFFC000"/>
        </patternFill>
      </fill>
    </dxf>
    <dxf>
      <font>
        <color rgb="FF9C5700"/>
      </font>
      <fill>
        <patternFill>
          <bgColor rgb="FFFFEB9C"/>
        </patternFill>
      </fill>
    </dxf>
    <dxf>
      <font>
        <color auto="1"/>
      </font>
      <fill>
        <patternFill>
          <bgColor rgb="FFFFC000"/>
        </patternFill>
      </fill>
    </dxf>
    <dxf>
      <font>
        <color auto="1"/>
      </font>
      <fill>
        <patternFill>
          <bgColor theme="5" tint="0.59996337778862885"/>
        </patternFill>
      </fill>
    </dxf>
    <dxf>
      <font>
        <color rgb="FF006100"/>
      </font>
      <fill>
        <patternFill>
          <bgColor rgb="FFC6EFCE"/>
        </patternFill>
      </fill>
    </dxf>
    <dxf>
      <fill>
        <patternFill>
          <bgColor theme="7" tint="0.59996337778862885"/>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ill>
        <patternFill patternType="solid">
          <fgColor theme="4" tint="0.59996337778862885"/>
          <bgColor theme="4" tint="0.59996337778862885"/>
        </patternFill>
      </fill>
    </dxf>
    <dxf>
      <fill>
        <patternFill>
          <bgColor rgb="FFFFE5FF"/>
        </patternFill>
      </fill>
    </dxf>
    <dxf>
      <fill>
        <patternFill>
          <bgColor rgb="FFB7FFFF"/>
        </patternFill>
      </fill>
    </dxf>
    <dxf>
      <font>
        <color auto="1"/>
      </font>
      <fill>
        <patternFill>
          <bgColor rgb="FFFFC000"/>
        </patternFill>
      </fill>
    </dxf>
    <dxf>
      <fill>
        <patternFill>
          <bgColor theme="7" tint="0.59996337778862885"/>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ill>
        <patternFill patternType="solid">
          <fgColor theme="4" tint="0.59996337778862885"/>
          <bgColor theme="4" tint="0.59996337778862885"/>
        </patternFill>
      </fill>
    </dxf>
    <dxf>
      <fill>
        <patternFill>
          <bgColor rgb="FFFFE5FF"/>
        </patternFill>
      </fill>
    </dxf>
    <dxf>
      <fill>
        <patternFill>
          <bgColor rgb="FFB7FFFF"/>
        </patternFill>
      </fill>
    </dxf>
    <dxf>
      <font>
        <color auto="1"/>
      </font>
      <fill>
        <patternFill>
          <bgColor rgb="FFFFC000"/>
        </patternFill>
      </fill>
    </dxf>
    <dxf>
      <fill>
        <patternFill>
          <bgColor theme="7" tint="0.59996337778862885"/>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ill>
        <patternFill patternType="solid">
          <fgColor theme="4" tint="0.59996337778862885"/>
          <bgColor theme="4" tint="0.59996337778862885"/>
        </patternFill>
      </fill>
    </dxf>
    <dxf>
      <fill>
        <patternFill>
          <bgColor rgb="FFFFE5FF"/>
        </patternFill>
      </fill>
    </dxf>
    <dxf>
      <fill>
        <patternFill>
          <bgColor rgb="FFB7FFFF"/>
        </patternFill>
      </fill>
    </dxf>
    <dxf>
      <font>
        <color auto="1"/>
      </font>
      <fill>
        <patternFill>
          <bgColor rgb="FFFFC000"/>
        </patternFill>
      </fill>
    </dxf>
    <dxf>
      <fill>
        <patternFill>
          <bgColor theme="7" tint="0.59996337778862885"/>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ill>
        <patternFill patternType="solid">
          <fgColor theme="4" tint="0.59996337778862885"/>
          <bgColor theme="4" tint="0.59996337778862885"/>
        </patternFill>
      </fill>
    </dxf>
    <dxf>
      <fill>
        <patternFill>
          <bgColor rgb="FFFFE5FF"/>
        </patternFill>
      </fill>
    </dxf>
    <dxf>
      <fill>
        <patternFill>
          <bgColor rgb="FFB7FFFF"/>
        </patternFill>
      </fill>
    </dxf>
    <dxf>
      <font>
        <color auto="1"/>
      </font>
      <fill>
        <patternFill>
          <bgColor rgb="FFFFC000"/>
        </patternFill>
      </fill>
    </dxf>
    <dxf>
      <font>
        <color rgb="FF006100"/>
      </font>
      <fill>
        <patternFill>
          <bgColor rgb="FFC6EFCE"/>
        </patternFill>
      </fill>
    </dxf>
    <dxf>
      <fill>
        <patternFill>
          <bgColor theme="7" tint="0.59996337778862885"/>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ill>
        <patternFill patternType="solid">
          <fgColor theme="4" tint="0.59996337778862885"/>
          <bgColor theme="4" tint="0.59996337778862885"/>
        </patternFill>
      </fill>
    </dxf>
    <dxf>
      <fill>
        <patternFill>
          <bgColor rgb="FFFFE5FF"/>
        </patternFill>
      </fill>
    </dxf>
    <dxf>
      <fill>
        <patternFill>
          <bgColor rgb="FFB7FFFF"/>
        </patternFill>
      </fill>
    </dxf>
    <dxf>
      <font>
        <color auto="1"/>
      </font>
      <fill>
        <patternFill>
          <bgColor rgb="FFFFC000"/>
        </patternFill>
      </fill>
    </dxf>
    <dxf>
      <fill>
        <patternFill patternType="solid">
          <fgColor theme="4" tint="0.59996337778862885"/>
          <bgColor theme="4" tint="0.59996337778862885"/>
        </patternFill>
      </fill>
    </dxf>
    <dxf>
      <fill>
        <patternFill>
          <bgColor rgb="FFFFE5FF"/>
        </patternFill>
      </fill>
    </dxf>
    <dxf>
      <fill>
        <patternFill>
          <bgColor rgb="FFB7FFFF"/>
        </patternFill>
      </fill>
    </dxf>
    <dxf>
      <font>
        <color auto="1"/>
      </font>
      <fill>
        <patternFill>
          <bgColor rgb="FFFFC000"/>
        </patternFill>
      </fill>
    </dxf>
    <dxf>
      <fill>
        <patternFill patternType="solid">
          <fgColor theme="4" tint="0.59996337778862885"/>
          <bgColor theme="4" tint="0.59996337778862885"/>
        </patternFill>
      </fill>
    </dxf>
    <dxf>
      <fill>
        <patternFill>
          <bgColor rgb="FFFFE5FF"/>
        </patternFill>
      </fill>
    </dxf>
    <dxf>
      <fill>
        <patternFill>
          <bgColor rgb="FFB7FFFF"/>
        </patternFill>
      </fill>
    </dxf>
    <dxf>
      <font>
        <color auto="1"/>
      </font>
      <fill>
        <patternFill>
          <bgColor rgb="FFFFC000"/>
        </patternFill>
      </fill>
    </dxf>
    <dxf>
      <fill>
        <patternFill patternType="solid">
          <fgColor theme="4" tint="0.59996337778862885"/>
          <bgColor theme="4" tint="0.59996337778862885"/>
        </patternFill>
      </fill>
    </dxf>
    <dxf>
      <fill>
        <patternFill>
          <bgColor rgb="FFFFE5FF"/>
        </patternFill>
      </fill>
    </dxf>
    <dxf>
      <fill>
        <patternFill>
          <bgColor rgb="FFB7FFFF"/>
        </patternFill>
      </fill>
    </dxf>
    <dxf>
      <font>
        <color auto="1"/>
      </font>
      <fill>
        <patternFill>
          <bgColor rgb="FFFFC000"/>
        </patternFill>
      </fill>
    </dxf>
    <dxf>
      <fill>
        <patternFill patternType="solid">
          <fgColor theme="4" tint="0.59996337778862885"/>
          <bgColor theme="4" tint="0.59996337778862885"/>
        </patternFill>
      </fill>
    </dxf>
    <dxf>
      <fill>
        <patternFill>
          <bgColor rgb="FFFFE5FF"/>
        </patternFill>
      </fill>
    </dxf>
    <dxf>
      <fill>
        <patternFill>
          <bgColor rgb="FFB7FFFF"/>
        </patternFill>
      </fill>
    </dxf>
    <dxf>
      <font>
        <color auto="1"/>
      </font>
      <fill>
        <patternFill>
          <bgColor rgb="FFFFC000"/>
        </patternFill>
      </fill>
    </dxf>
    <dxf>
      <fill>
        <patternFill patternType="solid">
          <fgColor theme="4" tint="0.59996337778862885"/>
          <bgColor theme="4" tint="0.59996337778862885"/>
        </patternFill>
      </fill>
    </dxf>
    <dxf>
      <fill>
        <patternFill>
          <bgColor rgb="FFFFE5FF"/>
        </patternFill>
      </fill>
    </dxf>
    <dxf>
      <fill>
        <patternFill>
          <bgColor rgb="FFB7FFFF"/>
        </patternFill>
      </fill>
    </dxf>
    <dxf>
      <font>
        <color auto="1"/>
      </font>
      <fill>
        <patternFill>
          <bgColor rgb="FFFFC000"/>
        </patternFill>
      </fill>
    </dxf>
    <dxf>
      <fill>
        <patternFill patternType="solid">
          <fgColor theme="4" tint="0.59996337778862885"/>
          <bgColor theme="4" tint="0.59996337778862885"/>
        </patternFill>
      </fill>
    </dxf>
    <dxf>
      <fill>
        <patternFill>
          <bgColor rgb="FFFFE5FF"/>
        </patternFill>
      </fill>
    </dxf>
    <dxf>
      <fill>
        <patternFill>
          <bgColor rgb="FFB7FFFF"/>
        </patternFill>
      </fill>
    </dxf>
    <dxf>
      <font>
        <color auto="1"/>
      </font>
      <fill>
        <patternFill>
          <bgColor rgb="FFFFC000"/>
        </patternFill>
      </fill>
    </dxf>
    <dxf>
      <fill>
        <patternFill patternType="solid">
          <fgColor theme="4" tint="0.59996337778862885"/>
          <bgColor theme="4" tint="0.59996337778862885"/>
        </patternFill>
      </fill>
    </dxf>
    <dxf>
      <fill>
        <patternFill>
          <bgColor rgb="FFFFE5FF"/>
        </patternFill>
      </fill>
    </dxf>
    <dxf>
      <fill>
        <patternFill>
          <bgColor rgb="FFB7FFFF"/>
        </patternFill>
      </fill>
    </dxf>
    <dxf>
      <font>
        <color auto="1"/>
      </font>
      <fill>
        <patternFill>
          <bgColor rgb="FFFFC000"/>
        </patternFill>
      </fill>
    </dxf>
    <dxf>
      <fill>
        <patternFill patternType="solid">
          <fgColor theme="4" tint="0.59996337778862885"/>
          <bgColor theme="4" tint="0.59996337778862885"/>
        </patternFill>
      </fill>
    </dxf>
    <dxf>
      <fill>
        <patternFill>
          <bgColor rgb="FFFFE5FF"/>
        </patternFill>
      </fill>
    </dxf>
    <dxf>
      <fill>
        <patternFill>
          <bgColor rgb="FFB7FFFF"/>
        </patternFill>
      </fill>
    </dxf>
    <dxf>
      <font>
        <color auto="1"/>
      </font>
      <fill>
        <patternFill>
          <bgColor rgb="FFFFC000"/>
        </patternFill>
      </fill>
    </dxf>
    <dxf>
      <fill>
        <patternFill patternType="solid">
          <fgColor theme="4" tint="0.59996337778862885"/>
          <bgColor theme="4" tint="0.59996337778862885"/>
        </patternFill>
      </fill>
    </dxf>
    <dxf>
      <fill>
        <patternFill>
          <bgColor rgb="FFFFE5FF"/>
        </patternFill>
      </fill>
    </dxf>
    <dxf>
      <fill>
        <patternFill>
          <bgColor rgb="FFB7FFFF"/>
        </patternFill>
      </fill>
    </dxf>
    <dxf>
      <font>
        <color auto="1"/>
      </font>
      <fill>
        <patternFill>
          <bgColor rgb="FFFFC000"/>
        </patternFill>
      </fill>
    </dxf>
    <dxf>
      <fill>
        <patternFill patternType="solid">
          <fgColor theme="4" tint="0.59996337778862885"/>
          <bgColor theme="4" tint="0.59996337778862885"/>
        </patternFill>
      </fill>
    </dxf>
    <dxf>
      <fill>
        <patternFill>
          <bgColor rgb="FFFFE5FF"/>
        </patternFill>
      </fill>
    </dxf>
    <dxf>
      <fill>
        <patternFill>
          <bgColor rgb="FFB7FFFF"/>
        </patternFill>
      </fill>
    </dxf>
    <dxf>
      <font>
        <color auto="1"/>
      </font>
      <fill>
        <patternFill>
          <bgColor rgb="FFFFC000"/>
        </patternFill>
      </fill>
    </dxf>
    <dxf>
      <fill>
        <patternFill patternType="solid">
          <fgColor theme="4" tint="0.59996337778862885"/>
          <bgColor theme="4" tint="0.59996337778862885"/>
        </patternFill>
      </fill>
    </dxf>
    <dxf>
      <fill>
        <patternFill>
          <bgColor rgb="FFFFE5FF"/>
        </patternFill>
      </fill>
    </dxf>
    <dxf>
      <fill>
        <patternFill>
          <bgColor rgb="FFB7FFFF"/>
        </patternFill>
      </fill>
    </dxf>
    <dxf>
      <font>
        <color auto="1"/>
      </font>
      <fill>
        <patternFill>
          <bgColor rgb="FFFFC000"/>
        </patternFill>
      </fill>
    </dxf>
    <dxf>
      <fill>
        <patternFill patternType="solid">
          <fgColor theme="4" tint="0.59996337778862885"/>
          <bgColor theme="4" tint="0.59996337778862885"/>
        </patternFill>
      </fill>
    </dxf>
    <dxf>
      <fill>
        <patternFill>
          <bgColor rgb="FFFFE5FF"/>
        </patternFill>
      </fill>
    </dxf>
    <dxf>
      <fill>
        <patternFill>
          <bgColor rgb="FFB7FFFF"/>
        </patternFill>
      </fill>
    </dxf>
    <dxf>
      <font>
        <color auto="1"/>
      </font>
      <fill>
        <patternFill>
          <bgColor rgb="FFFFC000"/>
        </patternFill>
      </fill>
    </dxf>
    <dxf>
      <fill>
        <patternFill patternType="solid">
          <fgColor theme="4" tint="0.59996337778862885"/>
          <bgColor theme="4" tint="0.59996337778862885"/>
        </patternFill>
      </fill>
    </dxf>
    <dxf>
      <fill>
        <patternFill>
          <bgColor rgb="FFFFE5FF"/>
        </patternFill>
      </fill>
    </dxf>
    <dxf>
      <fill>
        <patternFill>
          <bgColor rgb="FFB7FFFF"/>
        </patternFill>
      </fill>
    </dxf>
    <dxf>
      <font>
        <color auto="1"/>
      </font>
      <fill>
        <patternFill>
          <bgColor rgb="FFFFC000"/>
        </patternFill>
      </fill>
    </dxf>
    <dxf>
      <fill>
        <patternFill patternType="solid">
          <fgColor theme="4" tint="0.59996337778862885"/>
          <bgColor theme="4" tint="0.59996337778862885"/>
        </patternFill>
      </fill>
    </dxf>
    <dxf>
      <fill>
        <patternFill>
          <bgColor rgb="FFFFE5FF"/>
        </patternFill>
      </fill>
    </dxf>
    <dxf>
      <fill>
        <patternFill>
          <bgColor rgb="FFB7FFFF"/>
        </patternFill>
      </fill>
    </dxf>
    <dxf>
      <font>
        <color auto="1"/>
      </font>
      <fill>
        <patternFill>
          <bgColor rgb="FFFFC000"/>
        </patternFill>
      </fill>
    </dxf>
    <dxf>
      <fill>
        <patternFill patternType="solid">
          <fgColor theme="4" tint="0.59996337778862885"/>
          <bgColor theme="4" tint="0.59996337778862885"/>
        </patternFill>
      </fill>
    </dxf>
    <dxf>
      <fill>
        <patternFill>
          <bgColor rgb="FFFFE5FF"/>
        </patternFill>
      </fill>
    </dxf>
    <dxf>
      <fill>
        <patternFill>
          <bgColor rgb="FFB7FFFF"/>
        </patternFill>
      </fill>
    </dxf>
    <dxf>
      <font>
        <color auto="1"/>
      </font>
      <fill>
        <patternFill>
          <bgColor rgb="FFFFC000"/>
        </patternFill>
      </fill>
    </dxf>
    <dxf>
      <fill>
        <patternFill patternType="solid">
          <fgColor theme="4" tint="0.59996337778862885"/>
          <bgColor theme="4" tint="0.59996337778862885"/>
        </patternFill>
      </fill>
    </dxf>
    <dxf>
      <fill>
        <patternFill>
          <bgColor rgb="FFFFE5FF"/>
        </patternFill>
      </fill>
    </dxf>
    <dxf>
      <fill>
        <patternFill>
          <bgColor rgb="FFB7FFFF"/>
        </patternFill>
      </fill>
    </dxf>
    <dxf>
      <font>
        <color auto="1"/>
      </font>
      <fill>
        <patternFill>
          <bgColor rgb="FFFFC000"/>
        </patternFill>
      </fill>
    </dxf>
    <dxf>
      <fill>
        <patternFill patternType="solid">
          <fgColor theme="4" tint="0.59996337778862885"/>
          <bgColor theme="4" tint="0.59996337778862885"/>
        </patternFill>
      </fill>
    </dxf>
    <dxf>
      <fill>
        <patternFill>
          <bgColor rgb="FFFFE5FF"/>
        </patternFill>
      </fill>
    </dxf>
    <dxf>
      <fill>
        <patternFill>
          <bgColor rgb="FFB7FFFF"/>
        </patternFill>
      </fill>
    </dxf>
    <dxf>
      <font>
        <color auto="1"/>
      </font>
      <fill>
        <patternFill>
          <bgColor rgb="FFFFC000"/>
        </patternFill>
      </fill>
    </dxf>
    <dxf>
      <fill>
        <patternFill patternType="solid">
          <fgColor theme="4" tint="0.59996337778862885"/>
          <bgColor theme="4" tint="0.59996337778862885"/>
        </patternFill>
      </fill>
    </dxf>
    <dxf>
      <fill>
        <patternFill>
          <bgColor rgb="FFFFE5FF"/>
        </patternFill>
      </fill>
    </dxf>
    <dxf>
      <fill>
        <patternFill>
          <bgColor rgb="FFB7FFFF"/>
        </patternFill>
      </fill>
    </dxf>
    <dxf>
      <font>
        <color auto="1"/>
      </font>
      <fill>
        <patternFill>
          <bgColor rgb="FFFFC000"/>
        </patternFill>
      </fill>
    </dxf>
    <dxf>
      <fill>
        <patternFill patternType="solid">
          <fgColor theme="4" tint="0.59996337778862885"/>
          <bgColor theme="4" tint="0.59996337778862885"/>
        </patternFill>
      </fill>
    </dxf>
    <dxf>
      <fill>
        <patternFill>
          <bgColor rgb="FFFFE5FF"/>
        </patternFill>
      </fill>
    </dxf>
    <dxf>
      <fill>
        <patternFill>
          <bgColor rgb="FFB7FFFF"/>
        </patternFill>
      </fill>
    </dxf>
    <dxf>
      <font>
        <color auto="1"/>
      </font>
      <fill>
        <patternFill>
          <bgColor rgb="FFFFC000"/>
        </patternFill>
      </fill>
    </dxf>
    <dxf>
      <fill>
        <patternFill patternType="solid">
          <fgColor theme="4" tint="0.59996337778862885"/>
          <bgColor theme="4" tint="0.59996337778862885"/>
        </patternFill>
      </fill>
    </dxf>
    <dxf>
      <fill>
        <patternFill>
          <bgColor rgb="FFFFE5FF"/>
        </patternFill>
      </fill>
    </dxf>
    <dxf>
      <fill>
        <patternFill>
          <bgColor rgb="FFB7FFFF"/>
        </patternFill>
      </fill>
    </dxf>
    <dxf>
      <font>
        <color auto="1"/>
      </font>
      <fill>
        <patternFill>
          <bgColor rgb="FFFFC000"/>
        </patternFill>
      </fill>
    </dxf>
    <dxf>
      <fill>
        <patternFill patternType="solid">
          <fgColor theme="4" tint="0.59996337778862885"/>
          <bgColor theme="4" tint="0.59996337778862885"/>
        </patternFill>
      </fill>
    </dxf>
    <dxf>
      <fill>
        <patternFill>
          <bgColor rgb="FFFFE5FF"/>
        </patternFill>
      </fill>
    </dxf>
    <dxf>
      <fill>
        <patternFill>
          <bgColor rgb="FFB7FFFF"/>
        </patternFill>
      </fill>
    </dxf>
    <dxf>
      <font>
        <color auto="1"/>
      </font>
      <fill>
        <patternFill>
          <bgColor rgb="FFFFC000"/>
        </patternFill>
      </fill>
    </dxf>
    <dxf>
      <fill>
        <patternFill patternType="solid">
          <fgColor theme="4" tint="0.59996337778862885"/>
          <bgColor theme="4" tint="0.59996337778862885"/>
        </patternFill>
      </fill>
    </dxf>
    <dxf>
      <fill>
        <patternFill>
          <bgColor rgb="FFFFE5FF"/>
        </patternFill>
      </fill>
    </dxf>
    <dxf>
      <fill>
        <patternFill>
          <bgColor rgb="FFB7FFFF"/>
        </patternFill>
      </fill>
    </dxf>
    <dxf>
      <font>
        <color auto="1"/>
      </font>
      <fill>
        <patternFill>
          <bgColor rgb="FFFFC000"/>
        </patternFill>
      </fill>
    </dxf>
    <dxf>
      <fill>
        <patternFill patternType="solid">
          <fgColor theme="4" tint="0.59996337778862885"/>
          <bgColor theme="4" tint="0.59996337778862885"/>
        </patternFill>
      </fill>
    </dxf>
    <dxf>
      <fill>
        <patternFill>
          <bgColor rgb="FFFFE5FF"/>
        </patternFill>
      </fill>
    </dxf>
    <dxf>
      <fill>
        <patternFill>
          <bgColor rgb="FFB7FFFF"/>
        </patternFill>
      </fill>
    </dxf>
    <dxf>
      <font>
        <color auto="1"/>
      </font>
      <fill>
        <patternFill>
          <bgColor rgb="FFFFC000"/>
        </patternFill>
      </fill>
    </dxf>
    <dxf>
      <fill>
        <patternFill patternType="solid">
          <fgColor rgb="FFFFCCFF"/>
          <bgColor rgb="FFFFCCFF"/>
        </patternFill>
      </fill>
    </dxf>
    <dxf>
      <font>
        <color indexed="2"/>
      </font>
    </dxf>
    <dxf>
      <fill>
        <patternFill patternType="solid">
          <fgColor rgb="FFAFFFFF"/>
          <bgColor rgb="FFAFFFFF"/>
        </patternFill>
      </fill>
    </dxf>
    <dxf>
      <font>
        <b/>
        <i val="0"/>
      </font>
      <fill>
        <patternFill patternType="solid">
          <fgColor rgb="FF7DFFFF"/>
          <bgColor rgb="FF7DFFFF"/>
        </patternFill>
      </fill>
    </dxf>
    <dxf>
      <font>
        <b/>
        <i val="0"/>
      </font>
      <fill>
        <patternFill patternType="solid">
          <fgColor rgb="FF81FFFF"/>
          <bgColor rgb="FF81FFFF"/>
        </patternFill>
      </fill>
    </dxf>
    <dxf>
      <font>
        <color indexed="2"/>
      </font>
    </dxf>
    <dxf>
      <fill>
        <patternFill patternType="solid">
          <fgColor rgb="FFFFCCFF"/>
          <bgColor rgb="FFFFCCFF"/>
        </patternFill>
      </fill>
    </dxf>
    <dxf>
      <fill>
        <patternFill patternType="solid">
          <fgColor rgb="FFAFFFFF"/>
          <bgColor rgb="FFAFFFFF"/>
        </patternFill>
      </fill>
    </dxf>
    <dxf>
      <fill>
        <patternFill patternType="solid">
          <fgColor theme="4" tint="0.59996337778862885"/>
          <bgColor theme="4" tint="0.59996337778862885"/>
        </patternFill>
      </fill>
    </dxf>
    <dxf>
      <fill>
        <patternFill>
          <bgColor rgb="FFFFE5FF"/>
        </patternFill>
      </fill>
    </dxf>
    <dxf>
      <fill>
        <patternFill>
          <bgColor rgb="FFB7FFFF"/>
        </patternFill>
      </fill>
    </dxf>
    <dxf>
      <font>
        <color auto="1"/>
      </font>
      <fill>
        <patternFill>
          <bgColor rgb="FFFFC000"/>
        </patternFill>
      </fill>
    </dxf>
    <dxf>
      <font>
        <b/>
        <i val="0"/>
        <color indexed="2"/>
      </font>
    </dxf>
    <dxf>
      <font>
        <b/>
        <i val="0"/>
        <color indexed="2"/>
      </font>
    </dxf>
    <dxf>
      <font>
        <color indexed="2"/>
      </font>
    </dxf>
    <dxf>
      <fill>
        <patternFill patternType="solid">
          <fgColor rgb="FFFFCCFF"/>
          <bgColor rgb="FFFFCCFF"/>
        </patternFill>
      </fill>
    </dxf>
    <dxf>
      <fill>
        <patternFill patternType="solid">
          <fgColor rgb="FFAFFFFF"/>
          <bgColor rgb="FFAFFFFF"/>
        </patternFill>
      </fill>
    </dxf>
    <dxf>
      <font>
        <color rgb="FF006100"/>
      </font>
      <fill>
        <patternFill>
          <bgColor rgb="FFC6EFCE"/>
        </patternFill>
      </fill>
    </dxf>
    <dxf>
      <font>
        <b/>
        <i val="0"/>
      </font>
      <fill>
        <patternFill patternType="solid">
          <fgColor indexed="5"/>
          <bgColor indexed="5"/>
        </patternFill>
      </fill>
    </dxf>
    <dxf>
      <fill>
        <patternFill>
          <bgColor theme="5" tint="-0.24994659260841701"/>
        </patternFill>
      </fill>
    </dxf>
    <dxf>
      <font>
        <b/>
        <i val="0"/>
      </font>
      <fill>
        <patternFill patternType="solid">
          <fgColor indexed="5"/>
          <bgColor indexed="5"/>
        </patternFill>
      </fill>
    </dxf>
    <dxf>
      <fill>
        <patternFill>
          <bgColor theme="5" tint="0.39994506668294322"/>
        </patternFill>
      </fill>
    </dxf>
    <dxf>
      <fill>
        <patternFill>
          <bgColor rgb="FFCCFFCC"/>
        </patternFill>
      </fill>
    </dxf>
    <dxf>
      <font>
        <color indexed="2"/>
      </font>
    </dxf>
    <dxf>
      <fill>
        <patternFill patternType="solid">
          <fgColor rgb="FFFFCCFF"/>
          <bgColor rgb="FFFFCCFF"/>
        </patternFill>
      </fill>
    </dxf>
    <dxf>
      <fill>
        <patternFill patternType="solid">
          <fgColor rgb="FFAFFFFF"/>
          <bgColor rgb="FFAFFFFF"/>
        </patternFill>
      </fill>
    </dxf>
    <dxf>
      <fill>
        <patternFill>
          <bgColor theme="5" tint="0.39994506668294322"/>
        </patternFill>
      </fill>
    </dxf>
    <dxf>
      <fill>
        <patternFill>
          <bgColor theme="5" tint="0.39994506668294322"/>
        </patternFill>
      </fill>
    </dxf>
    <dxf>
      <font>
        <b/>
        <i val="0"/>
      </font>
      <fill>
        <patternFill patternType="solid">
          <fgColor rgb="FF7DFFFF"/>
          <bgColor rgb="FF7DFFFF"/>
        </patternFill>
      </fill>
    </dxf>
    <dxf>
      <font>
        <b/>
        <i val="0"/>
      </font>
      <fill>
        <patternFill patternType="solid">
          <fgColor rgb="FF81FFFF"/>
          <bgColor rgb="FF81FFFF"/>
        </patternFill>
      </fill>
    </dxf>
    <dxf>
      <fill>
        <patternFill>
          <bgColor rgb="FFCCFFCC"/>
        </patternFill>
      </fill>
    </dxf>
    <dxf>
      <font>
        <color indexed="2"/>
      </font>
    </dxf>
    <dxf>
      <fill>
        <patternFill patternType="solid">
          <fgColor rgb="FFFFCCFF"/>
          <bgColor rgb="FFFFCCFF"/>
        </patternFill>
      </fill>
    </dxf>
    <dxf>
      <fill>
        <patternFill patternType="solid">
          <fgColor rgb="FFAFFFFF"/>
          <bgColor rgb="FFAFFFFF"/>
        </patternFill>
      </fill>
    </dxf>
    <dxf>
      <fill>
        <patternFill>
          <bgColor rgb="FFCCFFCC"/>
        </patternFill>
      </fill>
    </dxf>
    <dxf>
      <font>
        <b/>
        <i val="0"/>
      </font>
      <fill>
        <patternFill patternType="solid">
          <fgColor rgb="FF81FFFF"/>
          <bgColor rgb="FF81FFFF"/>
        </patternFill>
      </fill>
    </dxf>
    <dxf>
      <font>
        <b/>
        <i val="0"/>
      </font>
      <fill>
        <patternFill patternType="solid">
          <fgColor rgb="FF7DFFFF"/>
          <bgColor rgb="FF7DFFFF"/>
        </patternFill>
      </fill>
    </dxf>
    <dxf>
      <font>
        <b/>
        <i val="0"/>
        <color indexed="2"/>
      </font>
    </dxf>
    <dxf>
      <font>
        <b/>
        <i val="0"/>
        <color indexed="2"/>
      </font>
    </dxf>
    <dxf>
      <fill>
        <patternFill>
          <bgColor rgb="FFFFFF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1"/>
      </font>
      <fill>
        <patternFill>
          <bgColor theme="5" tint="0.59996337778862885"/>
        </patternFill>
      </fill>
    </dxf>
    <dxf>
      <font>
        <color rgb="FF006100"/>
      </font>
      <fill>
        <patternFill>
          <bgColor rgb="FFC6EFCE"/>
        </patternFill>
      </fill>
    </dxf>
    <dxf>
      <font>
        <color rgb="FF006100"/>
      </font>
      <fill>
        <patternFill>
          <bgColor rgb="FFC6EFCE"/>
        </patternFill>
      </fill>
    </dxf>
    <dxf>
      <fill>
        <patternFill>
          <bgColor rgb="FFFFCCFF"/>
        </patternFill>
      </fill>
    </dxf>
    <dxf>
      <fill>
        <patternFill>
          <bgColor rgb="FFB9FFFF"/>
        </patternFill>
      </fill>
    </dxf>
    <dxf>
      <font>
        <b/>
        <i val="0"/>
      </font>
      <fill>
        <patternFill>
          <bgColor theme="4" tint="0.59996337778862885"/>
        </patternFill>
      </fill>
    </dxf>
    <dxf>
      <fill>
        <patternFill>
          <bgColor theme="9" tint="0.39994506668294322"/>
        </patternFill>
      </fill>
    </dxf>
    <dxf>
      <fill>
        <patternFill>
          <bgColor theme="7" tint="0.39994506668294322"/>
        </patternFill>
      </fill>
    </dxf>
    <dxf>
      <fill>
        <patternFill>
          <bgColor rgb="FFFFFF00"/>
        </patternFill>
      </fill>
    </dxf>
    <dxf>
      <font>
        <color theme="1"/>
      </font>
      <fill>
        <patternFill>
          <bgColor theme="5" tint="0.59996337778862885"/>
        </patternFill>
      </fill>
    </dxf>
    <dxf>
      <font>
        <color rgb="FF006100"/>
      </font>
      <fill>
        <patternFill>
          <bgColor rgb="FFC6EFCE"/>
        </patternFill>
      </fill>
    </dxf>
    <dxf>
      <font>
        <color rgb="FF006100"/>
      </font>
      <fill>
        <patternFill>
          <bgColor rgb="FFC6EFCE"/>
        </patternFill>
      </fill>
    </dxf>
    <dxf>
      <fill>
        <patternFill>
          <bgColor rgb="FFFFCCFF"/>
        </patternFill>
      </fill>
    </dxf>
    <dxf>
      <fill>
        <patternFill>
          <bgColor rgb="FFB9FFFF"/>
        </patternFill>
      </fill>
    </dxf>
    <dxf>
      <font>
        <b/>
        <i val="0"/>
      </font>
      <fill>
        <patternFill>
          <bgColor theme="4" tint="0.59996337778862885"/>
        </patternFill>
      </fill>
    </dxf>
    <dxf>
      <fill>
        <patternFill>
          <bgColor theme="9" tint="0.39994506668294322"/>
        </patternFill>
      </fill>
    </dxf>
    <dxf>
      <fill>
        <patternFill>
          <bgColor theme="7" tint="0.39994506668294322"/>
        </patternFill>
      </fill>
    </dxf>
    <dxf>
      <fill>
        <patternFill>
          <bgColor rgb="FFFFFF00"/>
        </patternFill>
      </fill>
    </dxf>
    <dxf>
      <font>
        <color auto="1"/>
      </font>
      <fill>
        <patternFill>
          <bgColor theme="7" tint="0.39994506668294322"/>
        </patternFill>
      </fill>
    </dxf>
    <dxf>
      <font>
        <color auto="1"/>
      </font>
      <fill>
        <patternFill>
          <bgColor theme="9" tint="0.59996337778862885"/>
        </patternFill>
      </fill>
    </dxf>
    <dxf>
      <fill>
        <patternFill>
          <bgColor theme="5" tint="0.39994506668294322"/>
        </patternFill>
      </fill>
    </dxf>
    <dxf>
      <fill>
        <patternFill>
          <bgColor rgb="FFFFFF00"/>
        </patternFill>
      </fill>
    </dxf>
    <dxf>
      <fill>
        <patternFill>
          <bgColor theme="4" tint="0.39994506668294322"/>
        </patternFill>
      </fill>
    </dxf>
    <dxf>
      <font>
        <color rgb="FF006100"/>
      </font>
      <fill>
        <patternFill>
          <bgColor rgb="FFC6EFCE"/>
        </patternFill>
      </fill>
    </dxf>
    <dxf>
      <font>
        <color rgb="FF006100"/>
      </font>
      <fill>
        <patternFill>
          <bgColor rgb="FFC6EFCE"/>
        </patternFill>
      </fill>
    </dxf>
    <dxf>
      <fill>
        <patternFill>
          <bgColor theme="9" tint="0.59996337778862885"/>
        </patternFill>
      </fill>
    </dxf>
    <dxf>
      <fill>
        <patternFill>
          <bgColor theme="5" tint="0.39994506668294322"/>
        </patternFill>
      </fill>
    </dxf>
    <dxf>
      <fill>
        <patternFill>
          <bgColor rgb="FFB9FFFF"/>
        </patternFill>
      </fill>
    </dxf>
    <dxf>
      <font>
        <b/>
        <i val="0"/>
      </font>
      <fill>
        <patternFill>
          <bgColor theme="4" tint="0.59996337778862885"/>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ont>
        <color rgb="FF006100"/>
      </font>
      <fill>
        <patternFill>
          <bgColor rgb="FFC6EFCE"/>
        </patternFill>
      </fill>
    </dxf>
    <dxf>
      <fill>
        <patternFill>
          <bgColor theme="5" tint="0.39994506668294322"/>
        </patternFill>
      </fill>
    </dxf>
    <dxf>
      <font>
        <color rgb="FF006100"/>
      </font>
      <fill>
        <patternFill>
          <bgColor rgb="FFC6EFCE"/>
        </patternFill>
      </fill>
    </dxf>
    <dxf>
      <font>
        <color rgb="FF006100"/>
      </font>
      <fill>
        <patternFill>
          <bgColor rgb="FFC6EFCE"/>
        </patternFill>
      </fill>
    </dxf>
    <dxf>
      <fill>
        <patternFill>
          <bgColor theme="9" tint="0.59996337778862885"/>
        </patternFill>
      </fill>
    </dxf>
    <dxf>
      <fill>
        <patternFill>
          <bgColor theme="5" tint="0.39994506668294322"/>
        </patternFill>
      </fill>
    </dxf>
    <dxf>
      <fill>
        <patternFill>
          <bgColor rgb="FFB9FFFF"/>
        </patternFill>
      </fill>
    </dxf>
    <dxf>
      <font>
        <b/>
        <i val="0"/>
      </font>
      <fill>
        <patternFill>
          <bgColor theme="4" tint="0.59996337778862885"/>
        </patternFill>
      </fill>
    </dxf>
    <dxf>
      <fill>
        <patternFill>
          <bgColor rgb="FFFFFF00"/>
        </patternFill>
      </fill>
    </dxf>
    <dxf>
      <fill>
        <patternFill>
          <bgColor rgb="FFFFFF00"/>
        </patternFill>
      </fill>
    </dxf>
    <dxf>
      <fill>
        <patternFill>
          <bgColor theme="5" tint="0.39994506668294322"/>
        </patternFill>
      </fill>
    </dxf>
    <dxf>
      <font>
        <b/>
        <i val="0"/>
      </font>
      <fill>
        <patternFill>
          <bgColor theme="4" tint="0.59996337778862885"/>
        </patternFill>
      </fill>
    </dxf>
    <dxf>
      <fill>
        <patternFill>
          <bgColor rgb="FFFFFF00"/>
        </patternFill>
      </fill>
    </dxf>
    <dxf>
      <fill>
        <patternFill>
          <bgColor rgb="FFFFFF00"/>
        </patternFill>
      </fill>
    </dxf>
    <dxf>
      <fill>
        <patternFill>
          <bgColor theme="5" tint="0.39994506668294322"/>
        </patternFill>
      </fill>
    </dxf>
    <dxf>
      <fill>
        <patternFill>
          <bgColor rgb="FFFFFF00"/>
        </patternFill>
      </fill>
    </dxf>
    <dxf>
      <fill>
        <patternFill>
          <bgColor theme="4" tint="0.39994506668294322"/>
        </patternFill>
      </fill>
    </dxf>
    <dxf>
      <font>
        <color rgb="FF006100"/>
      </font>
      <fill>
        <patternFill>
          <bgColor rgb="FFC6EFCE"/>
        </patternFill>
      </fill>
    </dxf>
    <dxf>
      <font>
        <color rgb="FF006100"/>
      </font>
      <fill>
        <patternFill>
          <bgColor rgb="FFC6EFCE"/>
        </patternFill>
      </fill>
    </dxf>
    <dxf>
      <fill>
        <patternFill>
          <bgColor theme="9" tint="0.59996337778862885"/>
        </patternFill>
      </fill>
    </dxf>
    <dxf>
      <fill>
        <patternFill>
          <bgColor theme="5" tint="0.39994506668294322"/>
        </patternFill>
      </fill>
    </dxf>
    <dxf>
      <fill>
        <patternFill>
          <bgColor rgb="FFB9FFFF"/>
        </patternFill>
      </fill>
    </dxf>
    <dxf>
      <font>
        <b/>
        <i val="0"/>
      </font>
      <fill>
        <patternFill>
          <bgColor theme="4" tint="0.59996337778862885"/>
        </patternFill>
      </fill>
    </dxf>
    <dxf>
      <fill>
        <patternFill>
          <bgColor rgb="FFFFFF00"/>
        </patternFill>
      </fill>
    </dxf>
    <dxf>
      <fill>
        <patternFill>
          <bgColor rgb="FFFFFF00"/>
        </patternFill>
      </fill>
    </dxf>
    <dxf>
      <fill>
        <patternFill>
          <bgColor theme="4" tint="0.59996337778862885"/>
        </patternFill>
      </fill>
    </dxf>
    <dxf>
      <fill>
        <patternFill>
          <bgColor theme="5" tint="0.39994506668294322"/>
        </patternFill>
      </fill>
    </dxf>
    <dxf>
      <fill>
        <patternFill>
          <bgColor rgb="FFFFFF00"/>
        </patternFill>
      </fill>
    </dxf>
    <dxf>
      <fill>
        <patternFill>
          <bgColor theme="4" tint="0.39994506668294322"/>
        </patternFill>
      </fill>
    </dxf>
    <dxf>
      <font>
        <color rgb="FF006100"/>
      </font>
      <fill>
        <patternFill>
          <bgColor rgb="FFC6EFCE"/>
        </patternFill>
      </fill>
    </dxf>
    <dxf>
      <font>
        <color rgb="FF006100"/>
      </font>
      <fill>
        <patternFill>
          <bgColor rgb="FFC6EFCE"/>
        </patternFill>
      </fill>
    </dxf>
    <dxf>
      <fill>
        <patternFill>
          <bgColor theme="9" tint="0.59996337778862885"/>
        </patternFill>
      </fill>
    </dxf>
    <dxf>
      <fill>
        <patternFill>
          <bgColor theme="5" tint="0.39994506668294322"/>
        </patternFill>
      </fill>
    </dxf>
    <dxf>
      <fill>
        <patternFill>
          <bgColor rgb="FFB9FFFF"/>
        </patternFill>
      </fill>
    </dxf>
    <dxf>
      <font>
        <b/>
        <i val="0"/>
      </font>
      <fill>
        <patternFill>
          <bgColor theme="4" tint="0.59996337778862885"/>
        </patternFill>
      </fill>
    </dxf>
    <dxf>
      <fill>
        <patternFill>
          <bgColor rgb="FFFFFF00"/>
        </patternFill>
      </fill>
    </dxf>
    <dxf>
      <fill>
        <patternFill>
          <bgColor rgb="FFFFFF00"/>
        </patternFill>
      </fill>
    </dxf>
    <dxf>
      <fill>
        <patternFill>
          <bgColor theme="4" tint="0.59996337778862885"/>
        </patternFill>
      </fill>
    </dxf>
    <dxf>
      <fill>
        <patternFill>
          <bgColor rgb="FFFFFF00"/>
        </patternFill>
      </fill>
    </dxf>
    <dxf>
      <fill>
        <patternFill>
          <bgColor theme="4" tint="0.39994506668294322"/>
        </patternFill>
      </fill>
    </dxf>
    <dxf>
      <font>
        <color rgb="FF006100"/>
      </font>
      <fill>
        <patternFill>
          <bgColor rgb="FFC6EFCE"/>
        </patternFill>
      </fill>
    </dxf>
    <dxf>
      <fill>
        <patternFill>
          <bgColor theme="5" tint="0.39994506668294322"/>
        </patternFill>
      </fill>
    </dxf>
    <dxf>
      <font>
        <color rgb="FF006100"/>
      </font>
      <fill>
        <patternFill>
          <bgColor rgb="FFC6EFCE"/>
        </patternFill>
      </fill>
    </dxf>
    <dxf>
      <font>
        <color rgb="FF006100"/>
      </font>
      <fill>
        <patternFill>
          <bgColor rgb="FFC6EFCE"/>
        </patternFill>
      </fill>
    </dxf>
    <dxf>
      <fill>
        <patternFill>
          <bgColor theme="9" tint="0.59996337778862885"/>
        </patternFill>
      </fill>
    </dxf>
    <dxf>
      <fill>
        <patternFill>
          <bgColor theme="5" tint="0.39994506668294322"/>
        </patternFill>
      </fill>
    </dxf>
    <dxf>
      <fill>
        <patternFill>
          <bgColor rgb="FFB9FFFF"/>
        </patternFill>
      </fill>
    </dxf>
    <dxf>
      <font>
        <b/>
        <i val="0"/>
      </font>
      <fill>
        <patternFill>
          <bgColor theme="4" tint="0.59996337778862885"/>
        </patternFill>
      </fill>
    </dxf>
    <dxf>
      <fill>
        <patternFill>
          <bgColor rgb="FFFFFF00"/>
        </patternFill>
      </fill>
    </dxf>
    <dxf>
      <fill>
        <patternFill>
          <bgColor rgb="FFFFFF00"/>
        </patternFill>
      </fill>
    </dxf>
    <dxf>
      <fill>
        <patternFill>
          <bgColor theme="4" tint="0.39994506668294322"/>
        </patternFill>
      </fill>
    </dxf>
    <dxf>
      <fill>
        <patternFill>
          <bgColor theme="5" tint="0.39994506668294322"/>
        </patternFill>
      </fill>
    </dxf>
    <dxf>
      <fill>
        <patternFill>
          <bgColor rgb="FFFFFF00"/>
        </patternFill>
      </fill>
    </dxf>
    <dxf>
      <fill>
        <patternFill>
          <bgColor theme="4" tint="0.39994506668294322"/>
        </patternFill>
      </fill>
    </dxf>
    <dxf>
      <font>
        <color rgb="FF006100"/>
      </font>
      <fill>
        <patternFill>
          <bgColor rgb="FFC6EFCE"/>
        </patternFill>
      </fill>
    </dxf>
    <dxf>
      <font>
        <color rgb="FF006100"/>
      </font>
      <fill>
        <patternFill>
          <bgColor rgb="FFC6EFCE"/>
        </patternFill>
      </fill>
    </dxf>
    <dxf>
      <fill>
        <patternFill>
          <bgColor theme="9" tint="0.59996337778862885"/>
        </patternFill>
      </fill>
    </dxf>
    <dxf>
      <font>
        <b/>
        <i val="0"/>
      </font>
      <fill>
        <patternFill patternType="solid">
          <fgColor rgb="FF7DFFFF"/>
          <bgColor rgb="FF7DFFFF"/>
        </patternFill>
      </fill>
    </dxf>
    <dxf>
      <font>
        <b/>
        <i val="0"/>
      </font>
      <fill>
        <patternFill patternType="solid">
          <fgColor rgb="FF81FFFF"/>
          <bgColor rgb="FF81FFFF"/>
        </patternFill>
      </fill>
    </dxf>
    <dxf>
      <font>
        <b/>
        <i val="0"/>
        <color indexed="2"/>
      </font>
    </dxf>
    <dxf>
      <font>
        <b/>
        <i val="0"/>
        <color indexed="2"/>
      </font>
    </dxf>
    <dxf>
      <font>
        <color indexed="2"/>
      </font>
    </dxf>
    <dxf>
      <fill>
        <patternFill patternType="solid">
          <fgColor rgb="FFFFCCFF"/>
          <bgColor rgb="FFFFCCFF"/>
        </patternFill>
      </fill>
    </dxf>
    <dxf>
      <fill>
        <patternFill patternType="solid">
          <fgColor rgb="FFAFFFFF"/>
          <bgColor rgb="FFAFFFFF"/>
        </patternFill>
      </fill>
    </dxf>
    <dxf>
      <fill>
        <patternFill>
          <bgColor theme="5" tint="0.39994506668294322"/>
        </patternFill>
      </fill>
    </dxf>
    <dxf>
      <font>
        <b/>
        <i val="0"/>
      </font>
      <fill>
        <patternFill>
          <bgColor theme="4" tint="0.59996337778862885"/>
        </patternFill>
      </fill>
    </dxf>
    <dxf>
      <fill>
        <patternFill>
          <bgColor rgb="FFFFFF00"/>
        </patternFill>
      </fill>
    </dxf>
    <dxf>
      <fill>
        <patternFill>
          <bgColor theme="5" tint="0.39994506668294322"/>
        </patternFill>
      </fill>
    </dxf>
    <dxf>
      <fill>
        <patternFill>
          <bgColor rgb="FFB9FFFF"/>
        </patternFill>
      </fill>
    </dxf>
    <dxf>
      <font>
        <b/>
        <i val="0"/>
      </font>
      <fill>
        <patternFill>
          <bgColor theme="4" tint="0.59996337778862885"/>
        </patternFill>
      </fill>
    </dxf>
    <dxf>
      <fill>
        <patternFill>
          <bgColor rgb="FFFFFF00"/>
        </patternFill>
      </fill>
    </dxf>
    <dxf>
      <fill>
        <patternFill>
          <bgColor theme="5" tint="0.39994506668294322"/>
        </patternFill>
      </fill>
    </dxf>
    <dxf>
      <fill>
        <patternFill>
          <bgColor rgb="FFB9FFFF"/>
        </patternFill>
      </fill>
    </dxf>
    <dxf>
      <font>
        <b/>
        <i val="0"/>
      </font>
      <fill>
        <patternFill>
          <bgColor theme="4" tint="0.59996337778862885"/>
        </patternFill>
      </fill>
    </dxf>
    <dxf>
      <fill>
        <patternFill>
          <bgColor rgb="FFFFFF00"/>
        </patternFill>
      </fill>
    </dxf>
    <dxf>
      <fill>
        <patternFill>
          <bgColor theme="5" tint="0.39994506668294322"/>
        </patternFill>
      </fill>
    </dxf>
    <dxf>
      <fill>
        <patternFill>
          <bgColor rgb="FFB9FFFF"/>
        </patternFill>
      </fill>
    </dxf>
    <dxf>
      <font>
        <b/>
        <i val="0"/>
      </font>
      <fill>
        <patternFill>
          <bgColor theme="4" tint="0.59996337778862885"/>
        </patternFill>
      </fill>
    </dxf>
    <dxf>
      <fill>
        <patternFill>
          <bgColor rgb="FFFFFF00"/>
        </patternFill>
      </fill>
    </dxf>
    <dxf>
      <fill>
        <patternFill>
          <bgColor theme="5" tint="0.39994506668294322"/>
        </patternFill>
      </fill>
    </dxf>
    <dxf>
      <fill>
        <patternFill>
          <bgColor rgb="FFB9FFFF"/>
        </patternFill>
      </fill>
    </dxf>
    <dxf>
      <font>
        <b/>
        <i val="0"/>
      </font>
      <fill>
        <patternFill>
          <bgColor theme="4" tint="0.59996337778862885"/>
        </patternFill>
      </fill>
    </dxf>
    <dxf>
      <fill>
        <patternFill>
          <bgColor rgb="FFFFFF00"/>
        </patternFill>
      </fill>
    </dxf>
    <dxf>
      <fill>
        <patternFill>
          <bgColor theme="5" tint="0.39994506668294322"/>
        </patternFill>
      </fill>
    </dxf>
    <dxf>
      <fill>
        <patternFill>
          <bgColor rgb="FFB9FFFF"/>
        </patternFill>
      </fill>
    </dxf>
    <dxf>
      <font>
        <b/>
        <i val="0"/>
      </font>
      <fill>
        <patternFill>
          <bgColor theme="4" tint="0.59996337778862885"/>
        </patternFill>
      </fill>
    </dxf>
    <dxf>
      <fill>
        <patternFill>
          <bgColor rgb="FFFFFF00"/>
        </patternFill>
      </fill>
    </dxf>
    <dxf>
      <fill>
        <patternFill>
          <bgColor theme="5" tint="0.39994506668294322"/>
        </patternFill>
      </fill>
    </dxf>
    <dxf>
      <fill>
        <patternFill>
          <bgColor rgb="FFB9FFFF"/>
        </patternFill>
      </fill>
    </dxf>
    <dxf>
      <font>
        <b/>
        <i val="0"/>
      </font>
      <fill>
        <patternFill>
          <bgColor theme="4" tint="0.59996337778862885"/>
        </patternFill>
      </fill>
    </dxf>
    <dxf>
      <fill>
        <patternFill>
          <bgColor rgb="FFFFFF00"/>
        </patternFill>
      </fill>
    </dxf>
    <dxf>
      <fill>
        <patternFill>
          <bgColor theme="5" tint="0.39994506668294322"/>
        </patternFill>
      </fill>
    </dxf>
    <dxf>
      <fill>
        <patternFill>
          <bgColor rgb="FFB9FFFF"/>
        </patternFill>
      </fill>
    </dxf>
    <dxf>
      <font>
        <b/>
        <i val="0"/>
      </font>
      <fill>
        <patternFill>
          <bgColor theme="4" tint="0.59996337778862885"/>
        </patternFill>
      </fill>
    </dxf>
    <dxf>
      <fill>
        <patternFill>
          <bgColor rgb="FFFFFF00"/>
        </patternFill>
      </fill>
    </dxf>
    <dxf>
      <fill>
        <patternFill>
          <bgColor theme="5" tint="0.39994506668294322"/>
        </patternFill>
      </fill>
    </dxf>
    <dxf>
      <fill>
        <patternFill>
          <bgColor rgb="FFB9FFFF"/>
        </patternFill>
      </fill>
    </dxf>
    <dxf>
      <font>
        <b/>
        <i val="0"/>
      </font>
      <fill>
        <patternFill>
          <bgColor theme="4" tint="0.59996337778862885"/>
        </patternFill>
      </fill>
    </dxf>
    <dxf>
      <fill>
        <patternFill>
          <bgColor rgb="FFFFFF00"/>
        </patternFill>
      </fill>
    </dxf>
    <dxf>
      <fill>
        <patternFill>
          <bgColor theme="4" tint="0.59996337778862885"/>
        </patternFill>
      </fill>
    </dxf>
    <dxf>
      <font>
        <b/>
        <i val="0"/>
      </font>
      <fill>
        <patternFill patternType="solid">
          <fgColor rgb="FF81FFFF"/>
          <bgColor rgb="FF81FFFF"/>
        </patternFill>
      </fill>
    </dxf>
    <dxf>
      <font>
        <b/>
        <i val="0"/>
      </font>
      <fill>
        <patternFill patternType="solid">
          <fgColor rgb="FF7DFFFF"/>
          <bgColor rgb="FF7DFFFF"/>
        </patternFill>
      </fill>
    </dxf>
    <dxf>
      <font>
        <b/>
        <i val="0"/>
        <color indexed="2"/>
      </font>
    </dxf>
    <dxf>
      <font>
        <b/>
        <i val="0"/>
        <color indexed="2"/>
      </font>
    </dxf>
    <dxf>
      <fill>
        <patternFill>
          <bgColor rgb="FFFFFF00"/>
        </patternFill>
      </fill>
    </dxf>
    <dxf>
      <font>
        <color theme="0"/>
      </font>
      <fill>
        <patternFill>
          <bgColor rgb="FFFF0000"/>
        </patternFill>
      </fill>
    </dxf>
    <dxf>
      <fill>
        <patternFill>
          <bgColor rgb="FFFFFF00"/>
        </patternFill>
      </fill>
    </dxf>
    <dxf>
      <font>
        <color theme="0"/>
      </font>
      <fill>
        <patternFill>
          <bgColor rgb="FFFF0000"/>
        </patternFill>
      </fill>
    </dxf>
    <dxf>
      <font>
        <color rgb="FF006100"/>
      </font>
      <fill>
        <patternFill>
          <bgColor rgb="FFC6EFCE"/>
        </patternFill>
      </fill>
    </dxf>
    <dxf>
      <font>
        <color indexed="2"/>
      </font>
    </dxf>
    <dxf>
      <fill>
        <patternFill patternType="solid">
          <fgColor rgb="FFFFCCFF"/>
          <bgColor rgb="FFFFCCFF"/>
        </patternFill>
      </fill>
    </dxf>
    <dxf>
      <fill>
        <patternFill patternType="solid">
          <fgColor rgb="FFAFFFFF"/>
          <bgColor rgb="FFAFFFFF"/>
        </patternFill>
      </fill>
    </dxf>
    <dxf>
      <font>
        <color rgb="FF006100"/>
      </font>
      <fill>
        <patternFill>
          <bgColor rgb="FFC6EFCE"/>
        </patternFill>
      </fill>
    </dxf>
    <dxf>
      <fill>
        <patternFill>
          <bgColor theme="5" tint="-0.24994659260841701"/>
        </patternFill>
      </fill>
    </dxf>
    <dxf>
      <fill>
        <patternFill>
          <bgColor theme="5" tint="0.39994506668294322"/>
        </patternFill>
      </fill>
    </dxf>
    <dxf>
      <fill>
        <patternFill>
          <bgColor rgb="FFCCFFCC"/>
        </patternFill>
      </fill>
    </dxf>
    <dxf>
      <font>
        <color rgb="FF006100"/>
      </font>
      <fill>
        <patternFill>
          <bgColor rgb="FFC6EFCE"/>
        </patternFill>
      </fill>
    </dxf>
    <dxf>
      <fill>
        <patternFill>
          <bgColor rgb="FFFFFF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b/>
        <i val="0"/>
      </font>
      <fill>
        <patternFill patternType="solid">
          <fgColor indexed="5"/>
          <bgColor indexed="5"/>
        </patternFill>
      </fill>
    </dxf>
    <dxf>
      <fill>
        <patternFill>
          <bgColor theme="5" tint="0.39994506668294322"/>
        </patternFill>
      </fill>
    </dxf>
    <dxf>
      <fill>
        <patternFill>
          <bgColor rgb="FFCCFFCC"/>
        </patternFill>
      </fill>
    </dxf>
    <dxf>
      <font>
        <b/>
        <i val="0"/>
      </font>
      <fill>
        <patternFill patternType="solid">
          <fgColor indexed="5"/>
          <bgColor indexed="5"/>
        </patternFill>
      </fill>
    </dxf>
    <dxf>
      <fill>
        <patternFill>
          <bgColor theme="5" tint="-0.24994659260841701"/>
        </patternFill>
      </fill>
    </dxf>
    <dxf>
      <fill>
        <patternFill>
          <bgColor theme="5" tint="0.39994506668294322"/>
        </patternFill>
      </fill>
    </dxf>
    <dxf>
      <fill>
        <patternFill>
          <bgColor rgb="FFCCFFCC"/>
        </patternFill>
      </fill>
    </dxf>
    <dxf>
      <font>
        <b/>
        <i val="0"/>
      </font>
      <fill>
        <patternFill patternType="solid">
          <fgColor indexed="5"/>
          <bgColor indexed="5"/>
        </patternFill>
      </fill>
    </dxf>
    <dxf>
      <fill>
        <patternFill>
          <bgColor theme="5" tint="-0.24994659260841701"/>
        </patternFill>
      </fill>
    </dxf>
    <dxf>
      <fill>
        <patternFill>
          <bgColor rgb="FFCCFFCC"/>
        </patternFill>
      </fill>
    </dxf>
    <dxf>
      <fill>
        <patternFill>
          <bgColor theme="5" tint="0.39994506668294322"/>
        </patternFill>
      </fill>
    </dxf>
    <dxf>
      <font>
        <b/>
        <i val="0"/>
      </font>
      <fill>
        <patternFill patternType="solid">
          <fgColor rgb="FF7DFFFF"/>
          <bgColor rgb="FF7DFFFF"/>
        </patternFill>
      </fill>
    </dxf>
    <dxf>
      <font>
        <b/>
        <i val="0"/>
      </font>
      <fill>
        <patternFill patternType="solid">
          <fgColor rgb="FF81FFFF"/>
          <bgColor rgb="FF81FFFF"/>
        </patternFill>
      </fill>
    </dxf>
    <dxf>
      <fill>
        <patternFill>
          <bgColor rgb="FFCCFFCC"/>
        </patternFill>
      </fill>
    </dxf>
    <dxf>
      <fill>
        <patternFill>
          <bgColor rgb="FFCCFFCC"/>
        </patternFill>
      </fill>
    </dxf>
    <dxf>
      <fill>
        <patternFill>
          <bgColor rgb="FFCCFFCC"/>
        </patternFill>
      </fill>
    </dxf>
    <dxf>
      <font>
        <color rgb="FFFF0000"/>
      </font>
    </dxf>
    <dxf>
      <fill>
        <patternFill>
          <bgColor rgb="FFFFFFCC"/>
        </patternFill>
      </fill>
    </dxf>
    <dxf>
      <fill>
        <patternFill>
          <bgColor theme="5" tint="0.39994506668294322"/>
        </patternFill>
      </fill>
    </dxf>
    <dxf>
      <font>
        <color indexed="2"/>
      </font>
    </dxf>
    <dxf>
      <fill>
        <patternFill patternType="solid">
          <fgColor rgb="FFFFCCFF"/>
          <bgColor rgb="FFFFCCFF"/>
        </patternFill>
      </fill>
    </dxf>
    <dxf>
      <fill>
        <patternFill patternType="solid">
          <fgColor rgb="FFAFFFFF"/>
          <bgColor rgb="FFAFFFFF"/>
        </patternFill>
      </fill>
    </dxf>
    <dxf>
      <fill>
        <patternFill>
          <bgColor rgb="FFCCFFCC"/>
        </patternFill>
      </fill>
    </dxf>
    <dxf>
      <fill>
        <patternFill>
          <bgColor rgb="FFCCFFCC"/>
        </patternFill>
      </fill>
    </dxf>
    <dxf>
      <fill>
        <patternFill>
          <bgColor rgb="FFCCFFCC"/>
        </patternFill>
      </fill>
    </dxf>
    <dxf>
      <fill>
        <patternFill>
          <bgColor rgb="FFCCFFCC"/>
        </patternFill>
      </fill>
    </dxf>
    <dxf>
      <font>
        <b/>
        <i val="0"/>
      </font>
      <fill>
        <patternFill patternType="solid">
          <fgColor rgb="FF81FFFF"/>
          <bgColor rgb="FF81FFFF"/>
        </patternFill>
      </fill>
    </dxf>
    <dxf>
      <font>
        <b/>
        <i val="0"/>
      </font>
      <fill>
        <patternFill patternType="solid">
          <fgColor rgb="FF7DFFFF"/>
          <bgColor rgb="FF7DFFFF"/>
        </patternFill>
      </fill>
    </dxf>
    <dxf>
      <font>
        <b/>
        <i val="0"/>
        <color indexed="2"/>
      </font>
    </dxf>
    <dxf>
      <font>
        <b/>
        <i val="0"/>
        <color indexed="2"/>
      </font>
    </dxf>
    <dxf>
      <font>
        <color rgb="FFFF0000"/>
      </font>
    </dxf>
    <dxf>
      <fill>
        <patternFill>
          <bgColor rgb="FFFFFFCC"/>
        </patternFill>
      </fill>
    </dxf>
    <dxf>
      <fill>
        <patternFill>
          <bgColor theme="5" tint="0.39994506668294322"/>
        </patternFill>
      </fill>
    </dxf>
    <dxf>
      <fill>
        <patternFill>
          <bgColor rgb="FFCCFFCC"/>
        </patternFill>
      </fill>
    </dxf>
    <dxf>
      <font>
        <color theme="1"/>
      </font>
      <fill>
        <patternFill>
          <bgColor theme="5" tint="0.59996337778862885"/>
        </patternFill>
      </fill>
    </dxf>
    <dxf>
      <font>
        <color rgb="FF006100"/>
      </font>
      <fill>
        <patternFill>
          <bgColor rgb="FFC6EFCE"/>
        </patternFill>
      </fill>
    </dxf>
    <dxf>
      <font>
        <color rgb="FF006100"/>
      </font>
      <fill>
        <patternFill>
          <bgColor rgb="FFC6EFCE"/>
        </patternFill>
      </fill>
    </dxf>
    <dxf>
      <fill>
        <patternFill>
          <bgColor rgb="FFFFCCFF"/>
        </patternFill>
      </fill>
    </dxf>
    <dxf>
      <fill>
        <patternFill>
          <bgColor rgb="FFB9FFFF"/>
        </patternFill>
      </fill>
    </dxf>
    <dxf>
      <font>
        <b/>
        <i val="0"/>
      </font>
      <fill>
        <patternFill>
          <bgColor theme="4" tint="0.59996337778862885"/>
        </patternFill>
      </fill>
    </dxf>
    <dxf>
      <fill>
        <patternFill>
          <bgColor theme="9" tint="0.39994506668294322"/>
        </patternFill>
      </fill>
    </dxf>
    <dxf>
      <fill>
        <patternFill>
          <bgColor theme="7" tint="0.39994506668294322"/>
        </patternFill>
      </fill>
    </dxf>
    <dxf>
      <fill>
        <patternFill>
          <bgColor rgb="FFFFFF00"/>
        </patternFill>
      </fill>
    </dxf>
    <dxf>
      <font>
        <color theme="1"/>
      </font>
      <fill>
        <patternFill>
          <bgColor theme="5" tint="0.59996337778862885"/>
        </patternFill>
      </fill>
    </dxf>
    <dxf>
      <font>
        <color rgb="FF006100"/>
      </font>
      <fill>
        <patternFill>
          <bgColor rgb="FFC6EFCE"/>
        </patternFill>
      </fill>
    </dxf>
    <dxf>
      <font>
        <color rgb="FF006100"/>
      </font>
      <fill>
        <patternFill>
          <bgColor rgb="FFC6EFCE"/>
        </patternFill>
      </fill>
    </dxf>
    <dxf>
      <fill>
        <patternFill>
          <bgColor rgb="FFFFCCFF"/>
        </patternFill>
      </fill>
    </dxf>
    <dxf>
      <fill>
        <patternFill>
          <bgColor rgb="FFB9FFFF"/>
        </patternFill>
      </fill>
    </dxf>
    <dxf>
      <font>
        <b/>
        <i val="0"/>
      </font>
      <fill>
        <patternFill>
          <bgColor theme="4" tint="0.59996337778862885"/>
        </patternFill>
      </fill>
    </dxf>
    <dxf>
      <fill>
        <patternFill>
          <bgColor theme="9" tint="0.39994506668294322"/>
        </patternFill>
      </fill>
    </dxf>
    <dxf>
      <fill>
        <patternFill>
          <bgColor theme="7" tint="0.39994506668294322"/>
        </patternFill>
      </fill>
    </dxf>
    <dxf>
      <fill>
        <patternFill>
          <bgColor rgb="FFFFFF00"/>
        </patternFill>
      </fill>
    </dxf>
    <dxf>
      <font>
        <color theme="1"/>
      </font>
      <fill>
        <patternFill>
          <bgColor theme="5" tint="0.59996337778862885"/>
        </patternFill>
      </fill>
    </dxf>
    <dxf>
      <font>
        <color rgb="FF006100"/>
      </font>
      <fill>
        <patternFill>
          <bgColor rgb="FFC6EFCE"/>
        </patternFill>
      </fill>
    </dxf>
    <dxf>
      <font>
        <color rgb="FF006100"/>
      </font>
      <fill>
        <patternFill>
          <bgColor rgb="FFC6EFCE"/>
        </patternFill>
      </fill>
    </dxf>
    <dxf>
      <fill>
        <patternFill>
          <bgColor rgb="FFFFCCFF"/>
        </patternFill>
      </fill>
    </dxf>
    <dxf>
      <fill>
        <patternFill>
          <bgColor rgb="FFB9FFFF"/>
        </patternFill>
      </fill>
    </dxf>
    <dxf>
      <font>
        <b/>
        <i val="0"/>
      </font>
      <fill>
        <patternFill>
          <bgColor theme="4" tint="0.59996337778862885"/>
        </patternFill>
      </fill>
    </dxf>
    <dxf>
      <fill>
        <patternFill>
          <bgColor theme="9" tint="0.39994506668294322"/>
        </patternFill>
      </fill>
    </dxf>
    <dxf>
      <fill>
        <patternFill>
          <bgColor theme="7" tint="0.39994506668294322"/>
        </patternFill>
      </fill>
    </dxf>
    <dxf>
      <fill>
        <patternFill>
          <bgColor rgb="FFFFFF00"/>
        </patternFill>
      </fill>
    </dxf>
    <dxf>
      <font>
        <color theme="1"/>
      </font>
      <fill>
        <patternFill>
          <bgColor theme="5" tint="0.59996337778862885"/>
        </patternFill>
      </fill>
    </dxf>
    <dxf>
      <font>
        <color rgb="FF006100"/>
      </font>
      <fill>
        <patternFill>
          <bgColor rgb="FFC6EFCE"/>
        </patternFill>
      </fill>
    </dxf>
    <dxf>
      <font>
        <color rgb="FF006100"/>
      </font>
      <fill>
        <patternFill>
          <bgColor rgb="FFC6EFCE"/>
        </patternFill>
      </fill>
    </dxf>
    <dxf>
      <fill>
        <patternFill>
          <bgColor rgb="FFFFCCFF"/>
        </patternFill>
      </fill>
    </dxf>
    <dxf>
      <fill>
        <patternFill>
          <bgColor rgb="FFB9FFFF"/>
        </patternFill>
      </fill>
    </dxf>
    <dxf>
      <font>
        <b/>
        <i val="0"/>
      </font>
      <fill>
        <patternFill>
          <bgColor theme="4" tint="0.59996337778862885"/>
        </patternFill>
      </fill>
    </dxf>
    <dxf>
      <fill>
        <patternFill>
          <bgColor theme="9" tint="0.39994506668294322"/>
        </patternFill>
      </fill>
    </dxf>
    <dxf>
      <fill>
        <patternFill>
          <bgColor theme="7" tint="0.39994506668294322"/>
        </patternFill>
      </fill>
    </dxf>
    <dxf>
      <fill>
        <patternFill>
          <bgColor rgb="FFFFFF00"/>
        </patternFill>
      </fill>
    </dxf>
    <dxf>
      <fill>
        <patternFill>
          <bgColor rgb="FF9FFFFF"/>
        </patternFill>
      </fill>
    </dxf>
    <dxf>
      <font>
        <color theme="1"/>
      </font>
      <fill>
        <patternFill>
          <bgColor theme="5" tint="0.59996337778862885"/>
        </patternFill>
      </fill>
    </dxf>
    <dxf>
      <font>
        <color rgb="FF006100"/>
      </font>
      <fill>
        <patternFill>
          <bgColor rgb="FFC6EFCE"/>
        </patternFill>
      </fill>
    </dxf>
    <dxf>
      <font>
        <color rgb="FF006100"/>
      </font>
      <fill>
        <patternFill>
          <bgColor rgb="FFC6EFCE"/>
        </patternFill>
      </fill>
    </dxf>
    <dxf>
      <fill>
        <patternFill>
          <bgColor rgb="FFFFCCFF"/>
        </patternFill>
      </fill>
    </dxf>
    <dxf>
      <fill>
        <patternFill>
          <bgColor rgb="FFB9FFFF"/>
        </patternFill>
      </fill>
    </dxf>
    <dxf>
      <font>
        <b/>
        <i val="0"/>
      </font>
      <fill>
        <patternFill>
          <bgColor theme="4" tint="0.59996337778862885"/>
        </patternFill>
      </fill>
    </dxf>
    <dxf>
      <fill>
        <patternFill>
          <bgColor theme="9" tint="0.39994506668294322"/>
        </patternFill>
      </fill>
    </dxf>
    <dxf>
      <fill>
        <patternFill>
          <bgColor theme="7" tint="0.39994506668294322"/>
        </patternFill>
      </fill>
    </dxf>
    <dxf>
      <fill>
        <patternFill>
          <bgColor rgb="FFFFFF00"/>
        </patternFill>
      </fill>
    </dxf>
    <dxf>
      <fill>
        <patternFill>
          <bgColor rgb="FF9FFFFF"/>
        </patternFill>
      </fill>
    </dxf>
    <dxf>
      <fill>
        <patternFill>
          <bgColor rgb="FFFFCCFF"/>
        </patternFill>
      </fill>
    </dxf>
    <dxf>
      <fill>
        <patternFill>
          <bgColor rgb="FFB9FFFF"/>
        </patternFill>
      </fill>
    </dxf>
    <dxf>
      <font>
        <b/>
        <i val="0"/>
      </font>
      <fill>
        <patternFill>
          <bgColor theme="4" tint="0.59996337778862885"/>
        </patternFill>
      </fill>
    </dxf>
    <dxf>
      <fill>
        <patternFill>
          <bgColor rgb="FF9FFFFF"/>
        </patternFill>
      </fill>
    </dxf>
    <dxf>
      <fill>
        <patternFill>
          <bgColor rgb="FFFFCCFF"/>
        </patternFill>
      </fill>
    </dxf>
    <dxf>
      <fill>
        <patternFill>
          <bgColor rgb="FFB9FFFF"/>
        </patternFill>
      </fill>
    </dxf>
    <dxf>
      <font>
        <b/>
        <i val="0"/>
      </font>
      <fill>
        <patternFill>
          <bgColor theme="4" tint="0.59996337778862885"/>
        </patternFill>
      </fill>
    </dxf>
    <dxf>
      <fill>
        <patternFill>
          <bgColor rgb="FF9FFFFF"/>
        </patternFill>
      </fill>
    </dxf>
    <dxf>
      <font>
        <color theme="1"/>
      </font>
      <fill>
        <patternFill>
          <bgColor theme="5" tint="0.59996337778862885"/>
        </patternFill>
      </fill>
    </dxf>
    <dxf>
      <font>
        <color rgb="FF006100"/>
      </font>
      <fill>
        <patternFill>
          <bgColor rgb="FFC6EFCE"/>
        </patternFill>
      </fill>
    </dxf>
    <dxf>
      <font>
        <color auto="1"/>
      </font>
      <fill>
        <patternFill>
          <bgColor theme="7" tint="0.79998168889431442"/>
        </patternFill>
      </fill>
    </dxf>
    <dxf>
      <font>
        <color theme="1"/>
      </font>
      <fill>
        <patternFill>
          <bgColor theme="5" tint="0.79998168889431442"/>
        </patternFill>
      </fill>
    </dxf>
    <dxf>
      <fill>
        <patternFill>
          <bgColor theme="9" tint="0.39994506668294322"/>
        </patternFill>
      </fill>
    </dxf>
    <dxf>
      <fill>
        <patternFill>
          <bgColor theme="9" tint="0.39994506668294322"/>
        </patternFill>
      </fill>
    </dxf>
    <dxf>
      <fill>
        <patternFill>
          <bgColor theme="7" tint="0.59996337778862885"/>
        </patternFill>
      </fill>
    </dxf>
    <dxf>
      <fill>
        <patternFill>
          <bgColor theme="7" tint="0.39994506668294322"/>
        </patternFill>
      </fill>
    </dxf>
    <dxf>
      <fill>
        <patternFill>
          <bgColor theme="7" tint="0.79998168889431442"/>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rgb="FFCCFFCC"/>
        </patternFill>
      </fill>
    </dxf>
    <dxf>
      <font>
        <color rgb="FF9C0006"/>
      </font>
      <fill>
        <patternFill>
          <bgColor rgb="FFFFC7CE"/>
        </patternFill>
      </fill>
    </dxf>
    <dxf>
      <fill>
        <patternFill>
          <bgColor rgb="FFEFBFE9"/>
        </patternFill>
      </fill>
    </dxf>
    <dxf>
      <fill>
        <patternFill>
          <bgColor rgb="FFB9FFFF"/>
        </patternFill>
      </fill>
    </dxf>
    <dxf>
      <font>
        <b/>
        <i val="0"/>
      </font>
      <fill>
        <patternFill>
          <bgColor theme="4" tint="0.59996337778862885"/>
        </patternFill>
      </fill>
    </dxf>
    <dxf>
      <font>
        <color rgb="FF006100"/>
      </font>
      <fill>
        <patternFill>
          <bgColor rgb="FFC6EFCE"/>
        </patternFill>
      </fill>
    </dxf>
    <dxf>
      <font>
        <b/>
        <i val="0"/>
      </font>
      <fill>
        <patternFill patternType="solid">
          <fgColor rgb="FF7DFFFF"/>
          <bgColor rgb="FF7DFFFF"/>
        </patternFill>
      </fill>
    </dxf>
    <dxf>
      <font>
        <b/>
        <i val="0"/>
      </font>
      <fill>
        <patternFill patternType="solid">
          <fgColor rgb="FF81FFFF"/>
          <bgColor rgb="FF81FFFF"/>
        </patternFill>
      </fill>
    </dxf>
    <dxf>
      <fill>
        <patternFill>
          <bgColor rgb="FFFFCCFF"/>
        </patternFill>
      </fill>
    </dxf>
    <dxf>
      <fill>
        <patternFill>
          <bgColor rgb="FFB9FFFF"/>
        </patternFill>
      </fill>
    </dxf>
    <dxf>
      <font>
        <b/>
        <i val="0"/>
      </font>
      <fill>
        <patternFill>
          <bgColor theme="4" tint="0.59996337778862885"/>
        </patternFill>
      </fill>
    </dxf>
    <dxf>
      <fill>
        <patternFill>
          <bgColor rgb="FFFFCCFF"/>
        </patternFill>
      </fill>
    </dxf>
    <dxf>
      <fill>
        <patternFill>
          <bgColor rgb="FFB9FFFF"/>
        </patternFill>
      </fill>
    </dxf>
    <dxf>
      <font>
        <b/>
        <i val="0"/>
      </font>
      <fill>
        <patternFill>
          <bgColor theme="4" tint="0.59996337778862885"/>
        </patternFill>
      </fill>
    </dxf>
    <dxf>
      <font>
        <color indexed="2"/>
      </font>
    </dxf>
    <dxf>
      <font>
        <b/>
        <i val="0"/>
        <color indexed="2"/>
      </font>
    </dxf>
    <dxf>
      <fill>
        <patternFill patternType="solid">
          <fgColor indexed="43"/>
          <bgColor indexed="43"/>
        </patternFill>
      </fill>
    </dxf>
    <dxf>
      <fill>
        <patternFill>
          <bgColor rgb="FFFFC000"/>
        </patternFill>
      </fill>
    </dxf>
    <dxf>
      <fill>
        <patternFill>
          <bgColor rgb="FFFFC000"/>
        </patternFill>
      </fill>
    </dxf>
    <dxf>
      <fill>
        <patternFill>
          <bgColor rgb="FFFFCCFF"/>
        </patternFill>
      </fill>
    </dxf>
    <dxf>
      <fill>
        <patternFill>
          <bgColor rgb="FFB9FFFF"/>
        </patternFill>
      </fill>
    </dxf>
    <dxf>
      <font>
        <b/>
        <i val="0"/>
      </font>
      <fill>
        <patternFill>
          <bgColor theme="4" tint="0.59996337778862885"/>
        </patternFill>
      </fill>
    </dxf>
    <dxf>
      <fill>
        <patternFill>
          <bgColor rgb="FFFFCCFF"/>
        </patternFill>
      </fill>
    </dxf>
    <dxf>
      <fill>
        <patternFill>
          <bgColor rgb="FFB9FFFF"/>
        </patternFill>
      </fill>
    </dxf>
    <dxf>
      <font>
        <b/>
        <i val="0"/>
      </font>
      <fill>
        <patternFill>
          <bgColor theme="4" tint="0.59996337778862885"/>
        </patternFill>
      </fill>
    </dxf>
    <dxf>
      <fill>
        <patternFill>
          <bgColor rgb="FFFFCCFF"/>
        </patternFill>
      </fill>
    </dxf>
    <dxf>
      <fill>
        <patternFill>
          <bgColor rgb="FFB9FFFF"/>
        </patternFill>
      </fill>
    </dxf>
    <dxf>
      <font>
        <b/>
        <i val="0"/>
      </font>
      <fill>
        <patternFill>
          <bgColor theme="4" tint="0.59996337778862885"/>
        </patternFill>
      </fill>
    </dxf>
    <dxf>
      <fill>
        <patternFill>
          <bgColor rgb="FFFFCCFF"/>
        </patternFill>
      </fill>
    </dxf>
    <dxf>
      <fill>
        <patternFill>
          <bgColor rgb="FFB9FFFF"/>
        </patternFill>
      </fill>
    </dxf>
    <dxf>
      <font>
        <b/>
        <i val="0"/>
      </font>
      <fill>
        <patternFill>
          <bgColor theme="4" tint="0.59996337778862885"/>
        </patternFill>
      </fill>
    </dxf>
    <dxf>
      <fill>
        <patternFill>
          <bgColor rgb="FFFFC7CE"/>
        </patternFill>
      </fill>
    </dxf>
    <dxf>
      <fill>
        <patternFill>
          <bgColor rgb="FFFFCCFF"/>
        </patternFill>
      </fill>
    </dxf>
    <dxf>
      <fill>
        <patternFill>
          <bgColor rgb="FFB9FFFF"/>
        </patternFill>
      </fill>
    </dxf>
    <dxf>
      <font>
        <b/>
        <i val="0"/>
      </font>
      <fill>
        <patternFill>
          <bgColor theme="4" tint="0.59996337778862885"/>
        </patternFill>
      </fill>
    </dxf>
    <dxf>
      <font>
        <color indexed="2"/>
      </font>
    </dxf>
    <dxf>
      <fill>
        <patternFill patternType="solid">
          <fgColor rgb="FFFFCCFF"/>
          <bgColor rgb="FFFFCCFF"/>
        </patternFill>
      </fill>
    </dxf>
    <dxf>
      <fill>
        <patternFill patternType="solid">
          <fgColor rgb="FFAFFFFF"/>
          <bgColor rgb="FFAFFFFF"/>
        </patternFill>
      </fill>
    </dxf>
    <dxf>
      <fill>
        <patternFill>
          <bgColor rgb="FFFFCCFF"/>
        </patternFill>
      </fill>
    </dxf>
    <dxf>
      <fill>
        <patternFill>
          <bgColor rgb="FFB9FFFF"/>
        </patternFill>
      </fill>
    </dxf>
    <dxf>
      <font>
        <b/>
        <i val="0"/>
      </font>
      <fill>
        <patternFill>
          <bgColor theme="4" tint="0.59996337778862885"/>
        </patternFill>
      </fill>
    </dxf>
    <dxf>
      <fill>
        <patternFill>
          <bgColor rgb="FFFFFF00"/>
        </patternFill>
      </fill>
    </dxf>
    <dxf>
      <fill>
        <patternFill>
          <bgColor rgb="FFFFCCFF"/>
        </patternFill>
      </fill>
    </dxf>
    <dxf>
      <fill>
        <patternFill>
          <bgColor rgb="FFB9FFFF"/>
        </patternFill>
      </fill>
    </dxf>
    <dxf>
      <font>
        <b/>
        <i val="0"/>
      </font>
      <fill>
        <patternFill>
          <bgColor theme="4" tint="0.59996337778862885"/>
        </patternFill>
      </fill>
    </dxf>
    <dxf>
      <fill>
        <patternFill>
          <bgColor rgb="FFFFFF00"/>
        </patternFill>
      </fill>
    </dxf>
    <dxf>
      <fill>
        <patternFill>
          <bgColor rgb="FFFFCCFF"/>
        </patternFill>
      </fill>
    </dxf>
    <dxf>
      <fill>
        <patternFill>
          <bgColor rgb="FFB9FFFF"/>
        </patternFill>
      </fill>
    </dxf>
    <dxf>
      <font>
        <b/>
        <i val="0"/>
      </font>
      <fill>
        <patternFill>
          <bgColor theme="4" tint="0.59996337778862885"/>
        </patternFill>
      </fill>
    </dxf>
    <dxf>
      <fill>
        <patternFill>
          <bgColor rgb="FFFFCCFF"/>
        </patternFill>
      </fill>
    </dxf>
    <dxf>
      <fill>
        <patternFill>
          <bgColor rgb="FFB9FFFF"/>
        </patternFill>
      </fill>
    </dxf>
    <dxf>
      <font>
        <b/>
        <i val="0"/>
      </font>
      <fill>
        <patternFill>
          <bgColor theme="4" tint="0.59996337778862885"/>
        </patternFill>
      </fill>
    </dxf>
    <dxf>
      <fill>
        <patternFill>
          <bgColor rgb="FFFFCCFF"/>
        </patternFill>
      </fill>
    </dxf>
    <dxf>
      <fill>
        <patternFill>
          <bgColor rgb="FFB9FFFF"/>
        </patternFill>
      </fill>
    </dxf>
    <dxf>
      <font>
        <b/>
        <i val="0"/>
      </font>
      <fill>
        <patternFill>
          <bgColor theme="4" tint="0.59996337778862885"/>
        </patternFill>
      </fill>
    </dxf>
    <dxf>
      <fill>
        <patternFill>
          <bgColor rgb="FFFFCCFF"/>
        </patternFill>
      </fill>
    </dxf>
    <dxf>
      <fill>
        <patternFill>
          <bgColor rgb="FFB9FFFF"/>
        </patternFill>
      </fill>
    </dxf>
    <dxf>
      <font>
        <b/>
        <i val="0"/>
      </font>
      <fill>
        <patternFill>
          <bgColor theme="4" tint="0.59996337778862885"/>
        </patternFill>
      </fill>
    </dxf>
    <dxf>
      <fill>
        <patternFill>
          <bgColor theme="9" tint="0.39994506668294322"/>
        </patternFill>
      </fill>
    </dxf>
    <dxf>
      <fill>
        <patternFill>
          <bgColor theme="7" tint="0.39994506668294322"/>
        </patternFill>
      </fill>
    </dxf>
    <dxf>
      <fill>
        <patternFill>
          <bgColor rgb="FFFFCCFF"/>
        </patternFill>
      </fill>
    </dxf>
    <dxf>
      <fill>
        <patternFill>
          <bgColor rgb="FFB9FFFF"/>
        </patternFill>
      </fill>
    </dxf>
    <dxf>
      <font>
        <b/>
        <i val="0"/>
      </font>
      <fill>
        <patternFill>
          <bgColor theme="4" tint="0.59996337778862885"/>
        </patternFill>
      </fill>
    </dxf>
    <dxf>
      <font>
        <b/>
        <i val="0"/>
      </font>
      <fill>
        <patternFill patternType="solid">
          <fgColor rgb="FF81FFFF"/>
          <bgColor rgb="FF81FFFF"/>
        </patternFill>
      </fill>
    </dxf>
    <dxf>
      <font>
        <b/>
        <i val="0"/>
      </font>
      <fill>
        <patternFill patternType="solid">
          <fgColor rgb="FF7DFFFF"/>
          <bgColor rgb="FF7DFFFF"/>
        </patternFill>
      </fill>
    </dxf>
    <dxf>
      <font>
        <b/>
        <i val="0"/>
        <color indexed="2"/>
      </font>
    </dxf>
    <dxf>
      <font>
        <b/>
        <i val="0"/>
        <color indexed="2"/>
      </font>
    </dxf>
    <dxf>
      <fill>
        <patternFill>
          <bgColor rgb="FFFFCCFF"/>
        </patternFill>
      </fill>
    </dxf>
    <dxf>
      <fill>
        <patternFill>
          <bgColor rgb="FFB9FFFF"/>
        </patternFill>
      </fill>
    </dxf>
    <dxf>
      <font>
        <b/>
        <i val="0"/>
      </font>
      <fill>
        <patternFill>
          <bgColor theme="4" tint="0.59996337778862885"/>
        </patternFill>
      </fill>
    </dxf>
    <dxf>
      <fill>
        <patternFill>
          <bgColor rgb="FFFFCCFF"/>
        </patternFill>
      </fill>
    </dxf>
    <dxf>
      <fill>
        <patternFill>
          <bgColor rgb="FFB9FFFF"/>
        </patternFill>
      </fill>
    </dxf>
    <dxf>
      <font>
        <b/>
        <i val="0"/>
      </font>
      <fill>
        <patternFill>
          <bgColor theme="4" tint="0.59996337778862885"/>
        </patternFill>
      </fill>
    </dxf>
    <dxf>
      <fill>
        <patternFill>
          <bgColor rgb="FFFFCCFF"/>
        </patternFill>
      </fill>
    </dxf>
    <dxf>
      <fill>
        <patternFill>
          <bgColor rgb="FFB9FFFF"/>
        </patternFill>
      </fill>
    </dxf>
    <dxf>
      <font>
        <b/>
        <i val="0"/>
      </font>
      <fill>
        <patternFill>
          <bgColor theme="4" tint="0.59996337778862885"/>
        </patternFill>
      </fill>
    </dxf>
    <dxf>
      <font>
        <b/>
        <i val="0"/>
      </font>
      <fill>
        <patternFill patternType="solid">
          <fgColor indexed="40"/>
          <bgColor indexed="40"/>
        </patternFill>
      </fill>
    </dxf>
    <dxf>
      <font>
        <b/>
        <i val="0"/>
      </font>
      <fill>
        <patternFill patternType="solid">
          <fgColor indexed="40"/>
          <bgColor indexed="40"/>
        </patternFill>
      </fill>
    </dxf>
    <dxf>
      <font>
        <b/>
        <i val="0"/>
      </font>
      <fill>
        <patternFill patternType="solid">
          <fgColor indexed="40"/>
          <bgColor indexed="40"/>
        </patternFill>
      </fill>
    </dxf>
    <dxf>
      <fill>
        <patternFill>
          <bgColor rgb="FFFFCCFF"/>
        </patternFill>
      </fill>
    </dxf>
    <dxf>
      <fill>
        <patternFill>
          <bgColor rgb="FFB9FFFF"/>
        </patternFill>
      </fill>
    </dxf>
    <dxf>
      <font>
        <b/>
        <i val="0"/>
      </font>
      <fill>
        <patternFill>
          <bgColor theme="4" tint="0.59996337778862885"/>
        </patternFill>
      </fill>
    </dxf>
    <dxf>
      <fill>
        <patternFill>
          <bgColor rgb="FFFFFF00"/>
        </patternFill>
      </fill>
    </dxf>
    <dxf>
      <font>
        <color rgb="FF9C0006"/>
      </font>
      <fill>
        <patternFill>
          <bgColor rgb="FFFFC7CE"/>
        </patternFill>
      </fill>
    </dxf>
    <dxf>
      <font>
        <color theme="1"/>
      </font>
      <fill>
        <patternFill>
          <bgColor theme="5" tint="0.79998168889431442"/>
        </patternFill>
      </fill>
    </dxf>
    <dxf>
      <fill>
        <patternFill>
          <bgColor rgb="FFFFFF00"/>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rgb="FFCCFFCC"/>
        </patternFill>
      </fill>
    </dxf>
    <dxf>
      <fill>
        <patternFill>
          <bgColor theme="9" tint="0.39994506668294322"/>
        </patternFill>
      </fill>
    </dxf>
    <dxf>
      <fill>
        <patternFill>
          <bgColor rgb="FF92D050"/>
        </patternFill>
      </fill>
    </dxf>
    <dxf>
      <fill>
        <patternFill>
          <bgColor rgb="FF00B0F0"/>
        </patternFill>
      </fill>
    </dxf>
    <dxf>
      <fill>
        <patternFill>
          <bgColor rgb="FFCCFF66"/>
        </patternFill>
      </fill>
    </dxf>
    <dxf>
      <font>
        <color auto="1"/>
      </font>
      <fill>
        <patternFill>
          <bgColor rgb="FFFFF2CD"/>
        </patternFill>
      </fill>
    </dxf>
    <dxf>
      <font>
        <color auto="1"/>
      </font>
      <fill>
        <patternFill>
          <bgColor rgb="FFCCCCFF"/>
        </patternFill>
      </fill>
    </dxf>
    <dxf>
      <font>
        <color rgb="FF006100"/>
      </font>
      <fill>
        <patternFill>
          <bgColor rgb="FFC6EFCE"/>
        </patternFill>
      </fill>
    </dxf>
    <dxf>
      <font>
        <b/>
        <i val="0"/>
        <color auto="1"/>
      </font>
      <fill>
        <patternFill>
          <bgColor theme="5" tint="0.39994506668294322"/>
        </patternFill>
      </fill>
    </dxf>
    <dxf>
      <fill>
        <patternFill>
          <bgColor rgb="FF99FFCC"/>
        </patternFill>
      </fill>
    </dxf>
    <dxf>
      <font>
        <b/>
        <i val="0"/>
      </font>
      <fill>
        <patternFill patternType="solid">
          <fgColor indexed="5"/>
          <bgColor indexed="5"/>
        </patternFill>
      </fill>
    </dxf>
    <dxf>
      <font>
        <color auto="1"/>
      </font>
      <fill>
        <patternFill>
          <bgColor rgb="FFCCCCFF"/>
        </patternFill>
      </fill>
    </dxf>
    <dxf>
      <font>
        <color rgb="FF006100"/>
      </font>
      <fill>
        <patternFill>
          <bgColor rgb="FFC6EFCE"/>
        </patternFill>
      </fill>
    </dxf>
    <dxf>
      <font>
        <b/>
        <i val="0"/>
        <color auto="1"/>
      </font>
      <fill>
        <patternFill>
          <bgColor theme="5" tint="0.39994506668294322"/>
        </patternFill>
      </fill>
    </dxf>
    <dxf>
      <fill>
        <patternFill>
          <bgColor rgb="FF99FFCC"/>
        </patternFill>
      </fill>
    </dxf>
    <dxf>
      <font>
        <b/>
        <i val="0"/>
      </font>
      <fill>
        <patternFill patternType="solid">
          <fgColor indexed="5"/>
          <bgColor indexed="5"/>
        </patternFill>
      </fill>
    </dxf>
    <dxf>
      <font>
        <color auto="1"/>
      </font>
      <fill>
        <patternFill>
          <bgColor rgb="FFCCCCFF"/>
        </patternFill>
      </fill>
    </dxf>
    <dxf>
      <font>
        <color auto="1"/>
      </font>
      <fill>
        <patternFill>
          <bgColor rgb="FFCCCCFF"/>
        </patternFill>
      </fill>
    </dxf>
    <dxf>
      <font>
        <color rgb="FF006100"/>
      </font>
      <fill>
        <patternFill>
          <bgColor rgb="FFC6EFCE"/>
        </patternFill>
      </fill>
    </dxf>
    <dxf>
      <font>
        <b/>
        <i val="0"/>
        <color auto="1"/>
      </font>
      <fill>
        <patternFill>
          <bgColor theme="5" tint="0.39994506668294322"/>
        </patternFill>
      </fill>
    </dxf>
    <dxf>
      <font>
        <b/>
        <i val="0"/>
        <color auto="1"/>
      </font>
      <fill>
        <patternFill>
          <bgColor theme="5" tint="0.39994506668294322"/>
        </patternFill>
      </fill>
    </dxf>
    <dxf>
      <font>
        <b/>
        <i val="0"/>
        <color auto="1"/>
      </font>
      <fill>
        <patternFill>
          <bgColor theme="5" tint="0.39994506668294322"/>
        </patternFill>
      </fill>
    </dxf>
    <dxf>
      <font>
        <b/>
        <i val="0"/>
      </font>
      <fill>
        <patternFill patternType="solid">
          <fgColor indexed="5"/>
          <bgColor indexed="5"/>
        </patternFill>
      </fill>
    </dxf>
    <dxf>
      <font>
        <color rgb="FFFF0000"/>
      </font>
    </dxf>
    <dxf>
      <fill>
        <patternFill>
          <bgColor rgb="FFFFFFCC"/>
        </patternFill>
      </fill>
    </dxf>
    <dxf>
      <fill>
        <patternFill>
          <bgColor theme="5" tint="0.39994506668294322"/>
        </patternFill>
      </fill>
    </dxf>
    <dxf>
      <font>
        <color indexed="2"/>
      </font>
    </dxf>
    <dxf>
      <fill>
        <patternFill patternType="solid">
          <fgColor rgb="FFFFCCFF"/>
          <bgColor rgb="FFFFCCFF"/>
        </patternFill>
      </fill>
    </dxf>
    <dxf>
      <fill>
        <patternFill patternType="solid">
          <fgColor rgb="FFAFFFFF"/>
          <bgColor rgb="FFAFFFFF"/>
        </patternFill>
      </fill>
    </dxf>
    <dxf>
      <font>
        <b/>
        <i val="0"/>
      </font>
      <fill>
        <patternFill patternType="solid">
          <fgColor indexed="5"/>
          <bgColor indexed="5"/>
        </patternFill>
      </fill>
    </dxf>
    <dxf>
      <font>
        <b/>
        <i val="0"/>
      </font>
      <fill>
        <patternFill patternType="solid">
          <fgColor indexed="5"/>
          <bgColor indexed="5"/>
        </patternFill>
      </fill>
    </dxf>
    <dxf>
      <fill>
        <patternFill>
          <bgColor rgb="FF99FFCC"/>
        </patternFill>
      </fill>
    </dxf>
    <dxf>
      <fill>
        <patternFill>
          <bgColor theme="5" tint="0.39994506668294322"/>
        </patternFill>
      </fill>
    </dxf>
    <dxf>
      <fill>
        <patternFill>
          <bgColor rgb="FFFFFFCC"/>
        </patternFill>
      </fill>
    </dxf>
    <dxf>
      <font>
        <color rgb="FFFF0000"/>
      </font>
    </dxf>
    <dxf>
      <fill>
        <patternFill>
          <bgColor theme="5" tint="0.39994506668294322"/>
        </patternFill>
      </fill>
    </dxf>
    <dxf>
      <font>
        <b/>
        <i val="0"/>
      </font>
      <fill>
        <patternFill patternType="solid">
          <fgColor indexed="5"/>
          <bgColor indexed="5"/>
        </patternFill>
      </fill>
    </dxf>
    <dxf>
      <fill>
        <patternFill>
          <bgColor rgb="FF99FFCC"/>
        </patternFill>
      </fill>
    </dxf>
    <dxf>
      <font>
        <b/>
        <i val="0"/>
      </font>
      <fill>
        <patternFill patternType="solid">
          <fgColor indexed="5"/>
          <bgColor indexed="5"/>
        </patternFill>
      </fill>
    </dxf>
    <dxf>
      <fill>
        <patternFill>
          <bgColor theme="5" tint="0.39994506668294322"/>
        </patternFill>
      </fill>
    </dxf>
    <dxf>
      <fill>
        <patternFill>
          <bgColor rgb="FFFFFFCC"/>
        </patternFill>
      </fill>
    </dxf>
    <dxf>
      <font>
        <color rgb="FFFF0000"/>
      </font>
    </dxf>
    <dxf>
      <fill>
        <patternFill>
          <bgColor theme="5" tint="0.39994506668294322"/>
        </patternFill>
      </fill>
    </dxf>
    <dxf>
      <font>
        <b/>
        <i val="0"/>
      </font>
      <fill>
        <patternFill patternType="solid">
          <fgColor indexed="5"/>
          <bgColor indexed="5"/>
        </patternFill>
      </fill>
    </dxf>
    <dxf>
      <fill>
        <patternFill>
          <bgColor rgb="FF99FFCC"/>
        </patternFill>
      </fill>
    </dxf>
    <dxf>
      <font>
        <b/>
        <i val="0"/>
      </font>
      <fill>
        <patternFill patternType="solid">
          <fgColor indexed="5"/>
          <bgColor indexed="5"/>
        </patternFill>
      </fill>
    </dxf>
    <dxf>
      <fill>
        <patternFill>
          <bgColor rgb="FF99FFCC"/>
        </patternFill>
      </fill>
    </dxf>
    <dxf>
      <font>
        <b/>
        <i val="0"/>
      </font>
      <fill>
        <patternFill patternType="solid">
          <fgColor rgb="FF7DFFFF"/>
          <bgColor rgb="FF7DFFFF"/>
        </patternFill>
      </fill>
    </dxf>
    <dxf>
      <font>
        <b/>
        <i val="0"/>
      </font>
      <fill>
        <patternFill patternType="solid">
          <fgColor rgb="FF81FFFF"/>
          <bgColor rgb="FF81FFFF"/>
        </patternFill>
      </fill>
    </dxf>
    <dxf>
      <font>
        <b/>
        <i val="0"/>
        <color indexed="2"/>
      </font>
    </dxf>
    <dxf>
      <font>
        <b/>
        <i val="0"/>
        <color indexed="2"/>
      </font>
    </dxf>
    <dxf>
      <font>
        <b/>
        <i val="0"/>
        <color indexed="2"/>
      </font>
    </dxf>
    <dxf>
      <font>
        <b/>
        <i val="0"/>
        <color indexed="2"/>
      </font>
    </dxf>
    <dxf>
      <fill>
        <patternFill patternType="solid">
          <fgColor indexed="43"/>
          <bgColor indexed="43"/>
        </patternFill>
      </fill>
    </dxf>
    <dxf>
      <font>
        <color rgb="FFFF0000"/>
      </font>
    </dxf>
    <dxf>
      <fill>
        <patternFill>
          <bgColor rgb="FFFFFFCC"/>
        </patternFill>
      </fill>
    </dxf>
    <dxf>
      <fill>
        <patternFill>
          <bgColor theme="5" tint="0.39994506668294322"/>
        </patternFill>
      </fill>
    </dxf>
    <dxf>
      <font>
        <color indexed="2"/>
      </font>
    </dxf>
    <dxf>
      <fill>
        <patternFill patternType="solid">
          <fgColor rgb="FFFFCCFF"/>
          <bgColor rgb="FFFFCCFF"/>
        </patternFill>
      </fill>
    </dxf>
    <dxf>
      <fill>
        <patternFill patternType="solid">
          <fgColor rgb="FFAFFFFF"/>
          <bgColor rgb="FFAFFFFF"/>
        </patternFill>
      </fill>
    </dxf>
    <dxf>
      <fill>
        <patternFill>
          <bgColor theme="5" tint="0.39994506668294322"/>
        </patternFill>
      </fill>
    </dxf>
    <dxf>
      <fill>
        <patternFill>
          <bgColor rgb="FFFFFFCC"/>
        </patternFill>
      </fill>
    </dxf>
    <dxf>
      <font>
        <color rgb="FFFF0000"/>
      </font>
    </dxf>
    <dxf>
      <fill>
        <patternFill>
          <bgColor theme="5" tint="0.39994506668294322"/>
        </patternFill>
      </fill>
    </dxf>
    <dxf>
      <font>
        <b/>
        <i val="0"/>
      </font>
      <fill>
        <patternFill patternType="solid">
          <fgColor rgb="FF81FFFF"/>
          <bgColor rgb="FF81FFFF"/>
        </patternFill>
      </fill>
    </dxf>
    <dxf>
      <font>
        <b/>
        <i val="0"/>
      </font>
      <fill>
        <patternFill patternType="solid">
          <fgColor rgb="FF7DFFFF"/>
          <bgColor rgb="FF7DFFFF"/>
        </patternFill>
      </fill>
    </dxf>
    <dxf>
      <font>
        <b/>
        <i val="0"/>
        <color indexed="2"/>
      </font>
    </dxf>
    <dxf>
      <font>
        <b/>
        <i val="0"/>
        <color indexed="2"/>
      </font>
    </dxf>
    <dxf>
      <font>
        <b/>
        <i val="0"/>
        <color indexed="2"/>
      </font>
    </dxf>
    <dxf>
      <font>
        <b/>
        <i val="0"/>
        <color indexed="2"/>
      </font>
    </dxf>
    <dxf>
      <fill>
        <patternFill patternType="solid">
          <fgColor indexed="43"/>
          <bgColor indexed="43"/>
        </patternFill>
      </fill>
    </dxf>
    <dxf>
      <font>
        <b/>
        <i val="0"/>
      </font>
      <fill>
        <patternFill patternType="solid">
          <fgColor indexed="5"/>
          <bgColor indexed="5"/>
        </patternFill>
      </fill>
    </dxf>
    <dxf>
      <font>
        <b/>
        <i val="0"/>
      </font>
      <fill>
        <patternFill patternType="solid">
          <fgColor indexed="5"/>
          <bgColor indexed="5"/>
        </patternFill>
      </fill>
    </dxf>
    <dxf>
      <font>
        <color indexed="2"/>
      </font>
    </dxf>
    <dxf>
      <fill>
        <patternFill patternType="solid">
          <fgColor rgb="FFFFCCFF"/>
          <bgColor rgb="FFFFCCFF"/>
        </patternFill>
      </fill>
    </dxf>
    <dxf>
      <fill>
        <patternFill patternType="solid">
          <fgColor rgb="FFAFFFFF"/>
          <bgColor rgb="FFAFFFFF"/>
        </patternFill>
      </fill>
    </dxf>
    <dxf>
      <font>
        <b/>
        <i val="0"/>
        <color indexed="2"/>
      </font>
    </dxf>
    <dxf>
      <fill>
        <patternFill patternType="solid">
          <fgColor indexed="43"/>
          <bgColor indexed="43"/>
        </patternFill>
      </fill>
    </dxf>
    <dxf>
      <font>
        <color indexed="2"/>
      </font>
    </dxf>
    <dxf>
      <font>
        <color indexed="2"/>
      </font>
    </dxf>
    <dxf>
      <fill>
        <patternFill patternType="solid">
          <fgColor rgb="FFFFCCFF"/>
          <bgColor rgb="FFFFCCFF"/>
        </patternFill>
      </fill>
    </dxf>
    <dxf>
      <fill>
        <patternFill patternType="solid">
          <fgColor rgb="FFAFFFFF"/>
          <bgColor rgb="FFAFFFFF"/>
        </patternFill>
      </fill>
    </dxf>
    <dxf>
      <font>
        <b/>
        <i val="0"/>
        <color indexed="2"/>
      </font>
    </dxf>
    <dxf>
      <fill>
        <patternFill patternType="solid">
          <fgColor indexed="43"/>
          <bgColor indexed="43"/>
        </patternFill>
      </fill>
    </dxf>
    <dxf>
      <font>
        <color indexed="2"/>
      </font>
    </dxf>
    <dxf>
      <font>
        <b/>
        <i val="0"/>
      </font>
      <fill>
        <patternFill patternType="solid">
          <fgColor rgb="FF81FFFF"/>
          <bgColor rgb="FF81FFFF"/>
        </patternFill>
      </fill>
    </dxf>
    <dxf>
      <font>
        <b/>
        <i val="0"/>
      </font>
      <fill>
        <patternFill patternType="solid">
          <fgColor rgb="FF7DFFFF"/>
          <bgColor rgb="FF7DFFFF"/>
        </patternFill>
      </fill>
    </dxf>
    <dxf>
      <font>
        <color indexed="2"/>
      </font>
    </dxf>
    <dxf>
      <fill>
        <patternFill patternType="solid">
          <fgColor rgb="FFFFCCFF"/>
          <bgColor rgb="FFFFCCFF"/>
        </patternFill>
      </fill>
    </dxf>
    <dxf>
      <fill>
        <patternFill patternType="solid">
          <fgColor rgb="FFAFFFFF"/>
          <bgColor rgb="FFAFFFFF"/>
        </patternFill>
      </fill>
    </dxf>
    <dxf>
      <font>
        <b/>
        <i val="0"/>
        <color indexed="2"/>
      </font>
    </dxf>
    <dxf>
      <font>
        <b/>
        <i val="0"/>
        <color indexed="2"/>
      </font>
    </dxf>
    <dxf>
      <fill>
        <patternFill patternType="solid">
          <fgColor indexed="43"/>
          <bgColor indexed="43"/>
        </patternFill>
      </fill>
    </dxf>
    <dxf>
      <font>
        <color indexed="2"/>
      </font>
    </dxf>
    <dxf>
      <fill>
        <patternFill patternType="solid">
          <fgColor rgb="FFFFCCFF"/>
          <bgColor rgb="FFFFCCFF"/>
        </patternFill>
      </fill>
    </dxf>
    <dxf>
      <fill>
        <patternFill patternType="solid">
          <fgColor rgb="FFAFFFFF"/>
          <bgColor rgb="FFAFFFFF"/>
        </patternFill>
      </fill>
    </dxf>
    <dxf>
      <font>
        <color indexed="2"/>
      </font>
    </dxf>
    <dxf>
      <fill>
        <patternFill patternType="solid">
          <fgColor rgb="FFFFCCFF"/>
          <bgColor rgb="FFFFCCFF"/>
        </patternFill>
      </fill>
    </dxf>
    <dxf>
      <fill>
        <patternFill patternType="solid">
          <fgColor rgb="FFAFFFFF"/>
          <bgColor rgb="FFAFFFFF"/>
        </patternFill>
      </fill>
    </dxf>
    <dxf>
      <font>
        <b/>
        <i val="0"/>
        <color indexed="2"/>
      </font>
    </dxf>
    <dxf>
      <fill>
        <patternFill patternType="solid">
          <fgColor indexed="43"/>
          <bgColor indexed="43"/>
        </patternFill>
      </fill>
    </dxf>
    <dxf>
      <font>
        <color indexed="2"/>
      </font>
    </dxf>
    <dxf>
      <fill>
        <patternFill>
          <bgColor rgb="FFFFFF00"/>
        </patternFill>
      </fill>
    </dxf>
    <dxf>
      <fill>
        <patternFill>
          <bgColor rgb="FFFFFF00"/>
        </patternFill>
      </fill>
    </dxf>
    <dxf>
      <fill>
        <patternFill>
          <bgColor rgb="FFFFC000"/>
        </patternFill>
      </fill>
    </dxf>
    <dxf>
      <font>
        <b/>
        <i val="0"/>
      </font>
      <fill>
        <patternFill patternType="solid">
          <fgColor rgb="FF81FFFF"/>
          <bgColor rgb="FF81FFFF"/>
        </patternFill>
      </fill>
    </dxf>
    <dxf>
      <font>
        <b/>
        <i val="0"/>
      </font>
      <fill>
        <patternFill patternType="solid">
          <fgColor rgb="FF7DFFFF"/>
          <bgColor rgb="FF7DFFFF"/>
        </patternFill>
      </fill>
    </dxf>
    <dxf>
      <font>
        <color indexed="2"/>
      </font>
    </dxf>
    <dxf>
      <fill>
        <patternFill patternType="solid">
          <fgColor rgb="FFFFCCFF"/>
          <bgColor rgb="FFFFCCFF"/>
        </patternFill>
      </fill>
    </dxf>
    <dxf>
      <fill>
        <patternFill patternType="solid">
          <fgColor rgb="FFAFFFFF"/>
          <bgColor rgb="FFAFFFFF"/>
        </patternFill>
      </fill>
    </dxf>
    <dxf>
      <font>
        <b/>
        <i val="0"/>
        <color indexed="2"/>
      </font>
    </dxf>
    <dxf>
      <fill>
        <patternFill patternType="solid">
          <fgColor indexed="43"/>
          <bgColor indexed="43"/>
        </patternFill>
      </fill>
    </dxf>
    <dxf>
      <font>
        <color indexed="2"/>
      </font>
    </dxf>
    <dxf>
      <font>
        <color indexed="2"/>
      </font>
    </dxf>
    <dxf>
      <fill>
        <patternFill patternType="solid">
          <fgColor rgb="FFFFCCFF"/>
          <bgColor rgb="FFFFCCFF"/>
        </patternFill>
      </fill>
    </dxf>
    <dxf>
      <fill>
        <patternFill patternType="solid">
          <fgColor rgb="FFAFFFFF"/>
          <bgColor rgb="FFAFFFFF"/>
        </patternFill>
      </fill>
    </dxf>
    <dxf>
      <font>
        <b/>
        <i val="0"/>
        <color indexed="2"/>
      </font>
    </dxf>
    <dxf>
      <fill>
        <patternFill patternType="solid">
          <fgColor indexed="43"/>
          <bgColor indexed="43"/>
        </patternFill>
      </fill>
    </dxf>
    <dxf>
      <font>
        <color indexed="2"/>
      </font>
    </dxf>
    <dxf>
      <font>
        <color indexed="2"/>
      </font>
    </dxf>
    <dxf>
      <fill>
        <patternFill patternType="solid">
          <fgColor rgb="FFFFCCFF"/>
          <bgColor rgb="FFFFCCFF"/>
        </patternFill>
      </fill>
    </dxf>
    <dxf>
      <fill>
        <patternFill patternType="solid">
          <fgColor rgb="FFAFFFFF"/>
          <bgColor rgb="FFAFFFFF"/>
        </patternFill>
      </fill>
    </dxf>
    <dxf>
      <font>
        <b/>
        <i val="0"/>
        <color indexed="2"/>
      </font>
    </dxf>
    <dxf>
      <font>
        <color indexed="2"/>
      </font>
    </dxf>
    <dxf>
      <fill>
        <patternFill patternType="solid">
          <fgColor rgb="FFFFCCFF"/>
          <bgColor rgb="FFFFCCFF"/>
        </patternFill>
      </fill>
    </dxf>
    <dxf>
      <fill>
        <patternFill patternType="solid">
          <fgColor rgb="FFAFFFFF"/>
          <bgColor rgb="FFAFFFFF"/>
        </patternFill>
      </fill>
    </dxf>
    <dxf>
      <font>
        <b/>
        <i val="0"/>
        <color indexed="2"/>
      </font>
    </dxf>
    <dxf>
      <fill>
        <patternFill patternType="solid">
          <fgColor indexed="43"/>
          <bgColor indexed="43"/>
        </patternFill>
      </fill>
    </dxf>
    <dxf>
      <font>
        <color indexed="2"/>
      </font>
    </dxf>
    <dxf>
      <font>
        <b/>
        <i val="0"/>
      </font>
      <fill>
        <patternFill patternType="solid">
          <fgColor rgb="FF81FFFF"/>
          <bgColor rgb="FF81FFFF"/>
        </patternFill>
      </fill>
    </dxf>
    <dxf>
      <font>
        <b/>
        <i val="0"/>
      </font>
      <fill>
        <patternFill patternType="solid">
          <fgColor rgb="FF7DFFFF"/>
          <bgColor rgb="FF7DFFFF"/>
        </patternFill>
      </fill>
    </dxf>
  </dxfs>
  <tableStyles count="0" defaultTableStyle="TableStyleMedium2" defaultPivotStyle="PivotStyleLight16"/>
  <colors>
    <mruColors>
      <color rgb="FFFFCCFF"/>
      <color rgb="FFFFF2CD"/>
      <color rgb="FFFF66FF"/>
      <color rgb="FFBA81C9"/>
      <color rgb="FFFF99FF"/>
      <color rgb="FFABFFFF"/>
      <color rgb="FFEDBDEB"/>
      <color rgb="FFCCCCFF"/>
      <color rgb="FFCCFFFF"/>
      <color rgb="FFE6A4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styles" Target="styles.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theme" Target="theme/theme1.xml" /><Relationship Id="rId2" Type="http://schemas.openxmlformats.org/officeDocument/2006/relationships/worksheet" Target="worksheets/sheet2.xml" /><Relationship Id="rId16" Type="http://schemas.openxmlformats.org/officeDocument/2006/relationships/externalLink" Target="externalLinks/externalLink3.xml" /><Relationship Id="rId20" Type="http://schemas.openxmlformats.org/officeDocument/2006/relationships/calcChain" Target="calcChain.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externalLink" Target="externalLinks/externalLink2.xml" /><Relationship Id="rId10" Type="http://schemas.openxmlformats.org/officeDocument/2006/relationships/worksheet" Target="worksheets/sheet10.xml" /><Relationship Id="rId19" Type="http://schemas.openxmlformats.org/officeDocument/2006/relationships/sharedStrings" Target="sharedStrings.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externalLink" Target="externalLinks/externalLink1.xml" /></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006_Alicante/2005_Transportes/6_GRAFICOS_COLECTIVOS/2024/MAQ%20DENIA/control%20turnos%20makis%20Denia%20v13.0%20abril.xlsx" TargetMode="External" /></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006_Alicante/2005_Transportes/6_GRAFICOS_COLECTIVOS/2024/L5/control%20de%20turnos%20maq%20L5%20v.13.3.xlsx" TargetMode="External" /></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006_Alicante/2005_Transportes/6_GRAFICOS_COLECTIVOS/2024/USIS/USI%20BENIDORM/control%20de%20turnos%20Usi_B%20v.13.0.xlsx" TargetMode="External"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DESDE GSEMANAL"/>
      <sheetName val="COMP. DESDE ANUARIO"/>
      <sheetName val="1-Importacion"/>
      <sheetName val="2-Pasar_abajo"/>
      <sheetName val="3-Gsemanal_previo"/>
      <sheetName val="4-GSEMANAL"/>
      <sheetName val="Gsemanal_dif_horas"/>
      <sheetName val="CAMBIOS"/>
      <sheetName val="TURNOS"/>
      <sheetName val="Variables"/>
    </sheetNames>
    <sheetDataSet>
      <sheetData sheetId="0"/>
      <sheetData sheetId="1"/>
      <sheetData sheetId="2"/>
      <sheetData sheetId="3"/>
      <sheetData sheetId="4"/>
      <sheetData sheetId="5"/>
      <sheetData sheetId="6"/>
      <sheetData sheetId="7"/>
      <sheetData sheetId="8"/>
      <sheetData sheetId="9">
        <row r="3">
          <cell r="B3" t="str">
            <v>TR</v>
          </cell>
        </row>
        <row r="5">
          <cell r="B5" t="str">
            <v>DE</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DESDE EL GSEMANAL"/>
      <sheetName val="COMP. DESDE ANUARIO"/>
      <sheetName val="1-Importacion"/>
      <sheetName val="2-Pasar_abajo"/>
      <sheetName val="3-Gsemanal_previo"/>
      <sheetName val="4-GSEMANAL"/>
      <sheetName val="CAMBIOS"/>
      <sheetName val="TURNOS"/>
      <sheetName val="Anuario"/>
      <sheetName val="Variables"/>
    </sheetNames>
    <sheetDataSet>
      <sheetData sheetId="0"/>
      <sheetData sheetId="1"/>
      <sheetData sheetId="2"/>
      <sheetData sheetId="3"/>
      <sheetData sheetId="4"/>
      <sheetData sheetId="5"/>
      <sheetData sheetId="6"/>
      <sheetData sheetId="7"/>
      <sheetData sheetId="8"/>
      <sheetData sheetId="9">
        <row r="3">
          <cell r="C3" t="str">
            <v>L</v>
          </cell>
        </row>
        <row r="4">
          <cell r="C4" t="str">
            <v>NL</v>
          </cell>
        </row>
        <row r="5">
          <cell r="C5" t="str">
            <v>F</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COMP. DESDE EL GSEMANAL"/>
      <sheetName val="COMP.DESDE ANUARIO"/>
      <sheetName val="1-Importacion"/>
      <sheetName val="2-Pasar_abajo"/>
      <sheetName val="3-Gsemanal_previo"/>
      <sheetName val="4-GSEMANAL"/>
      <sheetName val="ROTACION"/>
      <sheetName val="CAMBIOS"/>
      <sheetName val="TURNOS"/>
      <sheetName val="Vari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4">
          <cell r="G4">
            <v>0.29166666666666669</v>
          </cell>
        </row>
      </sheetData>
      <sheetData sheetId="9">
        <row r="5">
          <cell r="B5" t="str">
            <v>NO</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 /></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 /></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 /></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 /></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 /></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 /></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 /></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 /></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 /></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 /></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13"/>
  <sheetViews>
    <sheetView workbookViewId="0">
      <selection activeCell="C9" sqref="C9"/>
    </sheetView>
  </sheetViews>
  <sheetFormatPr defaultColWidth="11.43359375" defaultRowHeight="15" x14ac:dyDescent="0.2"/>
  <cols>
    <col min="1" max="1" width="6.9921875" customWidth="1"/>
    <col min="2" max="2" width="23.5390625" customWidth="1"/>
    <col min="3" max="3" width="20.58203125" customWidth="1"/>
    <col min="8" max="12" width="11.43359375" hidden="1" customWidth="1"/>
  </cols>
  <sheetData>
    <row r="2" spans="2:12" ht="15.75" x14ac:dyDescent="0.2">
      <c r="B2" s="1"/>
      <c r="C2" s="2"/>
      <c r="D2" s="3"/>
      <c r="H2" s="4">
        <v>1</v>
      </c>
      <c r="I2" s="4" t="s">
        <v>0</v>
      </c>
      <c r="J2" s="5"/>
      <c r="K2" s="4">
        <v>1</v>
      </c>
      <c r="L2" s="6" t="s">
        <v>1</v>
      </c>
    </row>
    <row r="3" spans="2:12" ht="30.6" customHeight="1" x14ac:dyDescent="0.2">
      <c r="B3" s="7" t="s">
        <v>2</v>
      </c>
      <c r="C3" s="8">
        <v>45908</v>
      </c>
      <c r="D3" s="9"/>
      <c r="H3" s="4">
        <v>2</v>
      </c>
      <c r="I3" s="4" t="s">
        <v>3</v>
      </c>
      <c r="J3" s="5"/>
      <c r="K3" s="4">
        <v>2</v>
      </c>
      <c r="L3" s="6" t="s">
        <v>4</v>
      </c>
    </row>
    <row r="4" spans="2:12" ht="15.75" x14ac:dyDescent="0.2">
      <c r="B4" s="10"/>
      <c r="C4" s="11"/>
      <c r="D4" s="12"/>
      <c r="H4" s="4">
        <v>3</v>
      </c>
      <c r="I4" s="4" t="s">
        <v>5</v>
      </c>
      <c r="J4" s="5"/>
      <c r="K4" s="4">
        <v>3</v>
      </c>
      <c r="L4" s="6" t="s">
        <v>6</v>
      </c>
    </row>
    <row r="5" spans="2:12" ht="15.75" x14ac:dyDescent="0.2">
      <c r="H5" s="4">
        <v>4</v>
      </c>
      <c r="I5" s="4" t="s">
        <v>7</v>
      </c>
      <c r="J5" s="5"/>
      <c r="K5" s="4">
        <v>4</v>
      </c>
      <c r="L5" s="6" t="s">
        <v>8</v>
      </c>
    </row>
    <row r="6" spans="2:12" ht="15.75" x14ac:dyDescent="0.2">
      <c r="H6" s="4">
        <v>5</v>
      </c>
      <c r="I6" s="4" t="s">
        <v>9</v>
      </c>
      <c r="J6" s="5"/>
      <c r="K6" s="4">
        <v>5</v>
      </c>
      <c r="L6" s="6" t="s">
        <v>10</v>
      </c>
    </row>
    <row r="7" spans="2:12" ht="15.75" x14ac:dyDescent="0.2">
      <c r="B7" s="13"/>
      <c r="C7" s="14"/>
      <c r="D7" s="15"/>
      <c r="H7" s="4">
        <v>6</v>
      </c>
      <c r="I7" s="4" t="s">
        <v>11</v>
      </c>
      <c r="J7" s="5"/>
      <c r="K7" s="4">
        <v>6</v>
      </c>
      <c r="L7" s="6" t="s">
        <v>12</v>
      </c>
    </row>
    <row r="8" spans="2:12" ht="30" thickBot="1" x14ac:dyDescent="0.25">
      <c r="B8" s="16" t="s">
        <v>13</v>
      </c>
      <c r="C8" s="8">
        <v>45905</v>
      </c>
      <c r="D8" s="17"/>
      <c r="H8" s="4">
        <v>7</v>
      </c>
      <c r="I8" s="4" t="s">
        <v>14</v>
      </c>
      <c r="J8" s="5"/>
      <c r="K8" s="4">
        <v>7</v>
      </c>
      <c r="L8" s="6" t="s">
        <v>15</v>
      </c>
    </row>
    <row r="9" spans="2:12" ht="15.75" x14ac:dyDescent="0.2">
      <c r="B9" s="18"/>
      <c r="C9" s="19"/>
      <c r="D9" s="20"/>
      <c r="H9" s="4">
        <v>8</v>
      </c>
      <c r="I9" s="4" t="s">
        <v>16</v>
      </c>
      <c r="J9" s="5"/>
      <c r="K9" s="4">
        <v>8</v>
      </c>
      <c r="L9" s="6" t="s">
        <v>17</v>
      </c>
    </row>
    <row r="10" spans="2:12" ht="15.75" x14ac:dyDescent="0.2">
      <c r="H10" s="4">
        <v>9</v>
      </c>
      <c r="I10" s="4" t="s">
        <v>18</v>
      </c>
      <c r="J10" s="5"/>
      <c r="K10" s="4">
        <v>9</v>
      </c>
      <c r="L10" s="6" t="s">
        <v>19</v>
      </c>
    </row>
    <row r="11" spans="2:12" ht="15.75" x14ac:dyDescent="0.2">
      <c r="H11" s="4">
        <v>10</v>
      </c>
      <c r="I11" s="4" t="s">
        <v>20</v>
      </c>
      <c r="J11" s="5"/>
      <c r="K11" s="4">
        <v>10</v>
      </c>
      <c r="L11" s="6" t="s">
        <v>21</v>
      </c>
    </row>
    <row r="12" spans="2:12" ht="15.75" x14ac:dyDescent="0.2">
      <c r="H12" s="4">
        <v>11</v>
      </c>
      <c r="I12" s="4" t="s">
        <v>22</v>
      </c>
      <c r="J12" s="5"/>
      <c r="K12" s="4">
        <v>11</v>
      </c>
      <c r="L12" s="6" t="s">
        <v>23</v>
      </c>
    </row>
    <row r="13" spans="2:12" ht="15.75" x14ac:dyDescent="0.2">
      <c r="H13" s="4">
        <v>12</v>
      </c>
      <c r="I13" s="4" t="s">
        <v>24</v>
      </c>
      <c r="J13" s="5"/>
      <c r="K13" s="4">
        <v>12</v>
      </c>
      <c r="L13" s="6" t="s">
        <v>25</v>
      </c>
    </row>
  </sheetData>
  <dataValidations count="1">
    <dataValidation type="custom" allowBlank="1" showInputMessage="1" showErrorMessage="1" errorTitle="ERROR EN LA FECHA" error="El día que has puesto no es un LUNES" sqref="C3" xr:uid="{00000000-0002-0000-0000-000000000000}">
      <formula1>WEEKDAY(C3,2)=1</formula1>
    </dataValidation>
  </dataValidations>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D418"/>
  <sheetViews>
    <sheetView showZeros="0" tabSelected="1" topLeftCell="F312" zoomScaleNormal="100" zoomScaleSheetLayoutView="70" workbookViewId="0">
      <selection activeCell="I342" sqref="I342"/>
    </sheetView>
  </sheetViews>
  <sheetFormatPr defaultColWidth="11.43359375" defaultRowHeight="15" x14ac:dyDescent="0.2"/>
  <cols>
    <col min="1" max="1" width="10.35546875" style="135" customWidth="1"/>
    <col min="2" max="2" width="0.53515625" style="135" hidden="1" customWidth="1"/>
    <col min="3" max="3" width="57.9765625" style="135" customWidth="1"/>
    <col min="4" max="10" width="9.55078125" style="135" customWidth="1"/>
    <col min="11" max="11" width="22.1953125" style="135" customWidth="1"/>
    <col min="12" max="14" width="8.609375" style="135" customWidth="1"/>
    <col min="15" max="15" width="7.3984375" style="135" customWidth="1"/>
    <col min="16" max="16" width="11.43359375" style="135" customWidth="1"/>
    <col min="17" max="17" width="5.109375" style="135" customWidth="1"/>
    <col min="18" max="18" width="11.43359375" style="135"/>
    <col min="19" max="19" width="12.375" style="135" bestFit="1" customWidth="1"/>
    <col min="20" max="21" width="8.609375" style="135" customWidth="1"/>
    <col min="22" max="22" width="8.47265625" style="135" customWidth="1"/>
    <col min="23" max="23" width="11.02734375" style="135" customWidth="1"/>
    <col min="24" max="16384" width="11.43359375" style="135"/>
  </cols>
  <sheetData>
    <row r="1" spans="1:11" hidden="1" x14ac:dyDescent="0.2">
      <c r="A1" s="132"/>
      <c r="B1" s="132"/>
      <c r="C1" s="133"/>
      <c r="D1" s="134"/>
      <c r="E1" s="134"/>
      <c r="F1" s="134"/>
      <c r="G1" s="134"/>
      <c r="H1" s="134"/>
      <c r="I1" s="134"/>
      <c r="J1" s="134"/>
    </row>
    <row r="2" spans="1:11" hidden="1" x14ac:dyDescent="0.2">
      <c r="A2" s="132"/>
      <c r="B2" s="132"/>
      <c r="C2" s="133"/>
      <c r="D2" s="134"/>
      <c r="E2" s="134"/>
      <c r="F2" s="134"/>
      <c r="G2" s="134"/>
      <c r="H2" s="134"/>
      <c r="I2" s="134"/>
      <c r="J2" s="134"/>
    </row>
    <row r="3" spans="1:11" hidden="1" x14ac:dyDescent="0.2">
      <c r="A3" s="132"/>
      <c r="B3" s="132"/>
      <c r="C3" s="133"/>
      <c r="D3" s="134"/>
      <c r="E3" s="134"/>
      <c r="F3" s="134"/>
      <c r="G3" s="134"/>
      <c r="H3" s="134"/>
      <c r="I3" s="134"/>
      <c r="J3" s="134"/>
    </row>
    <row r="4" spans="1:11" ht="10.5" customHeight="1" x14ac:dyDescent="0.2">
      <c r="A4" s="136"/>
      <c r="B4" s="136"/>
      <c r="C4" s="133"/>
      <c r="D4" s="134"/>
      <c r="E4" s="134"/>
      <c r="F4" s="134"/>
      <c r="G4" s="134"/>
      <c r="H4" s="134"/>
      <c r="I4" s="134"/>
      <c r="J4" s="134"/>
    </row>
    <row r="5" spans="1:11" ht="24" customHeight="1" x14ac:dyDescent="0.2">
      <c r="A5" s="665" t="s">
        <v>112</v>
      </c>
      <c r="B5" s="665"/>
      <c r="C5" s="666"/>
      <c r="D5" s="667" t="str">
        <f>IF(MONTH(D8)=MONTH(J8),"Semana del dia "&amp;DAY(FECHA!$C$3)&amp;" "&amp;"al "&amp;DAY(FECHA!$C$3+6)&amp;" de "&amp;VLOOKUP(MONTH(FECHA!$C$3),FECHA!$H$2:$I$13,2)&amp;" "&amp;YEAR(J8),"Semana del dia "&amp;DAY(FECHA!$C$3)&amp;" "&amp;VLOOKUP(MONTH(FECHA!$C$3),FECHA!$H$2:$I$13,2)&amp;" "&amp;"al "&amp;DAY(FECHA!$C$3+6)&amp;" de "&amp;VLOOKUP(MONTH(J8),FECHA!$H$2:$I$13,2)&amp;" "&amp;YEAR(J8))</f>
        <v>Semana del dia 8 al 14 de Sep 2025</v>
      </c>
      <c r="E5" s="668"/>
      <c r="F5" s="668"/>
      <c r="G5" s="668"/>
      <c r="H5" s="668"/>
      <c r="I5" s="668"/>
      <c r="J5" s="669"/>
      <c r="K5" s="434"/>
    </row>
    <row r="6" spans="1:11" ht="24" customHeight="1" thickBot="1" x14ac:dyDescent="0.25">
      <c r="A6" s="132"/>
      <c r="B6" s="132"/>
      <c r="C6" s="133"/>
      <c r="D6" s="134"/>
      <c r="E6" s="134"/>
      <c r="F6" s="134"/>
      <c r="G6" s="134"/>
      <c r="H6" s="134"/>
      <c r="I6" s="134"/>
      <c r="J6" s="134"/>
    </row>
    <row r="7" spans="1:11" ht="14.45" customHeight="1" thickTop="1" x14ac:dyDescent="0.2">
      <c r="A7" s="137"/>
      <c r="B7" s="137"/>
      <c r="C7" s="138"/>
      <c r="D7" s="139" t="s">
        <v>26</v>
      </c>
      <c r="E7" s="139" t="s">
        <v>27</v>
      </c>
      <c r="F7" s="139" t="s">
        <v>28</v>
      </c>
      <c r="G7" s="139" t="s">
        <v>115</v>
      </c>
      <c r="H7" s="139" t="s">
        <v>30</v>
      </c>
      <c r="I7" s="139" t="s">
        <v>116</v>
      </c>
      <c r="J7" s="140" t="s">
        <v>32</v>
      </c>
    </row>
    <row r="8" spans="1:11" ht="14.45" customHeight="1" thickBot="1" x14ac:dyDescent="0.25">
      <c r="A8" s="141" t="s">
        <v>35</v>
      </c>
      <c r="B8" s="142"/>
      <c r="C8" s="143" t="s">
        <v>33</v>
      </c>
      <c r="D8" s="144">
        <f>DATE(YEAR(FECHA!$C$3),MONTH(FECHA!$C$3),DAY(FECHA!$C$3))</f>
        <v>45908</v>
      </c>
      <c r="E8" s="144">
        <f>D8+1</f>
        <v>45909</v>
      </c>
      <c r="F8" s="144">
        <f t="shared" ref="F8:J8" si="0">E8+1</f>
        <v>45910</v>
      </c>
      <c r="G8" s="144">
        <f t="shared" si="0"/>
        <v>45911</v>
      </c>
      <c r="H8" s="144">
        <f t="shared" si="0"/>
        <v>45912</v>
      </c>
      <c r="I8" s="144">
        <f t="shared" si="0"/>
        <v>45913</v>
      </c>
      <c r="J8" s="144">
        <f t="shared" si="0"/>
        <v>45914</v>
      </c>
    </row>
    <row r="9" spans="1:11" ht="14.45" hidden="1" customHeight="1" x14ac:dyDescent="0.2">
      <c r="A9" s="145"/>
      <c r="B9" s="145"/>
      <c r="C9" s="146"/>
      <c r="D9" s="147"/>
      <c r="E9" s="147"/>
      <c r="F9" s="147"/>
      <c r="G9" s="147"/>
      <c r="H9" s="147"/>
      <c r="I9" s="147"/>
      <c r="J9" s="147"/>
    </row>
    <row r="10" spans="1:11" ht="14.45" hidden="1" customHeight="1" x14ac:dyDescent="0.2">
      <c r="A10" s="145"/>
      <c r="B10" s="145"/>
      <c r="C10" s="146"/>
      <c r="D10" s="147"/>
      <c r="E10" s="147"/>
      <c r="F10" s="147"/>
      <c r="G10" s="147"/>
      <c r="H10" s="147"/>
      <c r="I10" s="147"/>
      <c r="J10" s="147"/>
    </row>
    <row r="11" spans="1:11" ht="14.45" hidden="1" customHeight="1" x14ac:dyDescent="0.2">
      <c r="A11" s="145"/>
      <c r="B11" s="145"/>
      <c r="C11" s="146"/>
      <c r="D11" s="147"/>
      <c r="E11" s="147"/>
      <c r="F11" s="147"/>
      <c r="G11" s="147"/>
      <c r="H11" s="147"/>
      <c r="I11" s="147"/>
      <c r="J11" s="147"/>
    </row>
    <row r="12" spans="1:11" ht="14.45" hidden="1" customHeight="1" x14ac:dyDescent="0.2">
      <c r="A12" s="145"/>
      <c r="B12" s="145"/>
      <c r="C12" s="146"/>
      <c r="D12" s="147"/>
      <c r="E12" s="147"/>
      <c r="F12" s="147"/>
      <c r="G12" s="147"/>
      <c r="H12" s="147"/>
      <c r="I12" s="147"/>
      <c r="J12" s="147"/>
    </row>
    <row r="13" spans="1:11" ht="14.45" hidden="1" customHeight="1" x14ac:dyDescent="0.2">
      <c r="A13" s="145"/>
      <c r="B13" s="145"/>
      <c r="C13" s="146"/>
      <c r="D13" s="147"/>
      <c r="E13" s="147"/>
      <c r="F13" s="147"/>
      <c r="G13" s="147"/>
      <c r="H13" s="147"/>
      <c r="I13" s="147"/>
      <c r="J13" s="147"/>
    </row>
    <row r="14" spans="1:11" ht="14.45" hidden="1" customHeight="1" x14ac:dyDescent="0.2">
      <c r="A14" s="145"/>
      <c r="B14" s="145"/>
      <c r="C14" s="146"/>
      <c r="D14" s="147"/>
      <c r="E14" s="147"/>
      <c r="F14" s="147"/>
      <c r="G14" s="147"/>
      <c r="H14" s="147"/>
      <c r="I14" s="147"/>
      <c r="J14" s="147"/>
    </row>
    <row r="15" spans="1:11" ht="14.45" hidden="1" customHeight="1" x14ac:dyDescent="0.2">
      <c r="A15" s="145"/>
      <c r="B15" s="145"/>
      <c r="C15" s="146"/>
      <c r="D15" s="147"/>
      <c r="E15" s="147"/>
      <c r="F15" s="147"/>
      <c r="G15" s="147"/>
      <c r="H15" s="147"/>
      <c r="I15" s="147"/>
      <c r="J15" s="147"/>
    </row>
    <row r="16" spans="1:11" ht="14.45" hidden="1" customHeight="1" x14ac:dyDescent="0.2">
      <c r="A16" s="145"/>
      <c r="B16" s="145"/>
      <c r="C16" s="146"/>
      <c r="D16" s="147"/>
      <c r="E16" s="147"/>
      <c r="F16" s="147"/>
      <c r="G16" s="147"/>
      <c r="H16" s="147"/>
      <c r="I16" s="147"/>
      <c r="J16" s="147"/>
    </row>
    <row r="17" spans="1:11" ht="14.45" hidden="1" customHeight="1" x14ac:dyDescent="0.2">
      <c r="A17" s="145"/>
      <c r="B17" s="145"/>
      <c r="C17" s="146"/>
      <c r="D17" s="147"/>
      <c r="E17" s="147"/>
      <c r="F17" s="147"/>
      <c r="G17" s="147"/>
      <c r="H17" s="147"/>
      <c r="I17" s="147"/>
      <c r="J17" s="147"/>
      <c r="K17" s="148"/>
    </row>
    <row r="18" spans="1:11" ht="14.45" hidden="1" customHeight="1" x14ac:dyDescent="0.2">
      <c r="A18" s="145"/>
      <c r="B18" s="145"/>
      <c r="C18" s="146"/>
      <c r="D18" s="147"/>
      <c r="E18" s="147"/>
      <c r="F18" s="147"/>
      <c r="G18" s="147"/>
      <c r="H18" s="147"/>
      <c r="I18" s="147"/>
      <c r="J18" s="147"/>
      <c r="K18" s="148"/>
    </row>
    <row r="19" spans="1:11" ht="14.45" hidden="1" customHeight="1" x14ac:dyDescent="0.2">
      <c r="A19" s="145"/>
      <c r="B19" s="145"/>
      <c r="C19" s="146"/>
      <c r="D19" s="147"/>
      <c r="E19" s="147"/>
      <c r="F19" s="147"/>
      <c r="G19" s="147"/>
      <c r="H19" s="147"/>
      <c r="I19" s="147"/>
      <c r="J19" s="147"/>
      <c r="K19" s="148"/>
    </row>
    <row r="20" spans="1:11" ht="14.45" hidden="1" customHeight="1" x14ac:dyDescent="0.2">
      <c r="A20" s="145"/>
      <c r="B20" s="145"/>
      <c r="C20" s="146"/>
      <c r="D20" s="147"/>
      <c r="E20" s="147"/>
      <c r="F20" s="147"/>
      <c r="G20" s="147"/>
      <c r="H20" s="147"/>
      <c r="I20" s="147"/>
      <c r="J20" s="147"/>
      <c r="K20" s="148"/>
    </row>
    <row r="21" spans="1:11" ht="14.45" hidden="1" customHeight="1" x14ac:dyDescent="0.2">
      <c r="A21" s="145"/>
      <c r="B21" s="145"/>
      <c r="C21" s="146"/>
      <c r="D21" s="147"/>
      <c r="E21" s="147"/>
      <c r="F21" s="147"/>
      <c r="G21" s="147"/>
      <c r="H21" s="147"/>
      <c r="I21" s="147"/>
      <c r="J21" s="147"/>
      <c r="K21" s="148"/>
    </row>
    <row r="22" spans="1:11" ht="14.45" hidden="1" customHeight="1" x14ac:dyDescent="0.2">
      <c r="A22" s="145"/>
      <c r="B22" s="145"/>
      <c r="C22" s="146"/>
      <c r="D22" s="147"/>
      <c r="E22" s="147"/>
      <c r="F22" s="147"/>
      <c r="G22" s="147"/>
      <c r="H22" s="147"/>
      <c r="I22" s="147"/>
      <c r="J22" s="147"/>
      <c r="K22" s="148"/>
    </row>
    <row r="23" spans="1:11" ht="14.45" hidden="1" customHeight="1" x14ac:dyDescent="0.2">
      <c r="A23" s="145"/>
      <c r="B23" s="145"/>
      <c r="C23" s="146"/>
      <c r="D23" s="147"/>
      <c r="E23" s="147"/>
      <c r="F23" s="147"/>
      <c r="G23" s="147"/>
      <c r="H23" s="147"/>
      <c r="I23" s="147"/>
      <c r="J23" s="147"/>
      <c r="K23" s="148"/>
    </row>
    <row r="24" spans="1:11" ht="14.45" hidden="1" customHeight="1" x14ac:dyDescent="0.2">
      <c r="A24" s="145"/>
      <c r="B24" s="145"/>
      <c r="C24" s="146"/>
      <c r="D24" s="147"/>
      <c r="E24" s="147"/>
      <c r="F24" s="147"/>
      <c r="G24" s="147"/>
      <c r="H24" s="147"/>
      <c r="I24" s="147"/>
      <c r="J24" s="147"/>
      <c r="K24" s="148"/>
    </row>
    <row r="25" spans="1:11" ht="14.45" hidden="1" customHeight="1" x14ac:dyDescent="0.2">
      <c r="A25" s="145"/>
      <c r="B25" s="145"/>
      <c r="C25" s="146"/>
      <c r="D25" s="147"/>
      <c r="E25" s="147"/>
      <c r="F25" s="147"/>
      <c r="G25" s="147"/>
      <c r="H25" s="147"/>
      <c r="I25" s="147"/>
      <c r="J25" s="147"/>
      <c r="K25" s="148"/>
    </row>
    <row r="26" spans="1:11" ht="14.45" hidden="1" customHeight="1" x14ac:dyDescent="0.2">
      <c r="A26" s="145"/>
      <c r="B26" s="145"/>
      <c r="C26" s="146"/>
      <c r="D26" s="147"/>
      <c r="E26" s="147"/>
      <c r="F26" s="147"/>
      <c r="G26" s="147"/>
      <c r="H26" s="147"/>
      <c r="I26" s="147"/>
      <c r="J26" s="147"/>
      <c r="K26" s="148"/>
    </row>
    <row r="27" spans="1:11" ht="14.45" customHeight="1" thickTop="1" x14ac:dyDescent="0.2">
      <c r="A27" s="652">
        <v>0</v>
      </c>
      <c r="B27" s="599"/>
      <c r="C27" s="653">
        <v>0</v>
      </c>
      <c r="D27" s="149">
        <v>0</v>
      </c>
      <c r="E27" s="149">
        <v>0</v>
      </c>
      <c r="F27" s="434">
        <v>0</v>
      </c>
      <c r="G27" s="149">
        <v>0</v>
      </c>
      <c r="H27" s="149">
        <v>0</v>
      </c>
      <c r="I27" s="149">
        <v>0</v>
      </c>
      <c r="J27" s="149">
        <v>0</v>
      </c>
      <c r="K27" s="150"/>
    </row>
    <row r="28" spans="1:11" ht="14.45" customHeight="1" thickBot="1" x14ac:dyDescent="0.25">
      <c r="A28" s="654">
        <v>2888</v>
      </c>
      <c r="B28" s="599"/>
      <c r="C28" s="655" t="s">
        <v>252</v>
      </c>
      <c r="D28" s="151" t="s">
        <v>34</v>
      </c>
      <c r="E28" s="151" t="s">
        <v>34</v>
      </c>
      <c r="F28" s="151" t="s">
        <v>34</v>
      </c>
      <c r="G28" s="151">
        <v>42</v>
      </c>
      <c r="H28" s="151">
        <v>35</v>
      </c>
      <c r="I28" s="151" t="s">
        <v>394</v>
      </c>
      <c r="J28" s="151" t="s">
        <v>246</v>
      </c>
      <c r="K28" s="150"/>
    </row>
    <row r="29" spans="1:11" ht="14.45" customHeight="1" thickTop="1" x14ac:dyDescent="0.2">
      <c r="A29" s="652">
        <v>0</v>
      </c>
      <c r="B29" s="599"/>
      <c r="C29" s="653">
        <v>0</v>
      </c>
      <c r="D29" s="149">
        <v>0</v>
      </c>
      <c r="E29" s="149">
        <v>0</v>
      </c>
      <c r="F29" s="149">
        <v>0</v>
      </c>
      <c r="G29" s="149">
        <v>0</v>
      </c>
      <c r="H29" s="149">
        <v>0</v>
      </c>
      <c r="I29" s="149">
        <v>0</v>
      </c>
      <c r="J29" s="149">
        <v>0</v>
      </c>
      <c r="K29" s="150"/>
    </row>
    <row r="30" spans="1:11" ht="14.45" customHeight="1" thickBot="1" x14ac:dyDescent="0.25">
      <c r="A30" s="654">
        <v>2432</v>
      </c>
      <c r="B30" s="599"/>
      <c r="C30" s="655" t="s">
        <v>253</v>
      </c>
      <c r="D30" s="151">
        <v>42</v>
      </c>
      <c r="E30" s="151">
        <v>49</v>
      </c>
      <c r="F30" s="151" t="s">
        <v>34</v>
      </c>
      <c r="G30" s="151" t="s">
        <v>34</v>
      </c>
      <c r="H30" s="151" t="s">
        <v>34</v>
      </c>
      <c r="I30" s="151" t="s">
        <v>395</v>
      </c>
      <c r="J30" s="151" t="s">
        <v>396</v>
      </c>
      <c r="K30" s="150"/>
    </row>
    <row r="31" spans="1:11" ht="15" customHeight="1" thickTop="1" x14ac:dyDescent="0.2">
      <c r="A31" s="652">
        <v>0</v>
      </c>
      <c r="B31" s="599"/>
      <c r="C31" s="656">
        <v>0</v>
      </c>
      <c r="D31" s="149">
        <v>0</v>
      </c>
      <c r="E31" s="149">
        <v>0</v>
      </c>
      <c r="F31" s="149">
        <v>0</v>
      </c>
      <c r="G31" s="149">
        <v>0</v>
      </c>
      <c r="H31" s="149">
        <v>0</v>
      </c>
      <c r="I31" s="149">
        <v>0</v>
      </c>
      <c r="J31" s="149">
        <v>0</v>
      </c>
      <c r="K31" s="150"/>
    </row>
    <row r="32" spans="1:11" ht="15" customHeight="1" thickBot="1" x14ac:dyDescent="0.25">
      <c r="A32" s="654">
        <v>429</v>
      </c>
      <c r="B32" s="599"/>
      <c r="C32" s="655" t="s">
        <v>254</v>
      </c>
      <c r="D32" s="151" t="s">
        <v>249</v>
      </c>
      <c r="E32" s="151" t="s">
        <v>392</v>
      </c>
      <c r="F32" s="151" t="s">
        <v>249</v>
      </c>
      <c r="G32" s="151" t="s">
        <v>249</v>
      </c>
      <c r="H32" s="151" t="s">
        <v>34</v>
      </c>
      <c r="I32" s="151" t="s">
        <v>34</v>
      </c>
      <c r="J32" s="151" t="s">
        <v>34</v>
      </c>
      <c r="K32" s="150"/>
    </row>
    <row r="33" spans="1:238" ht="15" customHeight="1" thickTop="1" x14ac:dyDescent="0.2">
      <c r="A33" s="652">
        <v>0</v>
      </c>
      <c r="B33" s="599"/>
      <c r="C33" s="656">
        <v>0</v>
      </c>
      <c r="D33" s="149">
        <v>0</v>
      </c>
      <c r="E33" s="149">
        <v>0</v>
      </c>
      <c r="F33" s="149">
        <v>0</v>
      </c>
      <c r="G33" s="149">
        <v>0</v>
      </c>
      <c r="H33" s="149">
        <v>0</v>
      </c>
      <c r="I33" s="149">
        <v>0</v>
      </c>
      <c r="J33" s="149">
        <v>0</v>
      </c>
      <c r="K33" s="150"/>
      <c r="L33" s="148"/>
      <c r="M33" s="148"/>
      <c r="N33" s="148"/>
      <c r="O33" s="148"/>
      <c r="P33" s="148"/>
      <c r="Q33" s="148"/>
      <c r="R33" s="148"/>
      <c r="S33" s="148"/>
      <c r="T33" s="148"/>
      <c r="U33" s="148"/>
      <c r="V33" s="148"/>
      <c r="W33" s="148"/>
      <c r="X33" s="148"/>
      <c r="Y33" s="148"/>
      <c r="Z33" s="148"/>
      <c r="AA33" s="148"/>
      <c r="AB33" s="148"/>
      <c r="AC33" s="148"/>
      <c r="AD33" s="148"/>
      <c r="AE33" s="148"/>
      <c r="AF33" s="148"/>
      <c r="AG33" s="148"/>
      <c r="AH33" s="148"/>
      <c r="AI33" s="148"/>
      <c r="AJ33" s="148"/>
      <c r="AK33" s="148"/>
      <c r="AL33" s="148"/>
      <c r="AM33" s="148"/>
      <c r="AN33" s="148"/>
      <c r="AO33" s="148"/>
      <c r="AP33" s="148"/>
      <c r="AQ33" s="148"/>
      <c r="AR33" s="148"/>
      <c r="AS33" s="148"/>
      <c r="AT33" s="148"/>
      <c r="AU33" s="148"/>
      <c r="AV33" s="148"/>
      <c r="AW33" s="148"/>
      <c r="AX33" s="148"/>
      <c r="AY33" s="148"/>
      <c r="AZ33" s="148"/>
      <c r="BA33" s="148"/>
      <c r="BB33" s="148"/>
      <c r="BC33" s="148"/>
      <c r="BD33" s="148"/>
      <c r="BE33" s="148"/>
      <c r="BF33" s="148"/>
      <c r="BG33" s="148"/>
      <c r="BH33" s="148"/>
      <c r="BI33" s="148"/>
      <c r="BJ33" s="148"/>
      <c r="BK33" s="148"/>
      <c r="BL33" s="148"/>
      <c r="BM33" s="148"/>
      <c r="BN33" s="148"/>
      <c r="BO33" s="148"/>
      <c r="BP33" s="148"/>
      <c r="BQ33" s="148"/>
      <c r="BR33" s="148"/>
      <c r="BS33" s="148"/>
      <c r="BT33" s="148"/>
      <c r="BU33" s="148"/>
      <c r="BV33" s="148"/>
      <c r="BW33" s="148"/>
      <c r="BX33" s="148"/>
      <c r="BY33" s="148"/>
      <c r="BZ33" s="148"/>
      <c r="CA33" s="148"/>
      <c r="CB33" s="148"/>
      <c r="CC33" s="148"/>
      <c r="CD33" s="148"/>
      <c r="CE33" s="148"/>
      <c r="CF33" s="148"/>
      <c r="CG33" s="148"/>
      <c r="CH33" s="148"/>
      <c r="CI33" s="148"/>
      <c r="CJ33" s="148"/>
      <c r="CK33" s="148"/>
      <c r="CL33" s="148"/>
      <c r="CM33" s="148"/>
      <c r="CN33" s="148"/>
      <c r="CO33" s="148"/>
      <c r="CP33" s="148"/>
      <c r="CQ33" s="148"/>
      <c r="CR33" s="148"/>
      <c r="CS33" s="148"/>
      <c r="CT33" s="148"/>
      <c r="CU33" s="148"/>
      <c r="CV33" s="148"/>
      <c r="CW33" s="148"/>
      <c r="CX33" s="148"/>
      <c r="CY33" s="148"/>
      <c r="CZ33" s="148"/>
      <c r="DA33" s="148"/>
      <c r="DB33" s="148"/>
      <c r="DC33" s="148"/>
      <c r="DD33" s="148"/>
      <c r="DE33" s="148"/>
      <c r="DF33" s="148"/>
      <c r="DG33" s="148"/>
      <c r="DH33" s="148"/>
      <c r="DI33" s="148"/>
      <c r="DJ33" s="148"/>
      <c r="DK33" s="148"/>
      <c r="DL33" s="148"/>
      <c r="DM33" s="148"/>
      <c r="DN33" s="148"/>
      <c r="DO33" s="148"/>
      <c r="DP33" s="148"/>
      <c r="DQ33" s="148"/>
      <c r="DR33" s="148"/>
      <c r="DS33" s="148"/>
      <c r="DT33" s="148"/>
      <c r="DU33" s="148"/>
      <c r="DV33" s="148"/>
      <c r="DW33" s="148"/>
      <c r="DX33" s="148"/>
      <c r="DY33" s="148"/>
      <c r="DZ33" s="148"/>
      <c r="EA33" s="148"/>
      <c r="EB33" s="148"/>
      <c r="EC33" s="148"/>
      <c r="ED33" s="148"/>
      <c r="EE33" s="148"/>
      <c r="EF33" s="148"/>
      <c r="EG33" s="148"/>
      <c r="EH33" s="148"/>
      <c r="EI33" s="148"/>
      <c r="EJ33" s="148"/>
      <c r="EK33" s="148"/>
      <c r="EL33" s="148"/>
      <c r="EM33" s="148"/>
      <c r="EN33" s="148"/>
      <c r="EO33" s="148"/>
      <c r="EP33" s="148"/>
      <c r="EQ33" s="148"/>
      <c r="ER33" s="148"/>
      <c r="ES33" s="148"/>
      <c r="ET33" s="148"/>
      <c r="EU33" s="148"/>
      <c r="EV33" s="148"/>
      <c r="EW33" s="148"/>
      <c r="EX33" s="148"/>
      <c r="EY33" s="148"/>
      <c r="EZ33" s="148"/>
      <c r="FA33" s="148"/>
      <c r="FB33" s="148"/>
      <c r="FC33" s="148"/>
      <c r="FD33" s="148"/>
      <c r="FE33" s="148"/>
      <c r="FF33" s="148"/>
      <c r="FG33" s="148"/>
      <c r="FH33" s="148"/>
      <c r="FI33" s="148"/>
      <c r="FJ33" s="148"/>
      <c r="FK33" s="148"/>
      <c r="FL33" s="148"/>
      <c r="FM33" s="148"/>
      <c r="FN33" s="148"/>
      <c r="FO33" s="148"/>
      <c r="FP33" s="148"/>
      <c r="FQ33" s="148"/>
      <c r="FR33" s="148"/>
      <c r="FS33" s="148"/>
      <c r="FT33" s="148"/>
      <c r="FU33" s="148"/>
      <c r="FV33" s="148"/>
      <c r="FW33" s="148"/>
      <c r="FX33" s="148"/>
      <c r="FY33" s="148"/>
      <c r="FZ33" s="148"/>
      <c r="GA33" s="148"/>
      <c r="GB33" s="148"/>
      <c r="GC33" s="148"/>
      <c r="GD33" s="148"/>
      <c r="GE33" s="148"/>
      <c r="GF33" s="148"/>
      <c r="GG33" s="148"/>
      <c r="GH33" s="148"/>
      <c r="GI33" s="148"/>
      <c r="GJ33" s="148"/>
      <c r="GK33" s="148"/>
      <c r="GL33" s="148"/>
      <c r="GM33" s="148"/>
      <c r="GN33" s="148"/>
      <c r="GO33" s="148"/>
      <c r="GP33" s="148"/>
      <c r="GQ33" s="148"/>
      <c r="GR33" s="148"/>
      <c r="GS33" s="148"/>
      <c r="GT33" s="148"/>
      <c r="GU33" s="148"/>
      <c r="GV33" s="148"/>
      <c r="GW33" s="148"/>
      <c r="GX33" s="148"/>
      <c r="GY33" s="148"/>
      <c r="GZ33" s="148"/>
      <c r="HA33" s="148"/>
      <c r="HB33" s="148"/>
      <c r="HC33" s="148"/>
      <c r="HD33" s="148"/>
      <c r="HE33" s="148"/>
      <c r="HF33" s="148"/>
      <c r="HG33" s="148"/>
      <c r="HH33" s="148"/>
      <c r="HI33" s="148"/>
      <c r="HJ33" s="148"/>
      <c r="HK33" s="148"/>
      <c r="HL33" s="148"/>
      <c r="HM33" s="148"/>
      <c r="HN33" s="148"/>
      <c r="HO33" s="148"/>
      <c r="HP33" s="148"/>
      <c r="HQ33" s="148"/>
      <c r="HR33" s="148"/>
      <c r="HS33" s="148"/>
      <c r="HT33" s="148"/>
      <c r="HU33" s="148"/>
      <c r="HV33" s="148"/>
      <c r="HW33" s="148"/>
      <c r="HX33" s="148"/>
      <c r="HY33" s="148"/>
      <c r="HZ33" s="148"/>
      <c r="IA33" s="148"/>
      <c r="IB33" s="148"/>
      <c r="IC33" s="148"/>
      <c r="ID33" s="148"/>
    </row>
    <row r="34" spans="1:238" ht="15" customHeight="1" thickBot="1" x14ac:dyDescent="0.25">
      <c r="A34" s="654">
        <v>605</v>
      </c>
      <c r="B34" s="599"/>
      <c r="C34" s="655" t="s">
        <v>255</v>
      </c>
      <c r="D34" s="151" t="s">
        <v>34</v>
      </c>
      <c r="E34" s="151">
        <v>41</v>
      </c>
      <c r="F34" s="151">
        <v>34</v>
      </c>
      <c r="G34" s="151">
        <v>26</v>
      </c>
      <c r="H34" s="151">
        <v>13</v>
      </c>
      <c r="I34" s="151" t="s">
        <v>397</v>
      </c>
      <c r="J34" s="151" t="s">
        <v>34</v>
      </c>
      <c r="K34" s="150"/>
      <c r="L34" s="148"/>
      <c r="M34" s="148"/>
      <c r="N34" s="148"/>
      <c r="O34" s="148"/>
      <c r="P34" s="148"/>
      <c r="Q34" s="148"/>
      <c r="R34" s="148"/>
      <c r="S34" s="148"/>
      <c r="T34" s="148"/>
      <c r="U34" s="148"/>
      <c r="V34" s="148"/>
      <c r="W34" s="148"/>
      <c r="X34" s="148"/>
      <c r="Y34" s="148"/>
      <c r="Z34" s="148"/>
      <c r="AA34" s="148"/>
      <c r="AB34" s="148"/>
      <c r="AC34" s="148"/>
      <c r="AD34" s="148"/>
      <c r="AE34" s="148"/>
      <c r="AF34" s="148"/>
      <c r="AG34" s="148"/>
      <c r="AH34" s="148"/>
      <c r="AI34" s="148"/>
      <c r="AJ34" s="148"/>
      <c r="AK34" s="148"/>
      <c r="AL34" s="148"/>
      <c r="AM34" s="148"/>
      <c r="AN34" s="148"/>
      <c r="AO34" s="148"/>
      <c r="AP34" s="148"/>
      <c r="AQ34" s="148"/>
      <c r="AR34" s="148"/>
      <c r="AS34" s="148"/>
      <c r="AT34" s="148"/>
      <c r="AU34" s="148"/>
      <c r="AV34" s="148"/>
      <c r="AW34" s="148"/>
      <c r="AX34" s="148"/>
      <c r="AY34" s="148"/>
      <c r="AZ34" s="148"/>
      <c r="BA34" s="148"/>
      <c r="BB34" s="148"/>
      <c r="BC34" s="148"/>
      <c r="BD34" s="148"/>
      <c r="BE34" s="148"/>
      <c r="BF34" s="148"/>
      <c r="BG34" s="148"/>
      <c r="BH34" s="148"/>
      <c r="BI34" s="148"/>
      <c r="BJ34" s="148"/>
      <c r="BK34" s="148"/>
      <c r="BL34" s="148"/>
      <c r="BM34" s="148"/>
      <c r="BN34" s="148"/>
      <c r="BO34" s="148"/>
      <c r="BP34" s="148"/>
      <c r="BQ34" s="148"/>
      <c r="BR34" s="148"/>
      <c r="BS34" s="148"/>
      <c r="BT34" s="148"/>
      <c r="BU34" s="148"/>
      <c r="BV34" s="148"/>
      <c r="BW34" s="148"/>
      <c r="BX34" s="148"/>
      <c r="BY34" s="148"/>
      <c r="BZ34" s="148"/>
      <c r="CA34" s="148"/>
      <c r="CB34" s="148"/>
      <c r="CC34" s="148"/>
      <c r="CD34" s="148"/>
      <c r="CE34" s="148"/>
      <c r="CF34" s="148"/>
      <c r="CG34" s="148"/>
      <c r="CH34" s="148"/>
      <c r="CI34" s="148"/>
      <c r="CJ34" s="148"/>
      <c r="CK34" s="148"/>
      <c r="CL34" s="148"/>
      <c r="CM34" s="148"/>
      <c r="CN34" s="148"/>
      <c r="CO34" s="148"/>
      <c r="CP34" s="148"/>
      <c r="CQ34" s="148"/>
      <c r="CR34" s="148"/>
      <c r="CS34" s="148"/>
      <c r="CT34" s="148"/>
      <c r="CU34" s="148"/>
      <c r="CV34" s="148"/>
      <c r="CW34" s="148"/>
      <c r="CX34" s="148"/>
      <c r="CY34" s="148"/>
      <c r="CZ34" s="148"/>
      <c r="DA34" s="148"/>
      <c r="DB34" s="148"/>
      <c r="DC34" s="148"/>
      <c r="DD34" s="148"/>
      <c r="DE34" s="148"/>
      <c r="DF34" s="148"/>
      <c r="DG34" s="148"/>
      <c r="DH34" s="148"/>
      <c r="DI34" s="148"/>
      <c r="DJ34" s="148"/>
      <c r="DK34" s="148"/>
      <c r="DL34" s="148"/>
      <c r="DM34" s="148"/>
      <c r="DN34" s="148"/>
      <c r="DO34" s="148"/>
      <c r="DP34" s="148"/>
      <c r="DQ34" s="148"/>
      <c r="DR34" s="148"/>
      <c r="DS34" s="148"/>
      <c r="DT34" s="148"/>
      <c r="DU34" s="148"/>
      <c r="DV34" s="148"/>
      <c r="DW34" s="148"/>
      <c r="DX34" s="148"/>
      <c r="DY34" s="148"/>
      <c r="DZ34" s="148"/>
      <c r="EA34" s="148"/>
      <c r="EB34" s="148"/>
      <c r="EC34" s="148"/>
      <c r="ED34" s="148"/>
      <c r="EE34" s="148"/>
      <c r="EF34" s="148"/>
      <c r="EG34" s="148"/>
      <c r="EH34" s="148"/>
      <c r="EI34" s="148"/>
      <c r="EJ34" s="148"/>
      <c r="EK34" s="148"/>
      <c r="EL34" s="148"/>
      <c r="EM34" s="148"/>
      <c r="EN34" s="148"/>
      <c r="EO34" s="148"/>
      <c r="EP34" s="148"/>
      <c r="EQ34" s="148"/>
      <c r="ER34" s="148"/>
      <c r="ES34" s="148"/>
      <c r="ET34" s="148"/>
      <c r="EU34" s="148"/>
      <c r="EV34" s="148"/>
      <c r="EW34" s="148"/>
      <c r="EX34" s="148"/>
      <c r="EY34" s="148"/>
      <c r="EZ34" s="148"/>
      <c r="FA34" s="148"/>
      <c r="FB34" s="148"/>
      <c r="FC34" s="148"/>
      <c r="FD34" s="148"/>
      <c r="FE34" s="148"/>
      <c r="FF34" s="148"/>
      <c r="FG34" s="148"/>
      <c r="FH34" s="148"/>
      <c r="FI34" s="148"/>
      <c r="FJ34" s="148"/>
      <c r="FK34" s="148"/>
      <c r="FL34" s="148"/>
      <c r="FM34" s="148"/>
      <c r="FN34" s="148"/>
      <c r="FO34" s="148"/>
      <c r="FP34" s="148"/>
      <c r="FQ34" s="148"/>
      <c r="FR34" s="148"/>
      <c r="FS34" s="148"/>
      <c r="FT34" s="148"/>
      <c r="FU34" s="148"/>
      <c r="FV34" s="148"/>
      <c r="FW34" s="148"/>
      <c r="FX34" s="148"/>
      <c r="FY34" s="148"/>
      <c r="FZ34" s="148"/>
      <c r="GA34" s="148"/>
      <c r="GB34" s="148"/>
      <c r="GC34" s="148"/>
      <c r="GD34" s="148"/>
      <c r="GE34" s="148"/>
      <c r="GF34" s="148"/>
      <c r="GG34" s="148"/>
      <c r="GH34" s="148"/>
      <c r="GI34" s="148"/>
      <c r="GJ34" s="148"/>
      <c r="GK34" s="148"/>
      <c r="GL34" s="148"/>
      <c r="GM34" s="148"/>
      <c r="GN34" s="148"/>
      <c r="GO34" s="148"/>
      <c r="GP34" s="148"/>
      <c r="GQ34" s="148"/>
      <c r="GR34" s="148"/>
      <c r="GS34" s="148"/>
      <c r="GT34" s="148"/>
      <c r="GU34" s="148"/>
      <c r="GV34" s="148"/>
      <c r="GW34" s="148"/>
      <c r="GX34" s="148"/>
      <c r="GY34" s="148"/>
      <c r="GZ34" s="148"/>
      <c r="HA34" s="148"/>
      <c r="HB34" s="148"/>
      <c r="HC34" s="148"/>
      <c r="HD34" s="148"/>
      <c r="HE34" s="148"/>
      <c r="HF34" s="148"/>
      <c r="HG34" s="148"/>
      <c r="HH34" s="148"/>
      <c r="HI34" s="148"/>
      <c r="HJ34" s="148"/>
      <c r="HK34" s="148"/>
      <c r="HL34" s="148"/>
      <c r="HM34" s="148"/>
      <c r="HN34" s="148"/>
      <c r="HO34" s="148"/>
      <c r="HP34" s="148"/>
      <c r="HQ34" s="148"/>
      <c r="HR34" s="148"/>
      <c r="HS34" s="148"/>
      <c r="HT34" s="148"/>
      <c r="HU34" s="148"/>
      <c r="HV34" s="148"/>
      <c r="HW34" s="148"/>
      <c r="HX34" s="148"/>
      <c r="HY34" s="148"/>
      <c r="HZ34" s="148"/>
      <c r="IA34" s="148"/>
      <c r="IB34" s="148"/>
      <c r="IC34" s="148"/>
      <c r="ID34" s="148"/>
    </row>
    <row r="35" spans="1:238" ht="15" customHeight="1" thickTop="1" x14ac:dyDescent="0.2">
      <c r="A35" s="652">
        <v>0</v>
      </c>
      <c r="B35" s="599"/>
      <c r="C35" s="656">
        <v>0</v>
      </c>
      <c r="D35" s="149">
        <v>0</v>
      </c>
      <c r="E35" s="149">
        <v>0</v>
      </c>
      <c r="F35" s="149">
        <v>0</v>
      </c>
      <c r="G35" s="149">
        <v>0</v>
      </c>
      <c r="H35" s="149">
        <v>0</v>
      </c>
      <c r="I35" s="149">
        <v>0</v>
      </c>
      <c r="J35" s="149">
        <v>0</v>
      </c>
      <c r="K35" s="150"/>
      <c r="L35" s="148"/>
      <c r="M35" s="148"/>
      <c r="N35" s="148"/>
      <c r="O35" s="148"/>
      <c r="P35" s="148"/>
      <c r="Q35" s="148"/>
      <c r="R35" s="148"/>
      <c r="S35" s="148"/>
      <c r="T35" s="148"/>
      <c r="U35" s="148"/>
      <c r="V35" s="148"/>
      <c r="W35" s="148"/>
      <c r="X35" s="148"/>
      <c r="Y35" s="148"/>
      <c r="Z35" s="148"/>
      <c r="AA35" s="148"/>
      <c r="AB35" s="148"/>
      <c r="AC35" s="148"/>
      <c r="AD35" s="148"/>
      <c r="AE35" s="148"/>
      <c r="AF35" s="148"/>
      <c r="AG35" s="148"/>
      <c r="AH35" s="148"/>
      <c r="AI35" s="148"/>
      <c r="AJ35" s="148"/>
      <c r="AK35" s="148"/>
      <c r="AL35" s="148"/>
      <c r="AM35" s="148"/>
      <c r="AN35" s="148"/>
      <c r="AO35" s="148"/>
      <c r="AP35" s="148"/>
      <c r="AQ35" s="148"/>
      <c r="AR35" s="148"/>
      <c r="AS35" s="148"/>
      <c r="AT35" s="148"/>
      <c r="AU35" s="148"/>
      <c r="AV35" s="148"/>
      <c r="AW35" s="148"/>
      <c r="AX35" s="148"/>
      <c r="AY35" s="148"/>
      <c r="AZ35" s="148"/>
      <c r="BA35" s="148"/>
      <c r="BB35" s="148"/>
      <c r="BC35" s="148"/>
      <c r="BD35" s="148"/>
      <c r="BE35" s="148"/>
      <c r="BF35" s="148"/>
      <c r="BG35" s="148"/>
      <c r="BH35" s="148"/>
      <c r="BI35" s="148"/>
      <c r="BJ35" s="148"/>
      <c r="BK35" s="148"/>
      <c r="BL35" s="148"/>
      <c r="BM35" s="148"/>
      <c r="BN35" s="148"/>
      <c r="BO35" s="148"/>
      <c r="BP35" s="148"/>
      <c r="BQ35" s="148"/>
      <c r="BR35" s="148"/>
      <c r="BS35" s="148"/>
      <c r="BT35" s="148"/>
      <c r="BU35" s="148"/>
      <c r="BV35" s="148"/>
      <c r="BW35" s="148"/>
      <c r="BX35" s="148"/>
      <c r="BY35" s="148"/>
      <c r="BZ35" s="148"/>
      <c r="CA35" s="148"/>
      <c r="CB35" s="148"/>
      <c r="CC35" s="148"/>
      <c r="CD35" s="148"/>
      <c r="CE35" s="148"/>
      <c r="CF35" s="148"/>
      <c r="CG35" s="148"/>
      <c r="CH35" s="148"/>
      <c r="CI35" s="148"/>
      <c r="CJ35" s="148"/>
      <c r="CK35" s="148"/>
      <c r="CL35" s="148"/>
      <c r="CM35" s="148"/>
      <c r="CN35" s="148"/>
      <c r="CO35" s="148"/>
      <c r="CP35" s="148"/>
      <c r="CQ35" s="148"/>
      <c r="CR35" s="148"/>
      <c r="CS35" s="148"/>
      <c r="CT35" s="148"/>
      <c r="CU35" s="148"/>
      <c r="CV35" s="148"/>
      <c r="CW35" s="148"/>
      <c r="CX35" s="148"/>
      <c r="CY35" s="148"/>
      <c r="CZ35" s="148"/>
      <c r="DA35" s="148"/>
      <c r="DB35" s="148"/>
      <c r="DC35" s="148"/>
      <c r="DD35" s="148"/>
      <c r="DE35" s="148"/>
      <c r="DF35" s="148"/>
      <c r="DG35" s="148"/>
      <c r="DH35" s="148"/>
      <c r="DI35" s="148"/>
      <c r="DJ35" s="148"/>
      <c r="DK35" s="148"/>
      <c r="DL35" s="148"/>
      <c r="DM35" s="148"/>
      <c r="DN35" s="148"/>
      <c r="DO35" s="148"/>
      <c r="DP35" s="148"/>
      <c r="DQ35" s="148"/>
      <c r="DR35" s="148"/>
      <c r="DS35" s="148"/>
      <c r="DT35" s="148"/>
      <c r="DU35" s="148"/>
      <c r="DV35" s="148"/>
      <c r="DW35" s="148"/>
      <c r="DX35" s="148"/>
      <c r="DY35" s="148"/>
      <c r="DZ35" s="148"/>
      <c r="EA35" s="148"/>
      <c r="EB35" s="148"/>
      <c r="EC35" s="148"/>
      <c r="ED35" s="148"/>
      <c r="EE35" s="148"/>
      <c r="EF35" s="148"/>
      <c r="EG35" s="148"/>
      <c r="EH35" s="148"/>
      <c r="EI35" s="148"/>
      <c r="EJ35" s="148"/>
      <c r="EK35" s="148"/>
      <c r="EL35" s="148"/>
      <c r="EM35" s="148"/>
      <c r="EN35" s="148"/>
      <c r="EO35" s="148"/>
      <c r="EP35" s="148"/>
      <c r="EQ35" s="148"/>
      <c r="ER35" s="148"/>
      <c r="ES35" s="148"/>
      <c r="ET35" s="148"/>
      <c r="EU35" s="148"/>
      <c r="EV35" s="148"/>
      <c r="EW35" s="148"/>
      <c r="EX35" s="148"/>
      <c r="EY35" s="148"/>
      <c r="EZ35" s="148"/>
      <c r="FA35" s="148"/>
      <c r="FB35" s="148"/>
      <c r="FC35" s="148"/>
      <c r="FD35" s="148"/>
      <c r="FE35" s="148"/>
      <c r="FF35" s="148"/>
      <c r="FG35" s="148"/>
      <c r="FH35" s="148"/>
      <c r="FI35" s="148"/>
      <c r="FJ35" s="148"/>
      <c r="FK35" s="148"/>
      <c r="FL35" s="148"/>
      <c r="FM35" s="148"/>
      <c r="FN35" s="148"/>
      <c r="FO35" s="148"/>
      <c r="FP35" s="148"/>
      <c r="FQ35" s="148"/>
      <c r="FR35" s="148"/>
      <c r="FS35" s="148"/>
      <c r="FT35" s="148"/>
      <c r="FU35" s="148"/>
      <c r="FV35" s="148"/>
      <c r="FW35" s="148"/>
      <c r="FX35" s="148"/>
      <c r="FY35" s="148"/>
      <c r="FZ35" s="148"/>
      <c r="GA35" s="148"/>
      <c r="GB35" s="148"/>
      <c r="GC35" s="148"/>
      <c r="GD35" s="148"/>
      <c r="GE35" s="148"/>
      <c r="GF35" s="148"/>
      <c r="GG35" s="148"/>
      <c r="GH35" s="148"/>
      <c r="GI35" s="148"/>
      <c r="GJ35" s="148"/>
      <c r="GK35" s="148"/>
      <c r="GL35" s="148"/>
      <c r="GM35" s="148"/>
      <c r="GN35" s="148"/>
      <c r="GO35" s="148"/>
      <c r="GP35" s="148"/>
      <c r="GQ35" s="148"/>
      <c r="GR35" s="148"/>
      <c r="GS35" s="148"/>
      <c r="GT35" s="148"/>
      <c r="GU35" s="148"/>
      <c r="GV35" s="148"/>
      <c r="GW35" s="148"/>
      <c r="GX35" s="148"/>
      <c r="GY35" s="148"/>
      <c r="GZ35" s="148"/>
      <c r="HA35" s="148"/>
      <c r="HB35" s="148"/>
      <c r="HC35" s="148"/>
      <c r="HD35" s="148"/>
      <c r="HE35" s="148"/>
      <c r="HF35" s="148"/>
      <c r="HG35" s="148"/>
      <c r="HH35" s="148"/>
      <c r="HI35" s="148"/>
      <c r="HJ35" s="148"/>
      <c r="HK35" s="148"/>
      <c r="HL35" s="148"/>
      <c r="HM35" s="148"/>
      <c r="HN35" s="148"/>
      <c r="HO35" s="148"/>
      <c r="HP35" s="148"/>
      <c r="HQ35" s="148"/>
      <c r="HR35" s="148"/>
      <c r="HS35" s="148"/>
      <c r="HT35" s="148"/>
      <c r="HU35" s="148"/>
      <c r="HV35" s="148"/>
      <c r="HW35" s="148"/>
      <c r="HX35" s="148"/>
      <c r="HY35" s="148"/>
      <c r="HZ35" s="148"/>
      <c r="IA35" s="148"/>
      <c r="IB35" s="148"/>
      <c r="IC35" s="148"/>
      <c r="ID35" s="148"/>
    </row>
    <row r="36" spans="1:238" ht="15" customHeight="1" thickBot="1" x14ac:dyDescent="0.25">
      <c r="A36" s="654">
        <v>2319</v>
      </c>
      <c r="B36" s="599"/>
      <c r="C36" s="655" t="s">
        <v>256</v>
      </c>
      <c r="D36" s="151" t="s">
        <v>34</v>
      </c>
      <c r="E36" s="151" t="s">
        <v>34</v>
      </c>
      <c r="F36" s="151" t="s">
        <v>34</v>
      </c>
      <c r="G36" s="151">
        <v>36</v>
      </c>
      <c r="H36" s="151">
        <v>57</v>
      </c>
      <c r="I36" s="151" t="s">
        <v>246</v>
      </c>
      <c r="J36" s="151" t="s">
        <v>398</v>
      </c>
      <c r="K36" s="150"/>
      <c r="L36" s="148"/>
      <c r="M36" s="148"/>
      <c r="N36" s="148"/>
      <c r="O36" s="148"/>
      <c r="P36" s="148"/>
      <c r="Q36" s="148"/>
      <c r="R36" s="148"/>
      <c r="S36" s="148"/>
      <c r="T36" s="148"/>
      <c r="U36" s="148"/>
      <c r="V36" s="148"/>
      <c r="W36" s="148"/>
      <c r="X36" s="148"/>
      <c r="Y36" s="148"/>
      <c r="Z36" s="148"/>
      <c r="AA36" s="148"/>
      <c r="AB36" s="148"/>
      <c r="AC36" s="148"/>
      <c r="AD36" s="148"/>
      <c r="AE36" s="148"/>
      <c r="AF36" s="148"/>
      <c r="AG36" s="148"/>
      <c r="AH36" s="148"/>
      <c r="AI36" s="148"/>
      <c r="AJ36" s="148"/>
      <c r="AK36" s="148"/>
      <c r="AL36" s="148"/>
      <c r="AM36" s="148"/>
      <c r="AN36" s="148"/>
      <c r="AO36" s="148"/>
      <c r="AP36" s="148"/>
      <c r="AQ36" s="148"/>
      <c r="AR36" s="148"/>
      <c r="AS36" s="148"/>
      <c r="AT36" s="148"/>
      <c r="AU36" s="148"/>
      <c r="AV36" s="148"/>
      <c r="AW36" s="148"/>
      <c r="AX36" s="148"/>
      <c r="AY36" s="148"/>
      <c r="AZ36" s="148"/>
      <c r="BA36" s="148"/>
      <c r="BB36" s="148"/>
      <c r="BC36" s="148"/>
      <c r="BD36" s="148"/>
      <c r="BE36" s="148"/>
      <c r="BF36" s="148"/>
      <c r="BG36" s="148"/>
      <c r="BH36" s="148"/>
      <c r="BI36" s="148"/>
      <c r="BJ36" s="148"/>
      <c r="BK36" s="148"/>
      <c r="BL36" s="148"/>
      <c r="BM36" s="148"/>
      <c r="BN36" s="148"/>
      <c r="BO36" s="148"/>
      <c r="BP36" s="148"/>
      <c r="BQ36" s="148"/>
      <c r="BR36" s="148"/>
      <c r="BS36" s="148"/>
      <c r="BT36" s="148"/>
      <c r="BU36" s="148"/>
      <c r="BV36" s="148"/>
      <c r="BW36" s="148"/>
      <c r="BX36" s="148"/>
      <c r="BY36" s="148"/>
      <c r="BZ36" s="148"/>
      <c r="CA36" s="148"/>
      <c r="CB36" s="148"/>
      <c r="CC36" s="148"/>
      <c r="CD36" s="148"/>
      <c r="CE36" s="148"/>
      <c r="CF36" s="148"/>
      <c r="CG36" s="148"/>
      <c r="CH36" s="148"/>
      <c r="CI36" s="148"/>
      <c r="CJ36" s="148"/>
      <c r="CK36" s="148"/>
      <c r="CL36" s="148"/>
      <c r="CM36" s="148"/>
      <c r="CN36" s="148"/>
      <c r="CO36" s="148"/>
      <c r="CP36" s="148"/>
      <c r="CQ36" s="148"/>
      <c r="CR36" s="148"/>
      <c r="CS36" s="148"/>
      <c r="CT36" s="148"/>
      <c r="CU36" s="148"/>
      <c r="CV36" s="148"/>
      <c r="CW36" s="148"/>
      <c r="CX36" s="148"/>
      <c r="CY36" s="148"/>
      <c r="CZ36" s="148"/>
      <c r="DA36" s="148"/>
      <c r="DB36" s="148"/>
      <c r="DC36" s="148"/>
      <c r="DD36" s="148"/>
      <c r="DE36" s="148"/>
      <c r="DF36" s="148"/>
      <c r="DG36" s="148"/>
      <c r="DH36" s="148"/>
      <c r="DI36" s="148"/>
      <c r="DJ36" s="148"/>
      <c r="DK36" s="148"/>
      <c r="DL36" s="148"/>
      <c r="DM36" s="148"/>
      <c r="DN36" s="148"/>
      <c r="DO36" s="148"/>
      <c r="DP36" s="148"/>
      <c r="DQ36" s="148"/>
      <c r="DR36" s="148"/>
      <c r="DS36" s="148"/>
      <c r="DT36" s="148"/>
      <c r="DU36" s="148"/>
      <c r="DV36" s="148"/>
      <c r="DW36" s="148"/>
      <c r="DX36" s="148"/>
      <c r="DY36" s="148"/>
      <c r="DZ36" s="148"/>
      <c r="EA36" s="148"/>
      <c r="EB36" s="148"/>
      <c r="EC36" s="148"/>
      <c r="ED36" s="148"/>
      <c r="EE36" s="148"/>
      <c r="EF36" s="148"/>
      <c r="EG36" s="148"/>
      <c r="EH36" s="148"/>
      <c r="EI36" s="148"/>
      <c r="EJ36" s="148"/>
      <c r="EK36" s="148"/>
      <c r="EL36" s="148"/>
      <c r="EM36" s="148"/>
      <c r="EN36" s="148"/>
      <c r="EO36" s="148"/>
      <c r="EP36" s="148"/>
      <c r="EQ36" s="148"/>
      <c r="ER36" s="148"/>
      <c r="ES36" s="148"/>
      <c r="ET36" s="148"/>
      <c r="EU36" s="148"/>
      <c r="EV36" s="148"/>
      <c r="EW36" s="148"/>
      <c r="EX36" s="148"/>
      <c r="EY36" s="148"/>
      <c r="EZ36" s="148"/>
      <c r="FA36" s="148"/>
      <c r="FB36" s="148"/>
      <c r="FC36" s="148"/>
      <c r="FD36" s="148"/>
      <c r="FE36" s="148"/>
      <c r="FF36" s="148"/>
      <c r="FG36" s="148"/>
      <c r="FH36" s="148"/>
      <c r="FI36" s="148"/>
      <c r="FJ36" s="148"/>
      <c r="FK36" s="148"/>
      <c r="FL36" s="148"/>
      <c r="FM36" s="148"/>
      <c r="FN36" s="148"/>
      <c r="FO36" s="148"/>
      <c r="FP36" s="148"/>
      <c r="FQ36" s="148"/>
      <c r="FR36" s="148"/>
      <c r="FS36" s="148"/>
      <c r="FT36" s="148"/>
      <c r="FU36" s="148"/>
      <c r="FV36" s="148"/>
      <c r="FW36" s="148"/>
      <c r="FX36" s="148"/>
      <c r="FY36" s="148"/>
      <c r="FZ36" s="148"/>
      <c r="GA36" s="148"/>
      <c r="GB36" s="148"/>
      <c r="GC36" s="148"/>
      <c r="GD36" s="148"/>
      <c r="GE36" s="148"/>
      <c r="GF36" s="148"/>
      <c r="GG36" s="148"/>
      <c r="GH36" s="148"/>
      <c r="GI36" s="148"/>
      <c r="GJ36" s="148"/>
      <c r="GK36" s="148"/>
      <c r="GL36" s="148"/>
      <c r="GM36" s="148"/>
      <c r="GN36" s="148"/>
      <c r="GO36" s="148"/>
      <c r="GP36" s="148"/>
      <c r="GQ36" s="148"/>
      <c r="GR36" s="148"/>
      <c r="GS36" s="148"/>
      <c r="GT36" s="148"/>
      <c r="GU36" s="148"/>
      <c r="GV36" s="148"/>
      <c r="GW36" s="148"/>
      <c r="GX36" s="148"/>
      <c r="GY36" s="148"/>
      <c r="GZ36" s="148"/>
      <c r="HA36" s="148"/>
      <c r="HB36" s="148"/>
      <c r="HC36" s="148"/>
      <c r="HD36" s="148"/>
      <c r="HE36" s="148"/>
      <c r="HF36" s="148"/>
      <c r="HG36" s="148"/>
      <c r="HH36" s="148"/>
      <c r="HI36" s="148"/>
      <c r="HJ36" s="148"/>
      <c r="HK36" s="148"/>
      <c r="HL36" s="148"/>
      <c r="HM36" s="148"/>
      <c r="HN36" s="148"/>
      <c r="HO36" s="148"/>
      <c r="HP36" s="148"/>
      <c r="HQ36" s="148"/>
      <c r="HR36" s="148"/>
      <c r="HS36" s="148"/>
      <c r="HT36" s="148"/>
      <c r="HU36" s="148"/>
      <c r="HV36" s="148"/>
      <c r="HW36" s="148"/>
      <c r="HX36" s="148"/>
      <c r="HY36" s="148"/>
      <c r="HZ36" s="148"/>
      <c r="IA36" s="148"/>
      <c r="IB36" s="148"/>
      <c r="IC36" s="148"/>
      <c r="ID36" s="148"/>
    </row>
    <row r="37" spans="1:238" ht="15" customHeight="1" thickTop="1" x14ac:dyDescent="0.2">
      <c r="A37" s="652">
        <v>0</v>
      </c>
      <c r="B37" s="599"/>
      <c r="C37" s="656">
        <v>0</v>
      </c>
      <c r="D37" s="149">
        <v>0</v>
      </c>
      <c r="E37" s="149">
        <v>0</v>
      </c>
      <c r="F37" s="149">
        <v>0</v>
      </c>
      <c r="G37" s="149">
        <v>0</v>
      </c>
      <c r="H37" s="149">
        <v>0</v>
      </c>
      <c r="I37" s="149">
        <v>0</v>
      </c>
      <c r="J37" s="149">
        <v>0</v>
      </c>
      <c r="K37" s="148"/>
      <c r="L37" s="148"/>
      <c r="M37" s="148"/>
      <c r="N37" s="148"/>
      <c r="O37" s="148"/>
      <c r="P37" s="148"/>
      <c r="Q37" s="148"/>
      <c r="R37" s="148"/>
      <c r="S37" s="148"/>
      <c r="T37" s="148"/>
      <c r="U37" s="148"/>
      <c r="V37" s="148"/>
      <c r="W37" s="148"/>
      <c r="X37" s="148"/>
      <c r="Y37" s="148"/>
      <c r="Z37" s="148"/>
      <c r="AA37" s="148"/>
      <c r="AB37" s="148"/>
      <c r="AC37" s="148"/>
      <c r="AD37" s="148"/>
      <c r="AE37" s="148"/>
      <c r="AF37" s="148"/>
      <c r="AG37" s="148"/>
      <c r="AH37" s="148"/>
      <c r="AI37" s="148"/>
      <c r="AJ37" s="148"/>
      <c r="AK37" s="148"/>
      <c r="AL37" s="148"/>
      <c r="AM37" s="148"/>
      <c r="AN37" s="148"/>
      <c r="AO37" s="148"/>
      <c r="AP37" s="148"/>
      <c r="AQ37" s="148"/>
      <c r="AR37" s="148"/>
      <c r="AS37" s="148"/>
      <c r="AT37" s="148"/>
      <c r="AU37" s="148"/>
      <c r="AV37" s="148"/>
      <c r="AW37" s="148"/>
      <c r="AX37" s="148"/>
      <c r="AY37" s="148"/>
      <c r="AZ37" s="148"/>
      <c r="BA37" s="148"/>
      <c r="BB37" s="148"/>
      <c r="BC37" s="148"/>
      <c r="BD37" s="148"/>
      <c r="BE37" s="148"/>
      <c r="BF37" s="148"/>
      <c r="BG37" s="148"/>
      <c r="BH37" s="148"/>
      <c r="BI37" s="148"/>
      <c r="BJ37" s="148"/>
      <c r="BK37" s="148"/>
      <c r="BL37" s="148"/>
      <c r="BM37" s="148"/>
      <c r="BN37" s="148"/>
      <c r="BO37" s="148"/>
      <c r="BP37" s="148"/>
      <c r="BQ37" s="148"/>
      <c r="BR37" s="148"/>
      <c r="BS37" s="148"/>
      <c r="BT37" s="148"/>
      <c r="BU37" s="148"/>
      <c r="BV37" s="148"/>
      <c r="BW37" s="148"/>
      <c r="BX37" s="148"/>
      <c r="BY37" s="148"/>
      <c r="BZ37" s="148"/>
      <c r="CA37" s="148"/>
      <c r="CB37" s="148"/>
      <c r="CC37" s="148"/>
      <c r="CD37" s="148"/>
      <c r="CE37" s="148"/>
      <c r="CF37" s="148"/>
      <c r="CG37" s="148"/>
      <c r="CH37" s="148"/>
      <c r="CI37" s="148"/>
      <c r="CJ37" s="148"/>
      <c r="CK37" s="148"/>
      <c r="CL37" s="148"/>
      <c r="CM37" s="148"/>
      <c r="CN37" s="148"/>
      <c r="CO37" s="148"/>
      <c r="CP37" s="148"/>
      <c r="CQ37" s="148"/>
      <c r="CR37" s="148"/>
      <c r="CS37" s="148"/>
      <c r="CT37" s="148"/>
      <c r="CU37" s="148"/>
      <c r="CV37" s="148"/>
      <c r="CW37" s="148"/>
      <c r="CX37" s="148"/>
      <c r="CY37" s="148"/>
      <c r="CZ37" s="148"/>
      <c r="DA37" s="148"/>
      <c r="DB37" s="148"/>
      <c r="DC37" s="148"/>
      <c r="DD37" s="148"/>
      <c r="DE37" s="148"/>
      <c r="DF37" s="148"/>
      <c r="DG37" s="148"/>
      <c r="DH37" s="148"/>
      <c r="DI37" s="148"/>
      <c r="DJ37" s="148"/>
      <c r="DK37" s="148"/>
      <c r="DL37" s="148"/>
      <c r="DM37" s="148"/>
      <c r="DN37" s="148"/>
      <c r="DO37" s="148"/>
      <c r="DP37" s="148"/>
      <c r="DQ37" s="148"/>
      <c r="DR37" s="148"/>
      <c r="DS37" s="148"/>
      <c r="DT37" s="148"/>
      <c r="DU37" s="148"/>
      <c r="DV37" s="148"/>
      <c r="DW37" s="148"/>
      <c r="DX37" s="148"/>
      <c r="DY37" s="148"/>
      <c r="DZ37" s="148"/>
      <c r="EA37" s="148"/>
      <c r="EB37" s="148"/>
      <c r="EC37" s="148"/>
      <c r="ED37" s="148"/>
      <c r="EE37" s="148"/>
      <c r="EF37" s="148"/>
      <c r="EG37" s="148"/>
      <c r="EH37" s="148"/>
      <c r="EI37" s="148"/>
      <c r="EJ37" s="148"/>
      <c r="EK37" s="148"/>
      <c r="EL37" s="148"/>
      <c r="EM37" s="148"/>
      <c r="EN37" s="148"/>
      <c r="EO37" s="148"/>
      <c r="EP37" s="148"/>
      <c r="EQ37" s="148"/>
      <c r="ER37" s="148"/>
      <c r="ES37" s="148"/>
      <c r="ET37" s="148"/>
      <c r="EU37" s="148"/>
      <c r="EV37" s="148"/>
      <c r="EW37" s="148"/>
      <c r="EX37" s="148"/>
      <c r="EY37" s="148"/>
      <c r="EZ37" s="148"/>
      <c r="FA37" s="148"/>
      <c r="FB37" s="148"/>
      <c r="FC37" s="148"/>
      <c r="FD37" s="148"/>
      <c r="FE37" s="148"/>
      <c r="FF37" s="148"/>
      <c r="FG37" s="148"/>
      <c r="FH37" s="148"/>
      <c r="FI37" s="148"/>
      <c r="FJ37" s="148"/>
      <c r="FK37" s="148"/>
      <c r="FL37" s="148"/>
      <c r="FM37" s="148"/>
      <c r="FN37" s="148"/>
      <c r="FO37" s="148"/>
      <c r="FP37" s="148"/>
      <c r="FQ37" s="148"/>
      <c r="FR37" s="148"/>
      <c r="FS37" s="148"/>
      <c r="FT37" s="148"/>
      <c r="FU37" s="148"/>
      <c r="FV37" s="148"/>
      <c r="FW37" s="148"/>
      <c r="FX37" s="148"/>
      <c r="FY37" s="148"/>
      <c r="FZ37" s="148"/>
      <c r="GA37" s="148"/>
      <c r="GB37" s="148"/>
      <c r="GC37" s="148"/>
      <c r="GD37" s="148"/>
      <c r="GE37" s="148"/>
      <c r="GF37" s="148"/>
      <c r="GG37" s="148"/>
      <c r="GH37" s="148"/>
      <c r="GI37" s="148"/>
      <c r="GJ37" s="148"/>
      <c r="GK37" s="148"/>
      <c r="GL37" s="148"/>
      <c r="GM37" s="148"/>
      <c r="GN37" s="148"/>
      <c r="GO37" s="148"/>
      <c r="GP37" s="148"/>
      <c r="GQ37" s="148"/>
      <c r="GR37" s="148"/>
      <c r="GS37" s="148"/>
      <c r="GT37" s="148"/>
      <c r="GU37" s="148"/>
      <c r="GV37" s="148"/>
      <c r="GW37" s="148"/>
      <c r="GX37" s="148"/>
      <c r="GY37" s="148"/>
      <c r="GZ37" s="148"/>
      <c r="HA37" s="148"/>
      <c r="HB37" s="148"/>
      <c r="HC37" s="148"/>
      <c r="HD37" s="148"/>
      <c r="HE37" s="148"/>
      <c r="HF37" s="148"/>
      <c r="HG37" s="148"/>
      <c r="HH37" s="148"/>
      <c r="HI37" s="148"/>
      <c r="HJ37" s="148"/>
      <c r="HK37" s="148"/>
      <c r="HL37" s="148"/>
      <c r="HM37" s="148"/>
      <c r="HN37" s="148"/>
      <c r="HO37" s="148"/>
      <c r="HP37" s="148"/>
      <c r="HQ37" s="148"/>
      <c r="HR37" s="148"/>
      <c r="HS37" s="148"/>
      <c r="HT37" s="148"/>
      <c r="HU37" s="148"/>
      <c r="HV37" s="148"/>
      <c r="HW37" s="148"/>
      <c r="HX37" s="148"/>
      <c r="HY37" s="148"/>
      <c r="HZ37" s="148"/>
      <c r="IA37" s="148"/>
      <c r="IB37" s="148"/>
      <c r="IC37" s="148"/>
      <c r="ID37" s="148"/>
    </row>
    <row r="38" spans="1:238" ht="15" customHeight="1" thickBot="1" x14ac:dyDescent="0.25">
      <c r="A38" s="654">
        <v>2283</v>
      </c>
      <c r="B38" s="599"/>
      <c r="C38" s="655" t="s">
        <v>257</v>
      </c>
      <c r="D38" s="151">
        <v>29</v>
      </c>
      <c r="E38" s="151" t="s">
        <v>34</v>
      </c>
      <c r="F38" s="151" t="s">
        <v>34</v>
      </c>
      <c r="G38" s="151" t="s">
        <v>34</v>
      </c>
      <c r="H38" s="151">
        <v>49</v>
      </c>
      <c r="I38" s="151" t="s">
        <v>399</v>
      </c>
      <c r="J38" s="151" t="s">
        <v>400</v>
      </c>
      <c r="K38" s="155"/>
      <c r="L38" s="148"/>
      <c r="M38" s="148"/>
      <c r="N38" s="148"/>
      <c r="O38" s="148"/>
      <c r="P38" s="148"/>
      <c r="Q38" s="148"/>
      <c r="R38" s="148"/>
      <c r="S38" s="148"/>
      <c r="T38" s="148"/>
      <c r="U38" s="148"/>
      <c r="V38" s="148"/>
      <c r="W38" s="148"/>
      <c r="X38" s="148"/>
      <c r="Y38" s="148"/>
      <c r="Z38" s="148"/>
      <c r="AA38" s="148"/>
      <c r="AB38" s="148"/>
      <c r="AC38" s="148"/>
      <c r="AD38" s="148"/>
      <c r="AE38" s="148"/>
      <c r="AF38" s="148"/>
      <c r="AG38" s="148"/>
      <c r="AH38" s="148"/>
      <c r="AI38" s="148"/>
      <c r="AJ38" s="148"/>
      <c r="AK38" s="148"/>
      <c r="AL38" s="148"/>
      <c r="AM38" s="148"/>
      <c r="AN38" s="148"/>
      <c r="AO38" s="148"/>
      <c r="AP38" s="148"/>
      <c r="AQ38" s="148"/>
      <c r="AR38" s="148"/>
      <c r="AS38" s="148"/>
      <c r="AT38" s="148"/>
      <c r="AU38" s="148"/>
      <c r="AV38" s="148"/>
      <c r="AW38" s="148"/>
      <c r="AX38" s="148"/>
      <c r="AY38" s="148"/>
      <c r="AZ38" s="148"/>
      <c r="BA38" s="148"/>
      <c r="BB38" s="148"/>
      <c r="BC38" s="148"/>
      <c r="BD38" s="148"/>
      <c r="BE38" s="148"/>
      <c r="BF38" s="148"/>
      <c r="BG38" s="148"/>
      <c r="BH38" s="148"/>
      <c r="BI38" s="148"/>
      <c r="BJ38" s="148"/>
      <c r="BK38" s="148"/>
      <c r="BL38" s="148"/>
      <c r="BM38" s="148"/>
      <c r="BN38" s="148"/>
      <c r="BO38" s="148"/>
      <c r="BP38" s="148"/>
      <c r="BQ38" s="148"/>
      <c r="BR38" s="148"/>
      <c r="BS38" s="148"/>
      <c r="BT38" s="148"/>
      <c r="BU38" s="148"/>
      <c r="BV38" s="148"/>
      <c r="BW38" s="148"/>
      <c r="BX38" s="148"/>
      <c r="BY38" s="148"/>
      <c r="BZ38" s="148"/>
      <c r="CA38" s="148"/>
      <c r="CB38" s="148"/>
      <c r="CC38" s="148"/>
      <c r="CD38" s="148"/>
      <c r="CE38" s="148"/>
      <c r="CF38" s="148"/>
      <c r="CG38" s="148"/>
      <c r="CH38" s="148"/>
      <c r="CI38" s="148"/>
      <c r="CJ38" s="148"/>
      <c r="CK38" s="148"/>
      <c r="CL38" s="148"/>
      <c r="CM38" s="148"/>
      <c r="CN38" s="148"/>
      <c r="CO38" s="148"/>
      <c r="CP38" s="148"/>
      <c r="CQ38" s="148"/>
      <c r="CR38" s="148"/>
      <c r="CS38" s="148"/>
      <c r="CT38" s="148"/>
      <c r="CU38" s="148"/>
      <c r="CV38" s="148"/>
      <c r="CW38" s="148"/>
      <c r="CX38" s="148"/>
      <c r="CY38" s="148"/>
      <c r="CZ38" s="148"/>
      <c r="DA38" s="148"/>
      <c r="DB38" s="148"/>
      <c r="DC38" s="148"/>
      <c r="DD38" s="148"/>
      <c r="DE38" s="148"/>
      <c r="DF38" s="148"/>
      <c r="DG38" s="148"/>
      <c r="DH38" s="148"/>
      <c r="DI38" s="148"/>
      <c r="DJ38" s="148"/>
      <c r="DK38" s="148"/>
      <c r="DL38" s="148"/>
      <c r="DM38" s="148"/>
      <c r="DN38" s="148"/>
      <c r="DO38" s="148"/>
      <c r="DP38" s="148"/>
      <c r="DQ38" s="148"/>
      <c r="DR38" s="148"/>
      <c r="DS38" s="148"/>
      <c r="DT38" s="148"/>
      <c r="DU38" s="148"/>
      <c r="DV38" s="148"/>
      <c r="DW38" s="148"/>
      <c r="DX38" s="148"/>
      <c r="DY38" s="148"/>
      <c r="DZ38" s="148"/>
      <c r="EA38" s="148"/>
      <c r="EB38" s="148"/>
      <c r="EC38" s="148"/>
      <c r="ED38" s="148"/>
      <c r="EE38" s="148"/>
      <c r="EF38" s="148"/>
      <c r="EG38" s="148"/>
      <c r="EH38" s="148"/>
      <c r="EI38" s="148"/>
      <c r="EJ38" s="148"/>
      <c r="EK38" s="148"/>
      <c r="EL38" s="148"/>
      <c r="EM38" s="148"/>
      <c r="EN38" s="148"/>
      <c r="EO38" s="148"/>
      <c r="EP38" s="148"/>
      <c r="EQ38" s="148"/>
      <c r="ER38" s="148"/>
      <c r="ES38" s="148"/>
      <c r="ET38" s="148"/>
      <c r="EU38" s="148"/>
      <c r="EV38" s="148"/>
      <c r="EW38" s="148"/>
      <c r="EX38" s="148"/>
      <c r="EY38" s="148"/>
      <c r="EZ38" s="148"/>
      <c r="FA38" s="148"/>
      <c r="FB38" s="148"/>
      <c r="FC38" s="148"/>
      <c r="FD38" s="148"/>
      <c r="FE38" s="148"/>
      <c r="FF38" s="148"/>
      <c r="FG38" s="148"/>
      <c r="FH38" s="148"/>
      <c r="FI38" s="148"/>
      <c r="FJ38" s="148"/>
      <c r="FK38" s="148"/>
      <c r="FL38" s="148"/>
      <c r="FM38" s="148"/>
      <c r="FN38" s="148"/>
      <c r="FO38" s="148"/>
      <c r="FP38" s="148"/>
      <c r="FQ38" s="148"/>
      <c r="FR38" s="148"/>
      <c r="FS38" s="148"/>
      <c r="FT38" s="148"/>
      <c r="FU38" s="148"/>
      <c r="FV38" s="148"/>
      <c r="FW38" s="148"/>
      <c r="FX38" s="148"/>
      <c r="FY38" s="148"/>
      <c r="FZ38" s="148"/>
      <c r="GA38" s="148"/>
      <c r="GB38" s="148"/>
      <c r="GC38" s="148"/>
      <c r="GD38" s="148"/>
      <c r="GE38" s="148"/>
      <c r="GF38" s="148"/>
      <c r="GG38" s="148"/>
      <c r="GH38" s="148"/>
      <c r="GI38" s="148"/>
      <c r="GJ38" s="148"/>
      <c r="GK38" s="148"/>
      <c r="GL38" s="148"/>
      <c r="GM38" s="148"/>
      <c r="GN38" s="148"/>
      <c r="GO38" s="148"/>
      <c r="GP38" s="148"/>
      <c r="GQ38" s="148"/>
      <c r="GR38" s="148"/>
      <c r="GS38" s="148"/>
      <c r="GT38" s="148"/>
      <c r="GU38" s="148"/>
      <c r="GV38" s="148"/>
      <c r="GW38" s="148"/>
      <c r="GX38" s="148"/>
      <c r="GY38" s="148"/>
      <c r="GZ38" s="148"/>
      <c r="HA38" s="148"/>
      <c r="HB38" s="148"/>
      <c r="HC38" s="148"/>
      <c r="HD38" s="148"/>
      <c r="HE38" s="148"/>
      <c r="HF38" s="148"/>
      <c r="HG38" s="148"/>
      <c r="HH38" s="148"/>
      <c r="HI38" s="148"/>
      <c r="HJ38" s="148"/>
      <c r="HK38" s="148"/>
      <c r="HL38" s="148"/>
      <c r="HM38" s="148"/>
      <c r="HN38" s="148"/>
      <c r="HO38" s="148"/>
      <c r="HP38" s="148"/>
      <c r="HQ38" s="148"/>
      <c r="HR38" s="148"/>
      <c r="HS38" s="148"/>
      <c r="HT38" s="148"/>
      <c r="HU38" s="148"/>
      <c r="HV38" s="148"/>
      <c r="HW38" s="148"/>
      <c r="HX38" s="148"/>
      <c r="HY38" s="148"/>
      <c r="HZ38" s="148"/>
      <c r="IA38" s="148"/>
      <c r="IB38" s="148"/>
      <c r="IC38" s="148"/>
      <c r="ID38" s="148"/>
    </row>
    <row r="39" spans="1:238" ht="15" customHeight="1" thickTop="1" x14ac:dyDescent="0.2">
      <c r="A39" s="652">
        <v>0</v>
      </c>
      <c r="B39" s="599"/>
      <c r="C39" s="656">
        <v>0</v>
      </c>
      <c r="D39" s="149">
        <v>0</v>
      </c>
      <c r="E39" s="149">
        <v>0</v>
      </c>
      <c r="F39" s="149">
        <v>0</v>
      </c>
      <c r="G39" s="149">
        <v>0</v>
      </c>
      <c r="H39" s="149">
        <v>0</v>
      </c>
      <c r="I39" s="149">
        <v>0</v>
      </c>
      <c r="J39" s="149">
        <v>0</v>
      </c>
      <c r="K39" s="148"/>
      <c r="L39" s="148"/>
      <c r="M39" s="148"/>
      <c r="N39" s="148"/>
      <c r="O39" s="148"/>
      <c r="P39" s="148"/>
      <c r="Q39" s="148"/>
      <c r="R39" s="148"/>
      <c r="S39" s="148"/>
      <c r="T39" s="148"/>
      <c r="U39" s="148"/>
      <c r="V39" s="148"/>
      <c r="W39" s="148"/>
      <c r="X39" s="148"/>
      <c r="Y39" s="148"/>
      <c r="Z39" s="148"/>
      <c r="AA39" s="148"/>
      <c r="AB39" s="148"/>
      <c r="AC39" s="148"/>
      <c r="AD39" s="148"/>
      <c r="AE39" s="148"/>
      <c r="AF39" s="148"/>
      <c r="AG39" s="148"/>
      <c r="AH39" s="148"/>
      <c r="AI39" s="148"/>
      <c r="AJ39" s="148"/>
      <c r="AK39" s="148"/>
      <c r="AL39" s="148"/>
      <c r="AM39" s="148"/>
      <c r="AN39" s="148"/>
      <c r="AO39" s="148"/>
      <c r="AP39" s="148"/>
      <c r="AQ39" s="148"/>
      <c r="AR39" s="148"/>
      <c r="AS39" s="148"/>
      <c r="AT39" s="148"/>
      <c r="AU39" s="148"/>
      <c r="AV39" s="148"/>
      <c r="AW39" s="148"/>
      <c r="AX39" s="148"/>
      <c r="AY39" s="148"/>
      <c r="AZ39" s="148"/>
      <c r="BA39" s="148"/>
      <c r="BB39" s="148"/>
      <c r="BC39" s="148"/>
      <c r="BD39" s="148"/>
      <c r="BE39" s="148"/>
      <c r="BF39" s="148"/>
      <c r="BG39" s="148"/>
      <c r="BH39" s="148"/>
      <c r="BI39" s="148"/>
      <c r="BJ39" s="148"/>
      <c r="BK39" s="148"/>
      <c r="BL39" s="148"/>
      <c r="BM39" s="148"/>
      <c r="BN39" s="148"/>
      <c r="BO39" s="148"/>
      <c r="BP39" s="148"/>
      <c r="BQ39" s="148"/>
      <c r="BR39" s="148"/>
      <c r="BS39" s="148"/>
      <c r="BT39" s="148"/>
      <c r="BU39" s="148"/>
      <c r="BV39" s="148"/>
      <c r="BW39" s="148"/>
      <c r="BX39" s="148"/>
      <c r="BY39" s="148"/>
      <c r="BZ39" s="148"/>
      <c r="CA39" s="148"/>
      <c r="CB39" s="148"/>
      <c r="CC39" s="148"/>
      <c r="CD39" s="148"/>
      <c r="CE39" s="148"/>
      <c r="CF39" s="148"/>
      <c r="CG39" s="148"/>
      <c r="CH39" s="148"/>
      <c r="CI39" s="148"/>
      <c r="CJ39" s="148"/>
      <c r="CK39" s="148"/>
      <c r="CL39" s="148"/>
      <c r="CM39" s="148"/>
      <c r="CN39" s="148"/>
      <c r="CO39" s="148"/>
      <c r="CP39" s="148"/>
      <c r="CQ39" s="148"/>
      <c r="CR39" s="148"/>
      <c r="CS39" s="148"/>
      <c r="CT39" s="148"/>
      <c r="CU39" s="148"/>
      <c r="CV39" s="148"/>
      <c r="CW39" s="148"/>
      <c r="CX39" s="148"/>
      <c r="CY39" s="148"/>
      <c r="CZ39" s="148"/>
      <c r="DA39" s="148"/>
      <c r="DB39" s="148"/>
      <c r="DC39" s="148"/>
      <c r="DD39" s="148"/>
      <c r="DE39" s="148"/>
      <c r="DF39" s="148"/>
      <c r="DG39" s="148"/>
      <c r="DH39" s="148"/>
      <c r="DI39" s="148"/>
      <c r="DJ39" s="148"/>
      <c r="DK39" s="148"/>
      <c r="DL39" s="148"/>
      <c r="DM39" s="148"/>
      <c r="DN39" s="148"/>
      <c r="DO39" s="148"/>
      <c r="DP39" s="148"/>
      <c r="DQ39" s="148"/>
      <c r="DR39" s="148"/>
      <c r="DS39" s="148"/>
      <c r="DT39" s="148"/>
      <c r="DU39" s="148"/>
      <c r="DV39" s="148"/>
      <c r="DW39" s="148"/>
      <c r="DX39" s="148"/>
      <c r="DY39" s="148"/>
      <c r="DZ39" s="148"/>
      <c r="EA39" s="148"/>
      <c r="EB39" s="148"/>
      <c r="EC39" s="148"/>
      <c r="ED39" s="148"/>
      <c r="EE39" s="148"/>
      <c r="EF39" s="148"/>
      <c r="EG39" s="148"/>
      <c r="EH39" s="148"/>
      <c r="EI39" s="148"/>
      <c r="EJ39" s="148"/>
      <c r="EK39" s="148"/>
      <c r="EL39" s="148"/>
      <c r="EM39" s="148"/>
      <c r="EN39" s="148"/>
      <c r="EO39" s="148"/>
      <c r="EP39" s="148"/>
      <c r="EQ39" s="148"/>
      <c r="ER39" s="148"/>
      <c r="ES39" s="148"/>
      <c r="ET39" s="148"/>
      <c r="EU39" s="148"/>
      <c r="EV39" s="148"/>
      <c r="EW39" s="148"/>
      <c r="EX39" s="148"/>
      <c r="EY39" s="148"/>
      <c r="EZ39" s="148"/>
      <c r="FA39" s="148"/>
      <c r="FB39" s="148"/>
      <c r="FC39" s="148"/>
      <c r="FD39" s="148"/>
      <c r="FE39" s="148"/>
      <c r="FF39" s="148"/>
      <c r="FG39" s="148"/>
      <c r="FH39" s="148"/>
      <c r="FI39" s="148"/>
      <c r="FJ39" s="148"/>
      <c r="FK39" s="148"/>
      <c r="FL39" s="148"/>
      <c r="FM39" s="148"/>
      <c r="FN39" s="148"/>
      <c r="FO39" s="148"/>
      <c r="FP39" s="148"/>
      <c r="FQ39" s="148"/>
      <c r="FR39" s="148"/>
      <c r="FS39" s="148"/>
      <c r="FT39" s="148"/>
      <c r="FU39" s="148"/>
      <c r="FV39" s="148"/>
      <c r="FW39" s="148"/>
      <c r="FX39" s="148"/>
      <c r="FY39" s="148"/>
      <c r="FZ39" s="148"/>
      <c r="GA39" s="148"/>
      <c r="GB39" s="148"/>
      <c r="GC39" s="148"/>
      <c r="GD39" s="148"/>
      <c r="GE39" s="148"/>
      <c r="GF39" s="148"/>
      <c r="GG39" s="148"/>
      <c r="GH39" s="148"/>
      <c r="GI39" s="148"/>
      <c r="GJ39" s="148"/>
      <c r="GK39" s="148"/>
      <c r="GL39" s="148"/>
      <c r="GM39" s="148"/>
      <c r="GN39" s="148"/>
      <c r="GO39" s="148"/>
      <c r="GP39" s="148"/>
      <c r="GQ39" s="148"/>
      <c r="GR39" s="148"/>
      <c r="GS39" s="148"/>
      <c r="GT39" s="148"/>
      <c r="GU39" s="148"/>
      <c r="GV39" s="148"/>
      <c r="GW39" s="148"/>
      <c r="GX39" s="148"/>
      <c r="GY39" s="148"/>
      <c r="GZ39" s="148"/>
      <c r="HA39" s="148"/>
      <c r="HB39" s="148"/>
      <c r="HC39" s="148"/>
      <c r="HD39" s="148"/>
      <c r="HE39" s="148"/>
      <c r="HF39" s="148"/>
      <c r="HG39" s="148"/>
      <c r="HH39" s="148"/>
      <c r="HI39" s="148"/>
      <c r="HJ39" s="148"/>
      <c r="HK39" s="148"/>
      <c r="HL39" s="148"/>
      <c r="HM39" s="148"/>
      <c r="HN39" s="148"/>
      <c r="HO39" s="148"/>
      <c r="HP39" s="148"/>
      <c r="HQ39" s="148"/>
      <c r="HR39" s="148"/>
      <c r="HS39" s="148"/>
      <c r="HT39" s="148"/>
      <c r="HU39" s="148"/>
      <c r="HV39" s="148"/>
      <c r="HW39" s="148"/>
      <c r="HX39" s="148"/>
      <c r="HY39" s="148"/>
      <c r="HZ39" s="148"/>
      <c r="IA39" s="148"/>
      <c r="IB39" s="148"/>
      <c r="IC39" s="148"/>
      <c r="ID39" s="156"/>
    </row>
    <row r="40" spans="1:238" ht="15" customHeight="1" thickBot="1" x14ac:dyDescent="0.25">
      <c r="A40" s="654">
        <v>2166</v>
      </c>
      <c r="B40" s="599"/>
      <c r="C40" s="655" t="s">
        <v>258</v>
      </c>
      <c r="D40" s="151">
        <v>21</v>
      </c>
      <c r="E40" s="151">
        <v>50</v>
      </c>
      <c r="F40" s="151">
        <v>17</v>
      </c>
      <c r="G40" s="151">
        <v>19</v>
      </c>
      <c r="H40" s="151" t="s">
        <v>34</v>
      </c>
      <c r="I40" s="151" t="s">
        <v>34</v>
      </c>
      <c r="J40" s="151" t="s">
        <v>401</v>
      </c>
      <c r="K40" s="148"/>
      <c r="L40" s="148"/>
      <c r="M40" s="148"/>
      <c r="N40" s="148"/>
      <c r="O40" s="148"/>
      <c r="P40" s="148"/>
      <c r="Q40" s="148"/>
      <c r="R40" s="148"/>
      <c r="S40" s="148"/>
      <c r="T40" s="148"/>
      <c r="U40" s="148"/>
      <c r="V40" s="148"/>
      <c r="W40" s="148"/>
      <c r="X40" s="148"/>
      <c r="Y40" s="148"/>
      <c r="Z40" s="148"/>
      <c r="AA40" s="148"/>
      <c r="AB40" s="148"/>
      <c r="AC40" s="148"/>
      <c r="AD40" s="148"/>
      <c r="AE40" s="148"/>
      <c r="AF40" s="148"/>
      <c r="AG40" s="148"/>
      <c r="AH40" s="148"/>
      <c r="AI40" s="148"/>
      <c r="AJ40" s="148"/>
      <c r="AK40" s="148"/>
      <c r="AL40" s="148"/>
      <c r="AM40" s="148"/>
      <c r="AN40" s="148"/>
      <c r="AO40" s="148"/>
      <c r="AP40" s="148"/>
      <c r="AQ40" s="148"/>
      <c r="AR40" s="148"/>
      <c r="AS40" s="148"/>
      <c r="AT40" s="148"/>
      <c r="AU40" s="148"/>
      <c r="AV40" s="148"/>
      <c r="AW40" s="148"/>
      <c r="AX40" s="148"/>
      <c r="AY40" s="148"/>
      <c r="AZ40" s="148"/>
      <c r="BA40" s="148"/>
      <c r="BB40" s="148"/>
      <c r="BC40" s="148"/>
      <c r="BD40" s="148"/>
      <c r="BE40" s="148"/>
      <c r="BF40" s="148"/>
      <c r="BG40" s="148"/>
      <c r="BH40" s="148"/>
      <c r="BI40" s="148"/>
      <c r="BJ40" s="148"/>
      <c r="BK40" s="148"/>
      <c r="BL40" s="148"/>
      <c r="BM40" s="148"/>
      <c r="BN40" s="148"/>
      <c r="BO40" s="148"/>
      <c r="BP40" s="148"/>
      <c r="BQ40" s="148"/>
      <c r="BR40" s="148"/>
      <c r="BS40" s="148"/>
      <c r="BT40" s="148"/>
      <c r="BU40" s="148"/>
      <c r="BV40" s="148"/>
      <c r="BW40" s="148"/>
      <c r="BX40" s="148"/>
      <c r="BY40" s="148"/>
      <c r="BZ40" s="148"/>
      <c r="CA40" s="148"/>
      <c r="CB40" s="148"/>
      <c r="CC40" s="148"/>
      <c r="CD40" s="148"/>
      <c r="CE40" s="148"/>
      <c r="CF40" s="148"/>
      <c r="CG40" s="148"/>
      <c r="CH40" s="148"/>
      <c r="CI40" s="148"/>
      <c r="CJ40" s="148"/>
      <c r="CK40" s="148"/>
      <c r="CL40" s="148"/>
      <c r="CM40" s="148"/>
      <c r="CN40" s="148"/>
      <c r="CO40" s="148"/>
      <c r="CP40" s="148"/>
      <c r="CQ40" s="148"/>
      <c r="CR40" s="148"/>
      <c r="CS40" s="148"/>
      <c r="CT40" s="148"/>
      <c r="CU40" s="148"/>
      <c r="CV40" s="148"/>
      <c r="CW40" s="148"/>
      <c r="CX40" s="148"/>
      <c r="CY40" s="148"/>
      <c r="CZ40" s="148"/>
      <c r="DA40" s="148"/>
      <c r="DB40" s="148"/>
      <c r="DC40" s="148"/>
      <c r="DD40" s="148"/>
      <c r="DE40" s="148"/>
      <c r="DF40" s="148"/>
      <c r="DG40" s="148"/>
      <c r="DH40" s="148"/>
      <c r="DI40" s="148"/>
      <c r="DJ40" s="148"/>
      <c r="DK40" s="148"/>
      <c r="DL40" s="148"/>
      <c r="DM40" s="148"/>
      <c r="DN40" s="148"/>
      <c r="DO40" s="148"/>
      <c r="DP40" s="148"/>
      <c r="DQ40" s="148"/>
      <c r="DR40" s="148"/>
      <c r="DS40" s="148"/>
      <c r="DT40" s="148"/>
      <c r="DU40" s="148"/>
      <c r="DV40" s="148"/>
      <c r="DW40" s="148"/>
      <c r="DX40" s="148"/>
      <c r="DY40" s="148"/>
      <c r="DZ40" s="148"/>
      <c r="EA40" s="148"/>
      <c r="EB40" s="148"/>
      <c r="EC40" s="148"/>
      <c r="ED40" s="148"/>
      <c r="EE40" s="148"/>
      <c r="EF40" s="148"/>
      <c r="EG40" s="148"/>
      <c r="EH40" s="148"/>
      <c r="EI40" s="148"/>
      <c r="EJ40" s="148"/>
      <c r="EK40" s="148"/>
      <c r="EL40" s="148"/>
      <c r="EM40" s="148"/>
      <c r="EN40" s="148"/>
      <c r="EO40" s="148"/>
      <c r="EP40" s="148"/>
      <c r="EQ40" s="148"/>
      <c r="ER40" s="148"/>
      <c r="ES40" s="148"/>
      <c r="ET40" s="148"/>
      <c r="EU40" s="148"/>
      <c r="EV40" s="148"/>
      <c r="EW40" s="148"/>
      <c r="EX40" s="148"/>
      <c r="EY40" s="148"/>
      <c r="EZ40" s="148"/>
      <c r="FA40" s="148"/>
      <c r="FB40" s="148"/>
      <c r="FC40" s="148"/>
      <c r="FD40" s="148"/>
      <c r="FE40" s="148"/>
      <c r="FF40" s="148"/>
      <c r="FG40" s="148"/>
      <c r="FH40" s="148"/>
      <c r="FI40" s="148"/>
      <c r="FJ40" s="148"/>
      <c r="FK40" s="148"/>
      <c r="FL40" s="148"/>
      <c r="FM40" s="148"/>
      <c r="FN40" s="148"/>
      <c r="FO40" s="148"/>
      <c r="FP40" s="148"/>
      <c r="FQ40" s="148"/>
      <c r="FR40" s="148"/>
      <c r="FS40" s="148"/>
      <c r="FT40" s="148"/>
      <c r="FU40" s="148"/>
      <c r="FV40" s="148"/>
      <c r="FW40" s="148"/>
      <c r="FX40" s="148"/>
      <c r="FY40" s="148"/>
      <c r="FZ40" s="148"/>
      <c r="GA40" s="148"/>
      <c r="GB40" s="148"/>
      <c r="GC40" s="148"/>
      <c r="GD40" s="148"/>
      <c r="GE40" s="148"/>
      <c r="GF40" s="148"/>
      <c r="GG40" s="148"/>
      <c r="GH40" s="148"/>
      <c r="GI40" s="148"/>
      <c r="GJ40" s="148"/>
      <c r="GK40" s="148"/>
      <c r="GL40" s="148"/>
      <c r="GM40" s="148"/>
      <c r="GN40" s="148"/>
      <c r="GO40" s="148"/>
      <c r="GP40" s="148"/>
      <c r="GQ40" s="148"/>
      <c r="GR40" s="148"/>
      <c r="GS40" s="148"/>
      <c r="GT40" s="148"/>
      <c r="GU40" s="148"/>
      <c r="GV40" s="148"/>
      <c r="GW40" s="148"/>
      <c r="GX40" s="148"/>
      <c r="GY40" s="148"/>
      <c r="GZ40" s="148"/>
      <c r="HA40" s="148"/>
      <c r="HB40" s="148"/>
      <c r="HC40" s="148"/>
      <c r="HD40" s="148"/>
      <c r="HE40" s="148"/>
      <c r="HF40" s="148"/>
      <c r="HG40" s="148"/>
      <c r="HH40" s="148"/>
      <c r="HI40" s="148"/>
      <c r="HJ40" s="148"/>
      <c r="HK40" s="148"/>
      <c r="HL40" s="148"/>
      <c r="HM40" s="148"/>
      <c r="HN40" s="148"/>
      <c r="HO40" s="148"/>
      <c r="HP40" s="148"/>
      <c r="HQ40" s="148"/>
      <c r="HR40" s="148"/>
      <c r="HS40" s="148"/>
      <c r="HT40" s="148"/>
      <c r="HU40" s="148"/>
      <c r="HV40" s="148"/>
      <c r="HW40" s="148"/>
      <c r="HX40" s="148"/>
      <c r="HY40" s="148"/>
      <c r="HZ40" s="148"/>
      <c r="IA40" s="148"/>
      <c r="IB40" s="148"/>
      <c r="IC40" s="148"/>
      <c r="ID40" s="148"/>
    </row>
    <row r="41" spans="1:238" ht="15" customHeight="1" thickTop="1" x14ac:dyDescent="0.2">
      <c r="A41" s="652">
        <v>0</v>
      </c>
      <c r="B41" s="599"/>
      <c r="C41" s="656">
        <v>0</v>
      </c>
      <c r="D41" s="149">
        <v>0</v>
      </c>
      <c r="E41" s="149">
        <v>0</v>
      </c>
      <c r="F41" s="149">
        <v>0</v>
      </c>
      <c r="G41" s="149">
        <v>0</v>
      </c>
      <c r="H41" s="149">
        <v>0</v>
      </c>
      <c r="I41" s="149">
        <v>0</v>
      </c>
      <c r="J41" s="149">
        <v>0</v>
      </c>
      <c r="K41" s="148"/>
      <c r="L41" s="148"/>
      <c r="M41" s="148"/>
      <c r="N41" s="148"/>
      <c r="O41" s="148"/>
      <c r="P41" s="148"/>
      <c r="Q41" s="148"/>
      <c r="R41" s="148"/>
      <c r="S41" s="148"/>
      <c r="T41" s="148"/>
      <c r="U41" s="148"/>
      <c r="V41" s="148"/>
      <c r="W41" s="148"/>
      <c r="X41" s="148"/>
      <c r="Y41" s="148"/>
      <c r="Z41" s="148"/>
      <c r="AA41" s="148"/>
      <c r="AB41" s="148"/>
      <c r="AC41" s="148"/>
      <c r="AD41" s="148"/>
      <c r="AE41" s="148"/>
      <c r="AF41" s="148"/>
      <c r="AG41" s="148"/>
      <c r="AH41" s="148"/>
      <c r="AI41" s="148"/>
      <c r="AJ41" s="148"/>
      <c r="AK41" s="148"/>
      <c r="AL41" s="148"/>
      <c r="AM41" s="148"/>
      <c r="AN41" s="148"/>
      <c r="AO41" s="148"/>
      <c r="AP41" s="148"/>
      <c r="AQ41" s="148"/>
      <c r="AR41" s="148"/>
      <c r="AS41" s="148"/>
      <c r="AT41" s="148"/>
      <c r="AU41" s="148"/>
      <c r="AV41" s="148"/>
      <c r="AW41" s="148"/>
      <c r="AX41" s="148"/>
      <c r="AY41" s="148"/>
      <c r="AZ41" s="148"/>
      <c r="BA41" s="148"/>
      <c r="BB41" s="148"/>
      <c r="BC41" s="148"/>
      <c r="BD41" s="148"/>
      <c r="BE41" s="148"/>
      <c r="BF41" s="148"/>
      <c r="BG41" s="148"/>
      <c r="BH41" s="148"/>
      <c r="BI41" s="148"/>
      <c r="BJ41" s="148"/>
      <c r="BK41" s="148"/>
      <c r="BL41" s="148"/>
      <c r="BM41" s="148"/>
      <c r="BN41" s="148"/>
      <c r="BO41" s="148"/>
      <c r="BP41" s="148"/>
      <c r="BQ41" s="148"/>
      <c r="BR41" s="148"/>
      <c r="BS41" s="148"/>
      <c r="BT41" s="148"/>
      <c r="BU41" s="148"/>
      <c r="BV41" s="148"/>
      <c r="BW41" s="148"/>
      <c r="BX41" s="148"/>
      <c r="BY41" s="148"/>
      <c r="BZ41" s="148"/>
      <c r="CA41" s="148"/>
      <c r="CB41" s="148"/>
      <c r="CC41" s="148"/>
      <c r="CD41" s="148"/>
      <c r="CE41" s="148"/>
      <c r="CF41" s="148"/>
      <c r="CG41" s="148"/>
      <c r="CH41" s="148"/>
      <c r="CI41" s="148"/>
      <c r="CJ41" s="148"/>
      <c r="CK41" s="148"/>
      <c r="CL41" s="148"/>
      <c r="CM41" s="148"/>
      <c r="CN41" s="148"/>
      <c r="CO41" s="148"/>
      <c r="CP41" s="148"/>
      <c r="CQ41" s="148"/>
      <c r="CR41" s="148"/>
      <c r="CS41" s="148"/>
      <c r="CT41" s="148"/>
      <c r="CU41" s="148"/>
      <c r="CV41" s="148"/>
      <c r="CW41" s="148"/>
      <c r="CX41" s="148"/>
      <c r="CY41" s="148"/>
      <c r="CZ41" s="148"/>
      <c r="DA41" s="148"/>
      <c r="DB41" s="148"/>
      <c r="DC41" s="148"/>
      <c r="DD41" s="148"/>
      <c r="DE41" s="148"/>
      <c r="DF41" s="148"/>
      <c r="DG41" s="148"/>
      <c r="DH41" s="148"/>
      <c r="DI41" s="148"/>
      <c r="DJ41" s="148"/>
      <c r="DK41" s="148"/>
      <c r="DL41" s="148"/>
      <c r="DM41" s="148"/>
      <c r="DN41" s="148"/>
      <c r="DO41" s="148"/>
      <c r="DP41" s="148"/>
      <c r="DQ41" s="148"/>
      <c r="DR41" s="148"/>
      <c r="DS41" s="148"/>
      <c r="DT41" s="148"/>
      <c r="DU41" s="148"/>
      <c r="DV41" s="148"/>
      <c r="DW41" s="148"/>
      <c r="DX41" s="148"/>
      <c r="DY41" s="148"/>
      <c r="DZ41" s="148"/>
      <c r="EA41" s="148"/>
      <c r="EB41" s="148"/>
      <c r="EC41" s="148"/>
      <c r="ED41" s="148"/>
      <c r="EE41" s="148"/>
      <c r="EF41" s="148"/>
      <c r="EG41" s="148"/>
      <c r="EH41" s="148"/>
      <c r="EI41" s="148"/>
      <c r="EJ41" s="148"/>
      <c r="EK41" s="148"/>
      <c r="EL41" s="148"/>
      <c r="EM41" s="148"/>
      <c r="EN41" s="148"/>
      <c r="EO41" s="148"/>
      <c r="EP41" s="148"/>
      <c r="EQ41" s="148"/>
      <c r="ER41" s="148"/>
      <c r="ES41" s="148"/>
      <c r="ET41" s="148"/>
      <c r="EU41" s="148"/>
      <c r="EV41" s="148"/>
      <c r="EW41" s="148"/>
      <c r="EX41" s="148"/>
      <c r="EY41" s="148"/>
      <c r="EZ41" s="148"/>
      <c r="FA41" s="148"/>
      <c r="FB41" s="148"/>
      <c r="FC41" s="148"/>
      <c r="FD41" s="148"/>
      <c r="FE41" s="148"/>
      <c r="FF41" s="148"/>
      <c r="FG41" s="148"/>
      <c r="FH41" s="148"/>
      <c r="FI41" s="148"/>
      <c r="FJ41" s="148"/>
      <c r="FK41" s="148"/>
      <c r="FL41" s="148"/>
      <c r="FM41" s="148"/>
      <c r="FN41" s="148"/>
      <c r="FO41" s="148"/>
      <c r="FP41" s="148"/>
      <c r="FQ41" s="148"/>
      <c r="FR41" s="148"/>
      <c r="FS41" s="148"/>
      <c r="FT41" s="148"/>
      <c r="FU41" s="148"/>
      <c r="FV41" s="148"/>
      <c r="FW41" s="148"/>
      <c r="FX41" s="148"/>
      <c r="FY41" s="148"/>
      <c r="FZ41" s="148"/>
      <c r="GA41" s="148"/>
      <c r="GB41" s="148"/>
      <c r="GC41" s="148"/>
      <c r="GD41" s="148"/>
      <c r="GE41" s="148"/>
      <c r="GF41" s="148"/>
      <c r="GG41" s="148"/>
      <c r="GH41" s="148"/>
      <c r="GI41" s="148"/>
      <c r="GJ41" s="148"/>
      <c r="GK41" s="148"/>
      <c r="GL41" s="148"/>
      <c r="GM41" s="148"/>
      <c r="GN41" s="148"/>
      <c r="GO41" s="148"/>
      <c r="GP41" s="148"/>
      <c r="GQ41" s="148"/>
      <c r="GR41" s="148"/>
      <c r="GS41" s="148"/>
      <c r="GT41" s="148"/>
      <c r="GU41" s="148"/>
      <c r="GV41" s="148"/>
      <c r="GW41" s="148"/>
      <c r="GX41" s="148"/>
      <c r="GY41" s="148"/>
      <c r="GZ41" s="148"/>
      <c r="HA41" s="148"/>
      <c r="HB41" s="148"/>
      <c r="HC41" s="148"/>
      <c r="HD41" s="148"/>
      <c r="HE41" s="148"/>
      <c r="HF41" s="148"/>
      <c r="HG41" s="148"/>
      <c r="HH41" s="148"/>
      <c r="HI41" s="148"/>
      <c r="HJ41" s="148"/>
      <c r="HK41" s="148"/>
      <c r="HL41" s="148"/>
      <c r="HM41" s="148"/>
      <c r="HN41" s="148"/>
      <c r="HO41" s="148"/>
      <c r="HP41" s="148"/>
      <c r="HQ41" s="148"/>
      <c r="HR41" s="148"/>
      <c r="HS41" s="148"/>
      <c r="HT41" s="148"/>
      <c r="HU41" s="148"/>
      <c r="HV41" s="148"/>
      <c r="HW41" s="148"/>
      <c r="HX41" s="148"/>
      <c r="HY41" s="148"/>
      <c r="HZ41" s="148"/>
      <c r="IA41" s="148"/>
      <c r="IB41" s="148"/>
      <c r="IC41" s="148"/>
      <c r="ID41" s="148"/>
    </row>
    <row r="42" spans="1:238" ht="15" customHeight="1" thickBot="1" x14ac:dyDescent="0.25">
      <c r="A42" s="654">
        <v>2696</v>
      </c>
      <c r="B42" s="599"/>
      <c r="C42" s="655" t="s">
        <v>259</v>
      </c>
      <c r="D42" s="151" t="s">
        <v>34</v>
      </c>
      <c r="E42" s="151">
        <v>57</v>
      </c>
      <c r="F42" s="151">
        <v>19</v>
      </c>
      <c r="G42" s="151">
        <v>12</v>
      </c>
      <c r="H42" s="151">
        <v>8</v>
      </c>
      <c r="I42" s="151" t="s">
        <v>34</v>
      </c>
      <c r="J42" s="151" t="s">
        <v>34</v>
      </c>
      <c r="K42" s="157"/>
      <c r="L42" s="148"/>
      <c r="M42" s="148"/>
      <c r="N42" s="148"/>
      <c r="O42" s="148"/>
      <c r="P42" s="148"/>
      <c r="Q42" s="148"/>
      <c r="R42" s="148"/>
      <c r="S42" s="148"/>
      <c r="T42" s="148"/>
      <c r="U42" s="148"/>
      <c r="V42" s="148"/>
      <c r="W42" s="148"/>
      <c r="X42" s="148"/>
      <c r="Y42" s="148"/>
      <c r="Z42" s="148"/>
      <c r="AA42" s="148"/>
      <c r="AB42" s="148"/>
      <c r="AC42" s="148"/>
      <c r="AD42" s="148"/>
      <c r="AE42" s="148"/>
      <c r="AF42" s="148"/>
      <c r="AG42" s="148"/>
      <c r="AH42" s="148"/>
      <c r="AI42" s="148"/>
      <c r="AJ42" s="148"/>
      <c r="AK42" s="148"/>
      <c r="AL42" s="148"/>
      <c r="AM42" s="148"/>
      <c r="AN42" s="148"/>
      <c r="AO42" s="148"/>
      <c r="AP42" s="148"/>
      <c r="AQ42" s="148"/>
      <c r="AR42" s="148"/>
      <c r="AS42" s="148"/>
      <c r="AT42" s="148"/>
      <c r="AU42" s="148"/>
      <c r="AV42" s="148"/>
      <c r="AW42" s="148"/>
      <c r="AX42" s="148"/>
      <c r="AY42" s="148"/>
      <c r="AZ42" s="148"/>
      <c r="BA42" s="148"/>
      <c r="BB42" s="148"/>
      <c r="BC42" s="148"/>
      <c r="BD42" s="148"/>
      <c r="BE42" s="148"/>
      <c r="BF42" s="148"/>
      <c r="BG42" s="148"/>
      <c r="BH42" s="148"/>
      <c r="BI42" s="148"/>
      <c r="BJ42" s="148"/>
      <c r="BK42" s="148"/>
      <c r="BL42" s="148"/>
      <c r="BM42" s="148"/>
      <c r="BN42" s="148"/>
      <c r="BO42" s="148"/>
      <c r="BP42" s="148"/>
      <c r="BQ42" s="148"/>
      <c r="BR42" s="148"/>
      <c r="BS42" s="148"/>
      <c r="BT42" s="148"/>
      <c r="BU42" s="148"/>
      <c r="BV42" s="148"/>
      <c r="BW42" s="148"/>
      <c r="BX42" s="148"/>
      <c r="BY42" s="148"/>
      <c r="BZ42" s="148"/>
      <c r="CA42" s="148"/>
      <c r="CB42" s="148"/>
      <c r="CC42" s="148"/>
      <c r="CD42" s="148"/>
      <c r="CE42" s="148"/>
      <c r="CF42" s="148"/>
      <c r="CG42" s="148"/>
      <c r="CH42" s="148"/>
      <c r="CI42" s="148"/>
      <c r="CJ42" s="148"/>
      <c r="CK42" s="148"/>
      <c r="CL42" s="148"/>
      <c r="CM42" s="148"/>
      <c r="CN42" s="148"/>
      <c r="CO42" s="148"/>
      <c r="CP42" s="148"/>
      <c r="CQ42" s="148"/>
      <c r="CR42" s="148"/>
      <c r="CS42" s="148"/>
      <c r="CT42" s="148"/>
      <c r="CU42" s="148"/>
      <c r="CV42" s="148"/>
      <c r="CW42" s="148"/>
      <c r="CX42" s="148"/>
      <c r="CY42" s="148"/>
      <c r="CZ42" s="148"/>
      <c r="DA42" s="148"/>
      <c r="DB42" s="148"/>
      <c r="DC42" s="148"/>
      <c r="DD42" s="148"/>
      <c r="DE42" s="148"/>
      <c r="DF42" s="148"/>
      <c r="DG42" s="148"/>
      <c r="DH42" s="148"/>
      <c r="DI42" s="148"/>
      <c r="DJ42" s="148"/>
      <c r="DK42" s="148"/>
      <c r="DL42" s="148"/>
      <c r="DM42" s="148"/>
      <c r="DN42" s="148"/>
      <c r="DO42" s="148"/>
      <c r="DP42" s="148"/>
      <c r="DQ42" s="148"/>
      <c r="DR42" s="148"/>
      <c r="DS42" s="148"/>
      <c r="DT42" s="148"/>
      <c r="DU42" s="148"/>
      <c r="DV42" s="148"/>
      <c r="DW42" s="148"/>
      <c r="DX42" s="148"/>
      <c r="DY42" s="148"/>
      <c r="DZ42" s="148"/>
      <c r="EA42" s="148"/>
      <c r="EB42" s="148"/>
      <c r="EC42" s="148"/>
      <c r="ED42" s="148"/>
      <c r="EE42" s="148"/>
      <c r="EF42" s="148"/>
      <c r="EG42" s="148"/>
      <c r="EH42" s="148"/>
      <c r="EI42" s="148"/>
      <c r="EJ42" s="148"/>
      <c r="EK42" s="148"/>
      <c r="EL42" s="148"/>
      <c r="EM42" s="148"/>
      <c r="EN42" s="148"/>
      <c r="EO42" s="148"/>
      <c r="EP42" s="148"/>
      <c r="EQ42" s="148"/>
      <c r="ER42" s="148"/>
      <c r="ES42" s="148"/>
      <c r="ET42" s="148"/>
      <c r="EU42" s="148"/>
      <c r="EV42" s="148"/>
      <c r="EW42" s="148"/>
      <c r="EX42" s="148"/>
      <c r="EY42" s="148"/>
      <c r="EZ42" s="148"/>
      <c r="FA42" s="148"/>
      <c r="FB42" s="148"/>
      <c r="FC42" s="148"/>
      <c r="FD42" s="148"/>
      <c r="FE42" s="148"/>
      <c r="FF42" s="148"/>
      <c r="FG42" s="148"/>
      <c r="FH42" s="148"/>
      <c r="FI42" s="148"/>
      <c r="FJ42" s="148"/>
      <c r="FK42" s="148"/>
      <c r="FL42" s="148"/>
      <c r="FM42" s="148"/>
      <c r="FN42" s="148"/>
      <c r="FO42" s="148"/>
      <c r="FP42" s="148"/>
      <c r="FQ42" s="148"/>
      <c r="FR42" s="148"/>
      <c r="FS42" s="148"/>
      <c r="FT42" s="148"/>
      <c r="FU42" s="148"/>
      <c r="FV42" s="148"/>
      <c r="FW42" s="148"/>
      <c r="FX42" s="148"/>
      <c r="FY42" s="148"/>
      <c r="FZ42" s="148"/>
      <c r="GA42" s="148"/>
      <c r="GB42" s="148"/>
      <c r="GC42" s="148"/>
      <c r="GD42" s="148"/>
      <c r="GE42" s="148"/>
      <c r="GF42" s="148"/>
      <c r="GG42" s="148"/>
      <c r="GH42" s="148"/>
      <c r="GI42" s="148"/>
      <c r="GJ42" s="148"/>
      <c r="GK42" s="148"/>
      <c r="GL42" s="148"/>
      <c r="GM42" s="148"/>
      <c r="GN42" s="148"/>
      <c r="GO42" s="148"/>
      <c r="GP42" s="148"/>
      <c r="GQ42" s="148"/>
      <c r="GR42" s="148"/>
      <c r="GS42" s="148"/>
      <c r="GT42" s="148"/>
      <c r="GU42" s="148"/>
      <c r="GV42" s="148"/>
      <c r="GW42" s="148"/>
      <c r="GX42" s="148"/>
      <c r="GY42" s="148"/>
      <c r="GZ42" s="148"/>
      <c r="HA42" s="148"/>
      <c r="HB42" s="148"/>
      <c r="HC42" s="148"/>
      <c r="HD42" s="148"/>
      <c r="HE42" s="148"/>
      <c r="HF42" s="148"/>
      <c r="HG42" s="148"/>
      <c r="HH42" s="148"/>
      <c r="HI42" s="148"/>
      <c r="HJ42" s="148"/>
      <c r="HK42" s="148"/>
      <c r="HL42" s="148"/>
      <c r="HM42" s="148"/>
      <c r="HN42" s="148"/>
      <c r="HO42" s="148"/>
      <c r="HP42" s="148"/>
      <c r="HQ42" s="148"/>
      <c r="HR42" s="148"/>
      <c r="HS42" s="148"/>
      <c r="HT42" s="148"/>
      <c r="HU42" s="148"/>
      <c r="HV42" s="148"/>
      <c r="HW42" s="148"/>
      <c r="HX42" s="148"/>
      <c r="HY42" s="148"/>
      <c r="HZ42" s="148"/>
      <c r="IA42" s="148"/>
      <c r="IB42" s="148"/>
      <c r="IC42" s="148"/>
      <c r="ID42" s="148"/>
    </row>
    <row r="43" spans="1:238" ht="15" customHeight="1" thickTop="1" x14ac:dyDescent="0.2">
      <c r="A43" s="652">
        <v>0</v>
      </c>
      <c r="B43" s="599"/>
      <c r="C43" s="656">
        <v>0</v>
      </c>
      <c r="D43" s="149">
        <v>0</v>
      </c>
      <c r="E43" s="149">
        <v>0</v>
      </c>
      <c r="F43" s="149">
        <v>0</v>
      </c>
      <c r="G43" s="149">
        <v>0</v>
      </c>
      <c r="H43" s="149">
        <v>0</v>
      </c>
      <c r="I43" s="149">
        <v>0</v>
      </c>
      <c r="J43" s="149">
        <v>0</v>
      </c>
      <c r="K43" s="148"/>
      <c r="L43" s="148"/>
      <c r="M43" s="148"/>
      <c r="N43" s="148"/>
      <c r="O43" s="148"/>
      <c r="P43" s="148"/>
      <c r="Q43" s="148"/>
      <c r="R43" s="148"/>
      <c r="S43" s="148"/>
      <c r="T43" s="148"/>
      <c r="U43" s="148"/>
      <c r="V43" s="148"/>
      <c r="W43" s="148"/>
      <c r="X43" s="148"/>
      <c r="Y43" s="148"/>
      <c r="Z43" s="148"/>
      <c r="AA43" s="148"/>
      <c r="AB43" s="148"/>
      <c r="AC43" s="148"/>
      <c r="AD43" s="148"/>
      <c r="AE43" s="148"/>
      <c r="AF43" s="148"/>
      <c r="AG43" s="148"/>
      <c r="AH43" s="148"/>
      <c r="AI43" s="148"/>
      <c r="AJ43" s="148"/>
      <c r="AK43" s="148"/>
      <c r="AL43" s="148"/>
      <c r="AM43" s="148"/>
      <c r="AN43" s="148"/>
      <c r="AO43" s="148"/>
      <c r="AP43" s="148"/>
      <c r="AQ43" s="148"/>
      <c r="AR43" s="148"/>
      <c r="AS43" s="148"/>
      <c r="AT43" s="148"/>
      <c r="AU43" s="148"/>
      <c r="AV43" s="148"/>
      <c r="AW43" s="148"/>
      <c r="AX43" s="148"/>
      <c r="AY43" s="148"/>
      <c r="AZ43" s="148"/>
      <c r="BA43" s="148"/>
      <c r="BB43" s="148"/>
      <c r="BC43" s="148"/>
      <c r="BD43" s="148"/>
      <c r="BE43" s="148"/>
      <c r="BF43" s="148"/>
      <c r="BG43" s="148"/>
      <c r="BH43" s="148"/>
      <c r="BI43" s="148"/>
      <c r="BJ43" s="148"/>
      <c r="BK43" s="148"/>
      <c r="BL43" s="148"/>
      <c r="BM43" s="148"/>
      <c r="BN43" s="148"/>
      <c r="BO43" s="148"/>
      <c r="BP43" s="148"/>
      <c r="BQ43" s="148"/>
      <c r="BR43" s="148"/>
      <c r="BS43" s="148"/>
      <c r="BT43" s="148"/>
      <c r="BU43" s="148"/>
      <c r="BV43" s="148"/>
      <c r="BW43" s="148"/>
      <c r="BX43" s="148"/>
      <c r="BY43" s="148"/>
      <c r="BZ43" s="148"/>
      <c r="CA43" s="148"/>
      <c r="CB43" s="148"/>
      <c r="CC43" s="148"/>
      <c r="CD43" s="148"/>
      <c r="CE43" s="148"/>
      <c r="CF43" s="148"/>
      <c r="CG43" s="148"/>
      <c r="CH43" s="148"/>
      <c r="CI43" s="148"/>
      <c r="CJ43" s="148"/>
      <c r="CK43" s="148"/>
      <c r="CL43" s="148"/>
      <c r="CM43" s="148"/>
      <c r="CN43" s="148"/>
      <c r="CO43" s="148"/>
      <c r="CP43" s="148"/>
      <c r="CQ43" s="148"/>
      <c r="CR43" s="148"/>
      <c r="CS43" s="148"/>
      <c r="CT43" s="148"/>
      <c r="CU43" s="148"/>
      <c r="CV43" s="148"/>
      <c r="CW43" s="148"/>
      <c r="CX43" s="148"/>
      <c r="CY43" s="148"/>
      <c r="CZ43" s="148"/>
      <c r="DA43" s="148"/>
      <c r="DB43" s="148"/>
      <c r="DC43" s="148"/>
      <c r="DD43" s="148"/>
      <c r="DE43" s="148"/>
      <c r="DF43" s="148"/>
      <c r="DG43" s="148"/>
      <c r="DH43" s="148"/>
      <c r="DI43" s="148"/>
      <c r="DJ43" s="148"/>
      <c r="DK43" s="148"/>
      <c r="DL43" s="148"/>
      <c r="DM43" s="148"/>
      <c r="DN43" s="148"/>
      <c r="DO43" s="148"/>
      <c r="DP43" s="148"/>
      <c r="DQ43" s="148"/>
      <c r="DR43" s="148"/>
      <c r="DS43" s="148"/>
      <c r="DT43" s="148"/>
      <c r="DU43" s="148"/>
      <c r="DV43" s="148"/>
      <c r="DW43" s="148"/>
      <c r="DX43" s="148"/>
      <c r="DY43" s="148"/>
      <c r="DZ43" s="148"/>
      <c r="EA43" s="148"/>
      <c r="EB43" s="148"/>
      <c r="EC43" s="148"/>
      <c r="ED43" s="148"/>
      <c r="EE43" s="148"/>
      <c r="EF43" s="148"/>
      <c r="EG43" s="148"/>
      <c r="EH43" s="148"/>
      <c r="EI43" s="148"/>
      <c r="EJ43" s="148"/>
      <c r="EK43" s="148"/>
      <c r="EL43" s="148"/>
      <c r="EM43" s="148"/>
      <c r="EN43" s="148"/>
      <c r="EO43" s="148"/>
      <c r="EP43" s="148"/>
      <c r="EQ43" s="148"/>
      <c r="ER43" s="148"/>
      <c r="ES43" s="148"/>
      <c r="ET43" s="148"/>
      <c r="EU43" s="148"/>
      <c r="EV43" s="148"/>
      <c r="EW43" s="148"/>
      <c r="EX43" s="148"/>
      <c r="EY43" s="148"/>
      <c r="EZ43" s="148"/>
      <c r="FA43" s="148"/>
      <c r="FB43" s="148"/>
      <c r="FC43" s="148"/>
      <c r="FD43" s="148"/>
      <c r="FE43" s="148"/>
      <c r="FF43" s="148"/>
      <c r="FG43" s="148"/>
      <c r="FH43" s="148"/>
      <c r="FI43" s="148"/>
      <c r="FJ43" s="148"/>
      <c r="FK43" s="148"/>
      <c r="FL43" s="148"/>
      <c r="FM43" s="148"/>
      <c r="FN43" s="148"/>
      <c r="FO43" s="148"/>
      <c r="FP43" s="148"/>
      <c r="FQ43" s="148"/>
      <c r="FR43" s="148"/>
      <c r="FS43" s="148"/>
      <c r="FT43" s="148"/>
      <c r="FU43" s="148"/>
      <c r="FV43" s="148"/>
      <c r="FW43" s="148"/>
      <c r="FX43" s="148"/>
      <c r="FY43" s="148"/>
      <c r="FZ43" s="148"/>
      <c r="GA43" s="148"/>
      <c r="GB43" s="148"/>
      <c r="GC43" s="148"/>
      <c r="GD43" s="148"/>
      <c r="GE43" s="148"/>
      <c r="GF43" s="148"/>
      <c r="GG43" s="148"/>
      <c r="GH43" s="148"/>
      <c r="GI43" s="148"/>
      <c r="GJ43" s="148"/>
      <c r="GK43" s="148"/>
      <c r="GL43" s="148"/>
      <c r="GM43" s="148"/>
      <c r="GN43" s="148"/>
      <c r="GO43" s="148"/>
      <c r="GP43" s="148"/>
      <c r="GQ43" s="148"/>
      <c r="GR43" s="148"/>
      <c r="GS43" s="148"/>
      <c r="GT43" s="148"/>
      <c r="GU43" s="148"/>
      <c r="GV43" s="148"/>
      <c r="GW43" s="148"/>
      <c r="GX43" s="148"/>
      <c r="GY43" s="148"/>
      <c r="GZ43" s="148"/>
      <c r="HA43" s="148"/>
      <c r="HB43" s="148"/>
      <c r="HC43" s="148"/>
      <c r="HD43" s="148"/>
      <c r="HE43" s="148"/>
      <c r="HF43" s="148"/>
      <c r="HG43" s="148"/>
      <c r="HH43" s="148"/>
      <c r="HI43" s="148"/>
      <c r="HJ43" s="148"/>
      <c r="HK43" s="148"/>
      <c r="HL43" s="148"/>
      <c r="HM43" s="148"/>
      <c r="HN43" s="148"/>
      <c r="HO43" s="148"/>
      <c r="HP43" s="148"/>
      <c r="HQ43" s="148"/>
      <c r="HR43" s="148"/>
      <c r="HS43" s="148"/>
      <c r="HT43" s="148"/>
      <c r="HU43" s="148"/>
      <c r="HV43" s="148"/>
      <c r="HW43" s="148"/>
      <c r="HX43" s="148"/>
      <c r="HY43" s="148"/>
      <c r="HZ43" s="148"/>
      <c r="IA43" s="148"/>
      <c r="IB43" s="148"/>
      <c r="IC43" s="148"/>
      <c r="ID43" s="148"/>
    </row>
    <row r="44" spans="1:238" ht="15" customHeight="1" thickBot="1" x14ac:dyDescent="0.25">
      <c r="A44" s="654">
        <v>2159</v>
      </c>
      <c r="B44" s="599"/>
      <c r="C44" s="655" t="s">
        <v>260</v>
      </c>
      <c r="D44" s="151" t="s">
        <v>249</v>
      </c>
      <c r="E44" s="151">
        <v>25</v>
      </c>
      <c r="F44" s="151" t="s">
        <v>249</v>
      </c>
      <c r="G44" s="151">
        <v>59</v>
      </c>
      <c r="H44" s="151" t="s">
        <v>249</v>
      </c>
      <c r="I44" s="151" t="s">
        <v>402</v>
      </c>
      <c r="J44" s="151" t="s">
        <v>34</v>
      </c>
      <c r="K44" s="148"/>
      <c r="L44" s="148"/>
      <c r="M44" s="148"/>
      <c r="N44" s="148"/>
      <c r="O44" s="148"/>
      <c r="P44" s="148"/>
      <c r="Q44" s="148"/>
      <c r="R44" s="148"/>
      <c r="S44" s="148"/>
      <c r="T44" s="148"/>
      <c r="U44" s="148"/>
      <c r="V44" s="148"/>
      <c r="W44" s="148"/>
      <c r="X44" s="148"/>
      <c r="Y44" s="148"/>
      <c r="Z44" s="148"/>
      <c r="AA44" s="148"/>
      <c r="AB44" s="148"/>
      <c r="AC44" s="148"/>
      <c r="AD44" s="148"/>
      <c r="AE44" s="148"/>
      <c r="AF44" s="148"/>
      <c r="AG44" s="148"/>
      <c r="AH44" s="148"/>
      <c r="AI44" s="148"/>
      <c r="AJ44" s="148"/>
      <c r="AK44" s="148"/>
      <c r="AL44" s="148"/>
      <c r="AM44" s="148"/>
      <c r="AN44" s="148"/>
      <c r="AO44" s="148"/>
      <c r="AP44" s="148"/>
      <c r="AQ44" s="148"/>
      <c r="AR44" s="148"/>
      <c r="AS44" s="148"/>
      <c r="AT44" s="148"/>
      <c r="AU44" s="148"/>
      <c r="AV44" s="148"/>
      <c r="AW44" s="148"/>
      <c r="AX44" s="148"/>
      <c r="AY44" s="148"/>
      <c r="AZ44" s="148"/>
      <c r="BA44" s="148"/>
      <c r="BB44" s="148"/>
      <c r="BC44" s="148"/>
      <c r="BD44" s="148"/>
      <c r="BE44" s="148"/>
      <c r="BF44" s="148"/>
      <c r="BG44" s="148"/>
      <c r="BH44" s="148"/>
      <c r="BI44" s="148"/>
      <c r="BJ44" s="148"/>
      <c r="BK44" s="148"/>
      <c r="BL44" s="148"/>
      <c r="BM44" s="148"/>
      <c r="BN44" s="148"/>
      <c r="BO44" s="148"/>
      <c r="BP44" s="148"/>
      <c r="BQ44" s="148"/>
      <c r="BR44" s="148"/>
      <c r="BS44" s="148"/>
      <c r="BT44" s="148"/>
      <c r="BU44" s="148"/>
      <c r="BV44" s="148"/>
      <c r="BW44" s="148"/>
      <c r="BX44" s="148"/>
      <c r="BY44" s="148"/>
      <c r="BZ44" s="148"/>
      <c r="CA44" s="148"/>
      <c r="CB44" s="148"/>
      <c r="CC44" s="148"/>
      <c r="CD44" s="148"/>
      <c r="CE44" s="148"/>
      <c r="CF44" s="148"/>
      <c r="CG44" s="148"/>
      <c r="CH44" s="148"/>
      <c r="CI44" s="148"/>
      <c r="CJ44" s="148"/>
      <c r="CK44" s="148"/>
      <c r="CL44" s="148"/>
      <c r="CM44" s="148"/>
      <c r="CN44" s="148"/>
      <c r="CO44" s="148"/>
      <c r="CP44" s="148"/>
      <c r="CQ44" s="148"/>
      <c r="CR44" s="148"/>
      <c r="CS44" s="148"/>
      <c r="CT44" s="148"/>
      <c r="CU44" s="148"/>
      <c r="CV44" s="148"/>
      <c r="CW44" s="148"/>
      <c r="CX44" s="148"/>
      <c r="CY44" s="148"/>
      <c r="CZ44" s="148"/>
      <c r="DA44" s="148"/>
      <c r="DB44" s="148"/>
      <c r="DC44" s="148"/>
      <c r="DD44" s="148"/>
      <c r="DE44" s="148"/>
      <c r="DF44" s="148"/>
      <c r="DG44" s="148"/>
      <c r="DH44" s="148"/>
      <c r="DI44" s="148"/>
      <c r="DJ44" s="148"/>
      <c r="DK44" s="148"/>
      <c r="DL44" s="148"/>
      <c r="DM44" s="148"/>
      <c r="DN44" s="148"/>
      <c r="DO44" s="148"/>
      <c r="DP44" s="148"/>
      <c r="DQ44" s="148"/>
      <c r="DR44" s="148"/>
      <c r="DS44" s="148"/>
      <c r="DT44" s="148"/>
      <c r="DU44" s="148"/>
      <c r="DV44" s="148"/>
      <c r="DW44" s="148"/>
      <c r="DX44" s="148"/>
      <c r="DY44" s="148"/>
      <c r="DZ44" s="148"/>
      <c r="EA44" s="148"/>
      <c r="EB44" s="148"/>
      <c r="EC44" s="148"/>
      <c r="ED44" s="148"/>
      <c r="EE44" s="148"/>
      <c r="EF44" s="148"/>
      <c r="EG44" s="148"/>
      <c r="EH44" s="148"/>
      <c r="EI44" s="148"/>
      <c r="EJ44" s="148"/>
      <c r="EK44" s="148"/>
      <c r="EL44" s="148"/>
      <c r="EM44" s="148"/>
      <c r="EN44" s="148"/>
      <c r="EO44" s="148"/>
      <c r="EP44" s="148"/>
      <c r="EQ44" s="148"/>
      <c r="ER44" s="148"/>
      <c r="ES44" s="148"/>
      <c r="ET44" s="148"/>
      <c r="EU44" s="148"/>
      <c r="EV44" s="148"/>
      <c r="EW44" s="148"/>
      <c r="EX44" s="148"/>
      <c r="EY44" s="148"/>
      <c r="EZ44" s="148"/>
      <c r="FA44" s="148"/>
      <c r="FB44" s="148"/>
      <c r="FC44" s="148"/>
      <c r="FD44" s="148"/>
      <c r="FE44" s="148"/>
      <c r="FF44" s="148"/>
      <c r="FG44" s="148"/>
      <c r="FH44" s="148"/>
      <c r="FI44" s="148"/>
      <c r="FJ44" s="148"/>
      <c r="FK44" s="148"/>
      <c r="FL44" s="148"/>
      <c r="FM44" s="148"/>
      <c r="FN44" s="148"/>
      <c r="FO44" s="148"/>
      <c r="FP44" s="148"/>
      <c r="FQ44" s="148"/>
      <c r="FR44" s="148"/>
      <c r="FS44" s="148"/>
      <c r="FT44" s="148"/>
      <c r="FU44" s="148"/>
      <c r="FV44" s="148"/>
      <c r="FW44" s="148"/>
      <c r="FX44" s="148"/>
      <c r="FY44" s="148"/>
      <c r="FZ44" s="148"/>
      <c r="GA44" s="148"/>
      <c r="GB44" s="148"/>
      <c r="GC44" s="148"/>
      <c r="GD44" s="148"/>
      <c r="GE44" s="148"/>
      <c r="GF44" s="148"/>
      <c r="GG44" s="148"/>
      <c r="GH44" s="148"/>
      <c r="GI44" s="148"/>
      <c r="GJ44" s="148"/>
      <c r="GK44" s="148"/>
      <c r="GL44" s="148"/>
      <c r="GM44" s="148"/>
      <c r="GN44" s="148"/>
      <c r="GO44" s="148"/>
      <c r="GP44" s="148"/>
      <c r="GQ44" s="148"/>
      <c r="GR44" s="148"/>
      <c r="GS44" s="148"/>
      <c r="GT44" s="148"/>
      <c r="GU44" s="148"/>
      <c r="GV44" s="148"/>
      <c r="GW44" s="148"/>
      <c r="GX44" s="148"/>
      <c r="GY44" s="148"/>
      <c r="GZ44" s="148"/>
      <c r="HA44" s="148"/>
      <c r="HB44" s="148"/>
      <c r="HC44" s="148"/>
      <c r="HD44" s="148"/>
      <c r="HE44" s="148"/>
      <c r="HF44" s="148"/>
      <c r="HG44" s="148"/>
      <c r="HH44" s="148"/>
      <c r="HI44" s="148"/>
      <c r="HJ44" s="148"/>
      <c r="HK44" s="148"/>
      <c r="HL44" s="148"/>
      <c r="HM44" s="148"/>
      <c r="HN44" s="148"/>
      <c r="HO44" s="148"/>
      <c r="HP44" s="148"/>
      <c r="HQ44" s="148"/>
      <c r="HR44" s="148"/>
      <c r="HS44" s="148"/>
      <c r="HT44" s="148"/>
      <c r="HU44" s="148"/>
      <c r="HV44" s="148"/>
      <c r="HW44" s="148"/>
      <c r="HX44" s="148"/>
      <c r="HY44" s="148"/>
      <c r="HZ44" s="148"/>
      <c r="IA44" s="148"/>
      <c r="IB44" s="148"/>
      <c r="IC44" s="148"/>
      <c r="ID44" s="148"/>
    </row>
    <row r="45" spans="1:238" ht="15" customHeight="1" thickTop="1" x14ac:dyDescent="0.2">
      <c r="A45" s="557"/>
      <c r="B45" s="520"/>
      <c r="C45" s="600"/>
      <c r="D45" s="149">
        <v>0</v>
      </c>
      <c r="E45" s="149">
        <v>0</v>
      </c>
      <c r="F45" s="149">
        <v>0</v>
      </c>
      <c r="G45" s="149">
        <v>0</v>
      </c>
      <c r="H45" s="149">
        <v>0</v>
      </c>
      <c r="I45" s="149">
        <v>0</v>
      </c>
      <c r="J45" s="149">
        <v>0</v>
      </c>
      <c r="K45" s="148"/>
      <c r="L45" s="148"/>
      <c r="M45" s="148"/>
      <c r="N45" s="148"/>
      <c r="O45" s="148"/>
      <c r="P45" s="148"/>
      <c r="Q45" s="148"/>
      <c r="R45" s="148"/>
      <c r="S45" s="148"/>
      <c r="T45" s="148"/>
      <c r="U45" s="148"/>
      <c r="V45" s="148"/>
      <c r="W45" s="148"/>
      <c r="X45" s="148"/>
      <c r="Y45" s="148"/>
      <c r="Z45" s="148"/>
      <c r="AA45" s="148"/>
      <c r="AB45" s="148"/>
      <c r="AC45" s="148"/>
      <c r="AD45" s="148"/>
      <c r="AE45" s="148"/>
      <c r="AF45" s="148"/>
      <c r="AG45" s="148"/>
      <c r="AH45" s="148"/>
      <c r="AI45" s="148"/>
      <c r="AJ45" s="148"/>
      <c r="AK45" s="148"/>
      <c r="AL45" s="148"/>
      <c r="AM45" s="148"/>
      <c r="AN45" s="148"/>
      <c r="AO45" s="148"/>
      <c r="AP45" s="148"/>
      <c r="AQ45" s="148"/>
      <c r="AR45" s="148"/>
      <c r="AS45" s="148"/>
      <c r="AT45" s="148"/>
      <c r="AU45" s="148"/>
      <c r="AV45" s="148"/>
      <c r="AW45" s="148"/>
      <c r="AX45" s="148"/>
      <c r="AY45" s="148"/>
      <c r="AZ45" s="148"/>
      <c r="BA45" s="148"/>
      <c r="BB45" s="148"/>
      <c r="BC45" s="148"/>
      <c r="BD45" s="148"/>
      <c r="BE45" s="148"/>
      <c r="BF45" s="148"/>
      <c r="BG45" s="148"/>
      <c r="BH45" s="148"/>
      <c r="BI45" s="148"/>
      <c r="BJ45" s="148"/>
      <c r="BK45" s="148"/>
      <c r="BL45" s="148"/>
      <c r="BM45" s="148"/>
      <c r="BN45" s="148"/>
      <c r="BO45" s="148"/>
      <c r="BP45" s="148"/>
      <c r="BQ45" s="148"/>
      <c r="BR45" s="148"/>
      <c r="BS45" s="148"/>
      <c r="BT45" s="148"/>
      <c r="BU45" s="148"/>
      <c r="BV45" s="148"/>
      <c r="BW45" s="148"/>
      <c r="BX45" s="148"/>
      <c r="BY45" s="148"/>
      <c r="BZ45" s="148"/>
      <c r="CA45" s="148"/>
      <c r="CB45" s="148"/>
      <c r="CC45" s="148"/>
      <c r="CD45" s="148"/>
      <c r="CE45" s="148"/>
      <c r="CF45" s="148"/>
      <c r="CG45" s="148"/>
      <c r="CH45" s="148"/>
      <c r="CI45" s="148"/>
      <c r="CJ45" s="148"/>
      <c r="CK45" s="148"/>
      <c r="CL45" s="148"/>
      <c r="CM45" s="148"/>
      <c r="CN45" s="148"/>
      <c r="CO45" s="148"/>
      <c r="CP45" s="148"/>
      <c r="CQ45" s="148"/>
      <c r="CR45" s="148"/>
      <c r="CS45" s="148"/>
      <c r="CT45" s="148"/>
      <c r="CU45" s="148"/>
      <c r="CV45" s="148"/>
      <c r="CW45" s="148"/>
      <c r="CX45" s="148"/>
      <c r="CY45" s="148"/>
      <c r="CZ45" s="148"/>
      <c r="DA45" s="148"/>
      <c r="DB45" s="148"/>
      <c r="DC45" s="148"/>
      <c r="DD45" s="148"/>
      <c r="DE45" s="148"/>
      <c r="DF45" s="148"/>
      <c r="DG45" s="148"/>
      <c r="DH45" s="148"/>
      <c r="DI45" s="148"/>
      <c r="DJ45" s="148"/>
      <c r="DK45" s="148"/>
      <c r="DL45" s="148"/>
      <c r="DM45" s="148"/>
      <c r="DN45" s="148"/>
      <c r="DO45" s="148"/>
      <c r="DP45" s="148"/>
      <c r="DQ45" s="148"/>
      <c r="DR45" s="148"/>
      <c r="DS45" s="148"/>
      <c r="DT45" s="148"/>
      <c r="DU45" s="148"/>
      <c r="DV45" s="148"/>
      <c r="DW45" s="148"/>
      <c r="DX45" s="148"/>
      <c r="DY45" s="148"/>
      <c r="DZ45" s="148"/>
      <c r="EA45" s="148"/>
      <c r="EB45" s="148"/>
      <c r="EC45" s="148"/>
      <c r="ED45" s="148"/>
      <c r="EE45" s="148"/>
      <c r="EF45" s="148"/>
      <c r="EG45" s="148"/>
      <c r="EH45" s="148"/>
      <c r="EI45" s="148"/>
      <c r="EJ45" s="148"/>
      <c r="EK45" s="148"/>
      <c r="EL45" s="148"/>
      <c r="EM45" s="148"/>
      <c r="EN45" s="148"/>
      <c r="EO45" s="148"/>
      <c r="EP45" s="148"/>
      <c r="EQ45" s="148"/>
      <c r="ER45" s="148"/>
      <c r="ES45" s="148"/>
      <c r="ET45" s="148"/>
      <c r="EU45" s="148"/>
      <c r="EV45" s="148"/>
      <c r="EW45" s="148"/>
      <c r="EX45" s="148"/>
      <c r="EY45" s="148"/>
      <c r="EZ45" s="148"/>
      <c r="FA45" s="148"/>
      <c r="FB45" s="148"/>
      <c r="FC45" s="148"/>
      <c r="FD45" s="148"/>
      <c r="FE45" s="148"/>
      <c r="FF45" s="148"/>
      <c r="FG45" s="148"/>
      <c r="FH45" s="148"/>
      <c r="FI45" s="148"/>
      <c r="FJ45" s="148"/>
      <c r="FK45" s="148"/>
      <c r="FL45" s="148"/>
      <c r="FM45" s="148"/>
      <c r="FN45" s="148"/>
      <c r="FO45" s="148"/>
      <c r="FP45" s="148"/>
      <c r="FQ45" s="148"/>
      <c r="FR45" s="148"/>
      <c r="FS45" s="148"/>
      <c r="FT45" s="148"/>
      <c r="FU45" s="148"/>
      <c r="FV45" s="148"/>
      <c r="FW45" s="148"/>
      <c r="FX45" s="148"/>
      <c r="FY45" s="148"/>
      <c r="FZ45" s="148"/>
      <c r="GA45" s="148"/>
      <c r="GB45" s="148"/>
      <c r="GC45" s="148"/>
      <c r="GD45" s="148"/>
      <c r="GE45" s="148"/>
      <c r="GF45" s="148"/>
      <c r="GG45" s="148"/>
      <c r="GH45" s="148"/>
      <c r="GI45" s="148"/>
      <c r="GJ45" s="148"/>
      <c r="GK45" s="148"/>
      <c r="GL45" s="148"/>
      <c r="GM45" s="148"/>
      <c r="GN45" s="148"/>
      <c r="GO45" s="148"/>
      <c r="GP45" s="148"/>
      <c r="GQ45" s="148"/>
      <c r="GR45" s="148"/>
      <c r="GS45" s="148"/>
      <c r="GT45" s="148"/>
      <c r="GU45" s="148"/>
      <c r="GV45" s="148"/>
      <c r="GW45" s="148"/>
      <c r="GX45" s="148"/>
      <c r="GY45" s="148"/>
      <c r="GZ45" s="148"/>
      <c r="HA45" s="148"/>
      <c r="HB45" s="148"/>
      <c r="HC45" s="148"/>
      <c r="HD45" s="148"/>
      <c r="HE45" s="148"/>
      <c r="HF45" s="148"/>
      <c r="HG45" s="148"/>
      <c r="HH45" s="148"/>
      <c r="HI45" s="148"/>
      <c r="HJ45" s="148"/>
      <c r="HK45" s="148"/>
      <c r="HL45" s="148"/>
      <c r="HM45" s="148"/>
      <c r="HN45" s="148"/>
      <c r="HO45" s="148"/>
      <c r="HP45" s="148"/>
      <c r="HQ45" s="148"/>
      <c r="HR45" s="148"/>
      <c r="HS45" s="148"/>
      <c r="HT45" s="148"/>
      <c r="HU45" s="148"/>
      <c r="HV45" s="148"/>
      <c r="HW45" s="148"/>
      <c r="HX45" s="148"/>
      <c r="HY45" s="148"/>
      <c r="HZ45" s="148"/>
      <c r="IA45" s="148"/>
      <c r="IB45" s="148"/>
      <c r="IC45" s="148"/>
      <c r="ID45" s="148"/>
    </row>
    <row r="46" spans="1:238" ht="15" customHeight="1" thickBot="1" x14ac:dyDescent="0.25">
      <c r="A46" s="558"/>
      <c r="B46" s="520"/>
      <c r="C46" s="601"/>
      <c r="D46" s="151">
        <v>0</v>
      </c>
      <c r="E46" s="151">
        <v>0</v>
      </c>
      <c r="F46" s="151">
        <v>0</v>
      </c>
      <c r="G46" s="151">
        <v>0</v>
      </c>
      <c r="H46" s="151">
        <v>0</v>
      </c>
      <c r="I46" s="151">
        <v>0</v>
      </c>
      <c r="J46" s="151">
        <v>0</v>
      </c>
      <c r="K46" s="160"/>
      <c r="L46" s="148"/>
      <c r="M46" s="148"/>
      <c r="N46" s="148"/>
      <c r="O46" s="148"/>
      <c r="P46" s="148"/>
      <c r="Q46" s="148"/>
      <c r="R46" s="148"/>
      <c r="S46" s="148"/>
      <c r="T46" s="148"/>
      <c r="U46" s="148"/>
      <c r="V46" s="148"/>
      <c r="W46" s="148"/>
      <c r="X46" s="148"/>
      <c r="Y46" s="148"/>
      <c r="Z46" s="148"/>
      <c r="AA46" s="148"/>
      <c r="AB46" s="148"/>
      <c r="AC46" s="148"/>
      <c r="AD46" s="148"/>
      <c r="AE46" s="148"/>
      <c r="AF46" s="148"/>
      <c r="AG46" s="148"/>
      <c r="AH46" s="148"/>
      <c r="AI46" s="148"/>
      <c r="AJ46" s="148"/>
      <c r="AK46" s="148"/>
      <c r="AL46" s="148"/>
      <c r="AM46" s="148"/>
      <c r="AN46" s="148"/>
      <c r="AO46" s="148"/>
      <c r="AP46" s="148"/>
      <c r="AQ46" s="148"/>
      <c r="AR46" s="148"/>
      <c r="AS46" s="148"/>
      <c r="AT46" s="148"/>
      <c r="AU46" s="148"/>
      <c r="AV46" s="148"/>
      <c r="AW46" s="148"/>
      <c r="AX46" s="148"/>
      <c r="AY46" s="148"/>
      <c r="AZ46" s="148"/>
      <c r="BA46" s="148"/>
      <c r="BB46" s="148"/>
      <c r="BC46" s="148"/>
      <c r="BD46" s="148"/>
      <c r="BE46" s="148"/>
      <c r="BF46" s="148"/>
      <c r="BG46" s="148"/>
      <c r="BH46" s="148"/>
      <c r="BI46" s="148"/>
      <c r="BJ46" s="148"/>
      <c r="BK46" s="148"/>
      <c r="BL46" s="148"/>
      <c r="BM46" s="148"/>
      <c r="BN46" s="148"/>
      <c r="BO46" s="148"/>
      <c r="BP46" s="148"/>
      <c r="BQ46" s="148"/>
      <c r="BR46" s="148"/>
      <c r="BS46" s="148"/>
      <c r="BT46" s="148"/>
      <c r="BU46" s="148"/>
      <c r="BV46" s="148"/>
      <c r="BW46" s="148"/>
      <c r="BX46" s="148"/>
      <c r="BY46" s="148"/>
      <c r="BZ46" s="148"/>
      <c r="CA46" s="148"/>
      <c r="CB46" s="148"/>
      <c r="CC46" s="148"/>
      <c r="CD46" s="148"/>
      <c r="CE46" s="148"/>
      <c r="CF46" s="148"/>
      <c r="CG46" s="148"/>
      <c r="CH46" s="148"/>
      <c r="CI46" s="148"/>
      <c r="CJ46" s="148"/>
      <c r="CK46" s="148"/>
      <c r="CL46" s="148"/>
      <c r="CM46" s="148"/>
      <c r="CN46" s="148"/>
      <c r="CO46" s="148"/>
      <c r="CP46" s="148"/>
      <c r="CQ46" s="148"/>
      <c r="CR46" s="148"/>
      <c r="CS46" s="148"/>
      <c r="CT46" s="148"/>
      <c r="CU46" s="148"/>
      <c r="CV46" s="148"/>
      <c r="CW46" s="148"/>
      <c r="CX46" s="148"/>
      <c r="CY46" s="148"/>
      <c r="CZ46" s="148"/>
      <c r="DA46" s="148"/>
      <c r="DB46" s="148"/>
      <c r="DC46" s="148"/>
      <c r="DD46" s="148"/>
      <c r="DE46" s="148"/>
      <c r="DF46" s="148"/>
      <c r="DG46" s="148"/>
      <c r="DH46" s="148"/>
      <c r="DI46" s="148"/>
      <c r="DJ46" s="148"/>
      <c r="DK46" s="148"/>
      <c r="DL46" s="148"/>
      <c r="DM46" s="148"/>
      <c r="DN46" s="148"/>
      <c r="DO46" s="148"/>
      <c r="DP46" s="148"/>
      <c r="DQ46" s="148"/>
      <c r="DR46" s="148"/>
      <c r="DS46" s="148"/>
      <c r="DT46" s="148"/>
      <c r="DU46" s="148"/>
      <c r="DV46" s="148"/>
      <c r="DW46" s="148"/>
      <c r="DX46" s="148"/>
      <c r="DY46" s="148"/>
      <c r="DZ46" s="148"/>
      <c r="EA46" s="148"/>
      <c r="EB46" s="148"/>
      <c r="EC46" s="148"/>
      <c r="ED46" s="148"/>
      <c r="EE46" s="148"/>
      <c r="EF46" s="148"/>
      <c r="EG46" s="148"/>
      <c r="EH46" s="148"/>
      <c r="EI46" s="148"/>
      <c r="EJ46" s="148"/>
      <c r="EK46" s="148"/>
      <c r="EL46" s="148"/>
      <c r="EM46" s="148"/>
      <c r="EN46" s="148"/>
      <c r="EO46" s="148"/>
      <c r="EP46" s="148"/>
      <c r="EQ46" s="148"/>
      <c r="ER46" s="148"/>
      <c r="ES46" s="148"/>
      <c r="ET46" s="148"/>
      <c r="EU46" s="148"/>
      <c r="EV46" s="148"/>
      <c r="EW46" s="148"/>
      <c r="EX46" s="148"/>
      <c r="EY46" s="148"/>
      <c r="EZ46" s="148"/>
      <c r="FA46" s="148"/>
      <c r="FB46" s="148"/>
      <c r="FC46" s="148"/>
      <c r="FD46" s="148"/>
      <c r="FE46" s="148"/>
      <c r="FF46" s="148"/>
      <c r="FG46" s="148"/>
      <c r="FH46" s="148"/>
      <c r="FI46" s="148"/>
      <c r="FJ46" s="148"/>
      <c r="FK46" s="148"/>
      <c r="FL46" s="148"/>
      <c r="FM46" s="148"/>
      <c r="FN46" s="148"/>
      <c r="FO46" s="148"/>
      <c r="FP46" s="148"/>
      <c r="FQ46" s="148"/>
      <c r="FR46" s="148"/>
      <c r="FS46" s="148"/>
      <c r="FT46" s="148"/>
      <c r="FU46" s="148"/>
      <c r="FV46" s="148"/>
      <c r="FW46" s="148"/>
      <c r="FX46" s="148"/>
      <c r="FY46" s="148"/>
      <c r="FZ46" s="148"/>
      <c r="GA46" s="148"/>
      <c r="GB46" s="148"/>
      <c r="GC46" s="148"/>
      <c r="GD46" s="148"/>
      <c r="GE46" s="148"/>
      <c r="GF46" s="148"/>
      <c r="GG46" s="148"/>
      <c r="GH46" s="148"/>
      <c r="GI46" s="148"/>
      <c r="GJ46" s="148"/>
      <c r="GK46" s="148"/>
      <c r="GL46" s="148"/>
      <c r="GM46" s="148"/>
      <c r="GN46" s="148"/>
      <c r="GO46" s="148"/>
      <c r="GP46" s="148"/>
      <c r="GQ46" s="148"/>
      <c r="GR46" s="148"/>
      <c r="GS46" s="148"/>
      <c r="GT46" s="148"/>
      <c r="GU46" s="148"/>
      <c r="GV46" s="148"/>
      <c r="GW46" s="148"/>
      <c r="GX46" s="148"/>
      <c r="GY46" s="148"/>
      <c r="GZ46" s="148"/>
      <c r="HA46" s="148"/>
      <c r="HB46" s="148"/>
      <c r="HC46" s="148"/>
      <c r="HD46" s="148"/>
      <c r="HE46" s="148"/>
      <c r="HF46" s="148"/>
      <c r="HG46" s="148"/>
      <c r="HH46" s="148"/>
      <c r="HI46" s="148"/>
      <c r="HJ46" s="148"/>
      <c r="HK46" s="148"/>
      <c r="HL46" s="148"/>
      <c r="HM46" s="148"/>
      <c r="HN46" s="148"/>
      <c r="HO46" s="148"/>
      <c r="HP46" s="148"/>
      <c r="HQ46" s="148"/>
      <c r="HR46" s="148"/>
      <c r="HS46" s="148"/>
      <c r="HT46" s="148"/>
      <c r="HU46" s="148"/>
      <c r="HV46" s="148"/>
      <c r="HW46" s="148"/>
      <c r="HX46" s="148"/>
      <c r="HY46" s="148"/>
      <c r="HZ46" s="148"/>
      <c r="IA46" s="148"/>
      <c r="IB46" s="148"/>
      <c r="IC46" s="148"/>
      <c r="ID46" s="148"/>
    </row>
    <row r="47" spans="1:238" ht="14.45" customHeight="1" thickTop="1" x14ac:dyDescent="0.2">
      <c r="A47" s="557"/>
      <c r="B47" s="520"/>
      <c r="C47" s="600"/>
      <c r="D47" s="149">
        <v>0</v>
      </c>
      <c r="E47" s="149">
        <v>0</v>
      </c>
      <c r="F47" s="149">
        <v>0</v>
      </c>
      <c r="G47" s="149">
        <v>0</v>
      </c>
      <c r="H47" s="149">
        <v>0</v>
      </c>
      <c r="I47" s="149">
        <v>0</v>
      </c>
      <c r="J47" s="149">
        <v>0</v>
      </c>
      <c r="K47" s="148"/>
      <c r="L47" s="148"/>
      <c r="M47" s="148"/>
      <c r="N47" s="148"/>
      <c r="O47" s="148"/>
      <c r="P47" s="148"/>
      <c r="Q47" s="148"/>
      <c r="R47" s="148"/>
      <c r="S47" s="148"/>
      <c r="T47" s="148"/>
      <c r="U47" s="148"/>
      <c r="V47" s="148"/>
      <c r="W47" s="148"/>
      <c r="X47" s="148"/>
      <c r="Y47" s="148"/>
      <c r="Z47" s="148"/>
      <c r="AA47" s="148"/>
      <c r="AB47" s="148"/>
      <c r="AC47" s="148"/>
      <c r="AD47" s="148"/>
      <c r="AE47" s="148"/>
      <c r="AF47" s="148"/>
      <c r="AG47" s="148"/>
      <c r="AH47" s="148"/>
      <c r="AI47" s="148"/>
      <c r="AJ47" s="148"/>
      <c r="AK47" s="148"/>
      <c r="AL47" s="148"/>
      <c r="AM47" s="148"/>
      <c r="AN47" s="148"/>
      <c r="AO47" s="148"/>
      <c r="AP47" s="148"/>
      <c r="AQ47" s="148"/>
      <c r="AR47" s="148"/>
      <c r="AS47" s="148"/>
      <c r="AT47" s="148"/>
      <c r="AU47" s="148"/>
      <c r="AV47" s="148"/>
      <c r="AW47" s="148"/>
      <c r="AX47" s="148"/>
      <c r="AY47" s="148"/>
      <c r="AZ47" s="148"/>
      <c r="BA47" s="148"/>
      <c r="BB47" s="148"/>
      <c r="BC47" s="148"/>
      <c r="BD47" s="148"/>
      <c r="BE47" s="148"/>
      <c r="BF47" s="148"/>
      <c r="BG47" s="148"/>
      <c r="BH47" s="148"/>
      <c r="BI47" s="148"/>
      <c r="BJ47" s="148"/>
      <c r="BK47" s="148"/>
      <c r="BL47" s="148"/>
      <c r="BM47" s="148"/>
      <c r="BN47" s="148"/>
      <c r="BO47" s="148"/>
      <c r="BP47" s="148"/>
      <c r="BQ47" s="148"/>
      <c r="BR47" s="148"/>
      <c r="BS47" s="148"/>
      <c r="BT47" s="148"/>
      <c r="BU47" s="148"/>
      <c r="BV47" s="148"/>
      <c r="BW47" s="148"/>
      <c r="BX47" s="148"/>
      <c r="BY47" s="148"/>
      <c r="BZ47" s="148"/>
      <c r="CA47" s="148"/>
      <c r="CB47" s="148"/>
      <c r="CC47" s="148"/>
      <c r="CD47" s="148"/>
      <c r="CE47" s="148"/>
      <c r="CF47" s="148"/>
      <c r="CG47" s="148"/>
      <c r="CH47" s="148"/>
      <c r="CI47" s="148"/>
      <c r="CJ47" s="148"/>
      <c r="CK47" s="148"/>
      <c r="CL47" s="148"/>
      <c r="CM47" s="148"/>
      <c r="CN47" s="148"/>
      <c r="CO47" s="148"/>
      <c r="CP47" s="148"/>
      <c r="CQ47" s="148"/>
      <c r="CR47" s="148"/>
      <c r="CS47" s="148"/>
      <c r="CT47" s="148"/>
      <c r="CU47" s="148"/>
      <c r="CV47" s="148"/>
      <c r="CW47" s="148"/>
      <c r="CX47" s="148"/>
      <c r="CY47" s="148"/>
      <c r="CZ47" s="148"/>
      <c r="DA47" s="148"/>
      <c r="DB47" s="148"/>
      <c r="DC47" s="148"/>
      <c r="DD47" s="148"/>
      <c r="DE47" s="148"/>
      <c r="DF47" s="148"/>
      <c r="DG47" s="148"/>
      <c r="DH47" s="148"/>
      <c r="DI47" s="148"/>
      <c r="DJ47" s="148"/>
      <c r="DK47" s="148"/>
      <c r="DL47" s="148"/>
      <c r="DM47" s="148"/>
      <c r="DN47" s="148"/>
      <c r="DO47" s="148"/>
      <c r="DP47" s="148"/>
      <c r="DQ47" s="148"/>
      <c r="DR47" s="148"/>
      <c r="DS47" s="148"/>
      <c r="DT47" s="148"/>
      <c r="DU47" s="148"/>
      <c r="DV47" s="148"/>
      <c r="DW47" s="148"/>
      <c r="DX47" s="148"/>
      <c r="DY47" s="148"/>
      <c r="DZ47" s="148"/>
      <c r="EA47" s="148"/>
      <c r="EB47" s="148"/>
      <c r="EC47" s="148"/>
      <c r="ED47" s="148"/>
      <c r="EE47" s="148"/>
      <c r="EF47" s="148"/>
      <c r="EG47" s="148"/>
      <c r="EH47" s="148"/>
      <c r="EI47" s="148"/>
      <c r="EJ47" s="148"/>
      <c r="EK47" s="148"/>
      <c r="EL47" s="148"/>
      <c r="EM47" s="148"/>
      <c r="EN47" s="148"/>
      <c r="EO47" s="148"/>
      <c r="EP47" s="148"/>
      <c r="EQ47" s="148"/>
      <c r="ER47" s="148"/>
      <c r="ES47" s="148"/>
      <c r="ET47" s="148"/>
      <c r="EU47" s="148"/>
      <c r="EV47" s="148"/>
      <c r="EW47" s="148"/>
      <c r="EX47" s="148"/>
      <c r="EY47" s="148"/>
      <c r="EZ47" s="148"/>
      <c r="FA47" s="148"/>
      <c r="FB47" s="148"/>
      <c r="FC47" s="148"/>
      <c r="FD47" s="148"/>
      <c r="FE47" s="148"/>
      <c r="FF47" s="148"/>
      <c r="FG47" s="148"/>
      <c r="FH47" s="148"/>
      <c r="FI47" s="148"/>
      <c r="FJ47" s="148"/>
      <c r="FK47" s="148"/>
      <c r="FL47" s="148"/>
      <c r="FM47" s="148"/>
      <c r="FN47" s="148"/>
      <c r="FO47" s="148"/>
      <c r="FP47" s="148"/>
      <c r="FQ47" s="148"/>
      <c r="FR47" s="148"/>
      <c r="FS47" s="148"/>
      <c r="FT47" s="148"/>
      <c r="FU47" s="148"/>
      <c r="FV47" s="148"/>
      <c r="FW47" s="148"/>
      <c r="FX47" s="148"/>
      <c r="FY47" s="148"/>
      <c r="FZ47" s="148"/>
      <c r="GA47" s="148"/>
      <c r="GB47" s="148"/>
      <c r="GC47" s="148"/>
      <c r="GD47" s="148"/>
      <c r="GE47" s="148"/>
      <c r="GF47" s="148"/>
      <c r="GG47" s="148"/>
      <c r="GH47" s="148"/>
      <c r="GI47" s="148"/>
      <c r="GJ47" s="148"/>
      <c r="GK47" s="148"/>
      <c r="GL47" s="148"/>
      <c r="GM47" s="148"/>
      <c r="GN47" s="148"/>
      <c r="GO47" s="148"/>
      <c r="GP47" s="148"/>
      <c r="GQ47" s="148"/>
      <c r="GR47" s="148"/>
      <c r="GS47" s="148"/>
      <c r="GT47" s="148"/>
      <c r="GU47" s="148"/>
      <c r="GV47" s="148"/>
      <c r="GW47" s="148"/>
      <c r="GX47" s="148"/>
      <c r="GY47" s="148"/>
      <c r="GZ47" s="148"/>
      <c r="HA47" s="148"/>
      <c r="HB47" s="148"/>
      <c r="HC47" s="148"/>
      <c r="HD47" s="148"/>
      <c r="HE47" s="148"/>
      <c r="HF47" s="148"/>
      <c r="HG47" s="148"/>
      <c r="HH47" s="148"/>
      <c r="HI47" s="148"/>
      <c r="HJ47" s="148"/>
      <c r="HK47" s="148"/>
      <c r="HL47" s="148"/>
      <c r="HM47" s="148"/>
      <c r="HN47" s="148"/>
      <c r="HO47" s="148"/>
      <c r="HP47" s="148"/>
      <c r="HQ47" s="148"/>
      <c r="HR47" s="148"/>
      <c r="HS47" s="148"/>
      <c r="HT47" s="148"/>
      <c r="HU47" s="148"/>
      <c r="HV47" s="148"/>
      <c r="HW47" s="148"/>
      <c r="HX47" s="148"/>
      <c r="HY47" s="148"/>
      <c r="HZ47" s="148"/>
      <c r="IA47" s="148"/>
      <c r="IB47" s="148"/>
      <c r="IC47" s="148"/>
      <c r="ID47" s="148"/>
    </row>
    <row r="48" spans="1:238" ht="14.45" customHeight="1" thickBot="1" x14ac:dyDescent="0.25">
      <c r="A48" s="558"/>
      <c r="B48" s="520"/>
      <c r="C48" s="601"/>
      <c r="D48" s="151">
        <v>0</v>
      </c>
      <c r="E48" s="151">
        <v>0</v>
      </c>
      <c r="F48" s="151">
        <v>0</v>
      </c>
      <c r="G48" s="151">
        <v>0</v>
      </c>
      <c r="H48" s="151">
        <v>0</v>
      </c>
      <c r="I48" s="151">
        <v>0</v>
      </c>
      <c r="J48" s="151">
        <v>0</v>
      </c>
      <c r="K48" s="148"/>
      <c r="L48" s="148"/>
      <c r="M48" s="148"/>
      <c r="N48" s="148"/>
      <c r="O48" s="148"/>
      <c r="P48" s="148"/>
      <c r="Q48" s="148"/>
      <c r="R48" s="148"/>
      <c r="S48" s="148"/>
      <c r="T48" s="148"/>
      <c r="U48" s="148"/>
      <c r="V48" s="148"/>
      <c r="W48" s="148"/>
      <c r="X48" s="148"/>
      <c r="Y48" s="148"/>
      <c r="Z48" s="148"/>
      <c r="AA48" s="148"/>
      <c r="AB48" s="148"/>
      <c r="AC48" s="148"/>
      <c r="AD48" s="148"/>
      <c r="AE48" s="148"/>
      <c r="AF48" s="148"/>
      <c r="AG48" s="148"/>
      <c r="AH48" s="148"/>
      <c r="AI48" s="148"/>
      <c r="AJ48" s="148"/>
      <c r="AK48" s="148"/>
      <c r="AL48" s="148"/>
      <c r="AM48" s="148"/>
      <c r="AN48" s="148"/>
      <c r="AO48" s="148"/>
      <c r="AP48" s="148"/>
      <c r="AQ48" s="148"/>
      <c r="AR48" s="148"/>
      <c r="AS48" s="148"/>
      <c r="AT48" s="148"/>
      <c r="AU48" s="148"/>
      <c r="AV48" s="148"/>
      <c r="AW48" s="148"/>
      <c r="AX48" s="148"/>
      <c r="AY48" s="148"/>
      <c r="AZ48" s="148"/>
      <c r="BA48" s="148"/>
      <c r="BB48" s="148"/>
      <c r="BC48" s="148"/>
      <c r="BD48" s="148"/>
      <c r="BE48" s="148"/>
      <c r="BF48" s="148"/>
      <c r="BG48" s="148"/>
      <c r="BH48" s="148"/>
      <c r="BI48" s="148"/>
      <c r="BJ48" s="148"/>
      <c r="BK48" s="148"/>
      <c r="BL48" s="148"/>
      <c r="BM48" s="148"/>
      <c r="BN48" s="148"/>
      <c r="BO48" s="148"/>
      <c r="BP48" s="148"/>
      <c r="BQ48" s="148"/>
      <c r="BR48" s="148"/>
      <c r="BS48" s="148"/>
      <c r="BT48" s="148"/>
      <c r="BU48" s="148"/>
      <c r="BV48" s="148"/>
      <c r="BW48" s="148"/>
      <c r="BX48" s="148"/>
      <c r="BY48" s="148"/>
      <c r="BZ48" s="148"/>
      <c r="CA48" s="148"/>
      <c r="CB48" s="148"/>
      <c r="CC48" s="148"/>
      <c r="CD48" s="148"/>
      <c r="CE48" s="148"/>
      <c r="CF48" s="148"/>
      <c r="CG48" s="148"/>
      <c r="CH48" s="148"/>
      <c r="CI48" s="148"/>
      <c r="CJ48" s="148"/>
      <c r="CK48" s="148"/>
      <c r="CL48" s="148"/>
      <c r="CM48" s="148"/>
      <c r="CN48" s="148"/>
      <c r="CO48" s="148"/>
      <c r="CP48" s="148"/>
      <c r="CQ48" s="148"/>
      <c r="CR48" s="148"/>
      <c r="CS48" s="148"/>
      <c r="CT48" s="148"/>
      <c r="CU48" s="148"/>
      <c r="CV48" s="148"/>
      <c r="CW48" s="148"/>
      <c r="CX48" s="148"/>
      <c r="CY48" s="148"/>
      <c r="CZ48" s="148"/>
      <c r="DA48" s="148"/>
      <c r="DB48" s="148"/>
      <c r="DC48" s="148"/>
      <c r="DD48" s="148"/>
      <c r="DE48" s="148"/>
      <c r="DF48" s="148"/>
      <c r="DG48" s="148"/>
      <c r="DH48" s="148"/>
      <c r="DI48" s="148"/>
      <c r="DJ48" s="148"/>
      <c r="DK48" s="148"/>
      <c r="DL48" s="148"/>
      <c r="DM48" s="148"/>
      <c r="DN48" s="148"/>
      <c r="DO48" s="148"/>
      <c r="DP48" s="148"/>
      <c r="DQ48" s="148"/>
      <c r="DR48" s="148"/>
      <c r="DS48" s="148"/>
      <c r="DT48" s="148"/>
      <c r="DU48" s="148"/>
      <c r="DV48" s="148"/>
      <c r="DW48" s="148"/>
      <c r="DX48" s="148"/>
      <c r="DY48" s="148"/>
      <c r="DZ48" s="148"/>
      <c r="EA48" s="148"/>
      <c r="EB48" s="148"/>
      <c r="EC48" s="148"/>
      <c r="ED48" s="148"/>
      <c r="EE48" s="148"/>
      <c r="EF48" s="148"/>
      <c r="EG48" s="148"/>
      <c r="EH48" s="148"/>
      <c r="EI48" s="148"/>
      <c r="EJ48" s="148"/>
      <c r="EK48" s="148"/>
      <c r="EL48" s="148"/>
      <c r="EM48" s="148"/>
      <c r="EN48" s="148"/>
      <c r="EO48" s="148"/>
      <c r="EP48" s="148"/>
      <c r="EQ48" s="148"/>
      <c r="ER48" s="148"/>
      <c r="ES48" s="148"/>
      <c r="ET48" s="148"/>
      <c r="EU48" s="148"/>
      <c r="EV48" s="148"/>
      <c r="EW48" s="148"/>
      <c r="EX48" s="148"/>
      <c r="EY48" s="148"/>
      <c r="EZ48" s="148"/>
      <c r="FA48" s="148"/>
      <c r="FB48" s="148"/>
      <c r="FC48" s="148"/>
      <c r="FD48" s="148"/>
      <c r="FE48" s="148"/>
      <c r="FF48" s="148"/>
      <c r="FG48" s="148"/>
      <c r="FH48" s="148"/>
      <c r="FI48" s="148"/>
      <c r="FJ48" s="148"/>
      <c r="FK48" s="148"/>
      <c r="FL48" s="148"/>
      <c r="FM48" s="148"/>
      <c r="FN48" s="148"/>
      <c r="FO48" s="148"/>
      <c r="FP48" s="148"/>
      <c r="FQ48" s="148"/>
      <c r="FR48" s="148"/>
      <c r="FS48" s="148"/>
      <c r="FT48" s="148"/>
      <c r="FU48" s="148"/>
      <c r="FV48" s="148"/>
      <c r="FW48" s="148"/>
      <c r="FX48" s="148"/>
      <c r="FY48" s="148"/>
      <c r="FZ48" s="148"/>
      <c r="GA48" s="148"/>
      <c r="GB48" s="148"/>
      <c r="GC48" s="148"/>
      <c r="GD48" s="148"/>
      <c r="GE48" s="148"/>
      <c r="GF48" s="148"/>
      <c r="GG48" s="148"/>
      <c r="GH48" s="148"/>
      <c r="GI48" s="148"/>
      <c r="GJ48" s="148"/>
      <c r="GK48" s="148"/>
      <c r="GL48" s="148"/>
      <c r="GM48" s="148"/>
      <c r="GN48" s="148"/>
      <c r="GO48" s="148"/>
      <c r="GP48" s="148"/>
      <c r="GQ48" s="148"/>
      <c r="GR48" s="148"/>
      <c r="GS48" s="148"/>
      <c r="GT48" s="148"/>
      <c r="GU48" s="148"/>
      <c r="GV48" s="148"/>
      <c r="GW48" s="148"/>
      <c r="GX48" s="148"/>
      <c r="GY48" s="148"/>
      <c r="GZ48" s="148"/>
      <c r="HA48" s="148"/>
      <c r="HB48" s="148"/>
      <c r="HC48" s="148"/>
      <c r="HD48" s="148"/>
      <c r="HE48" s="148"/>
      <c r="HF48" s="148"/>
      <c r="HG48" s="148"/>
      <c r="HH48" s="148"/>
      <c r="HI48" s="148"/>
      <c r="HJ48" s="148"/>
      <c r="HK48" s="148"/>
      <c r="HL48" s="148"/>
      <c r="HM48" s="148"/>
      <c r="HN48" s="148"/>
      <c r="HO48" s="148"/>
      <c r="HP48" s="148"/>
      <c r="HQ48" s="148"/>
      <c r="HR48" s="148"/>
      <c r="HS48" s="148"/>
      <c r="HT48" s="148"/>
      <c r="HU48" s="148"/>
      <c r="HV48" s="148"/>
      <c r="HW48" s="148"/>
      <c r="HX48" s="148"/>
      <c r="HY48" s="148"/>
      <c r="HZ48" s="148"/>
      <c r="IA48" s="148"/>
      <c r="IB48" s="148"/>
      <c r="IC48" s="148"/>
      <c r="ID48" s="148"/>
    </row>
    <row r="49" spans="1:14" ht="14.45" customHeight="1" thickTop="1" x14ac:dyDescent="0.2">
      <c r="A49" s="557">
        <v>0</v>
      </c>
      <c r="B49" s="520"/>
      <c r="C49" s="600">
        <v>0</v>
      </c>
      <c r="D49" s="149">
        <v>0</v>
      </c>
      <c r="E49" s="149">
        <v>0</v>
      </c>
      <c r="F49" s="149">
        <v>0</v>
      </c>
      <c r="G49" s="149">
        <v>0</v>
      </c>
      <c r="H49" s="149">
        <v>0</v>
      </c>
      <c r="I49" s="149">
        <v>0</v>
      </c>
      <c r="J49" s="149">
        <v>0</v>
      </c>
      <c r="K49" s="150"/>
      <c r="L49" s="148"/>
      <c r="M49" s="148"/>
      <c r="N49" s="148"/>
    </row>
    <row r="50" spans="1:14" ht="14.45" customHeight="1" thickBot="1" x14ac:dyDescent="0.25">
      <c r="A50" s="558">
        <v>2173</v>
      </c>
      <c r="B50" s="520"/>
      <c r="C50" s="601" t="s">
        <v>261</v>
      </c>
      <c r="D50" s="151" t="s">
        <v>249</v>
      </c>
      <c r="E50" s="151" t="s">
        <v>249</v>
      </c>
      <c r="F50" s="151" t="s">
        <v>34</v>
      </c>
      <c r="G50" s="151" t="s">
        <v>34</v>
      </c>
      <c r="H50" s="151" t="s">
        <v>34</v>
      </c>
      <c r="I50" s="151" t="s">
        <v>403</v>
      </c>
      <c r="J50" s="151" t="s">
        <v>444</v>
      </c>
      <c r="K50" s="150"/>
      <c r="L50" s="148"/>
      <c r="M50" s="148"/>
      <c r="N50" s="148"/>
    </row>
    <row r="51" spans="1:14" ht="14.45" customHeight="1" thickTop="1" x14ac:dyDescent="0.2">
      <c r="A51" s="557">
        <v>0</v>
      </c>
      <c r="B51" s="520"/>
      <c r="C51" s="600">
        <v>0</v>
      </c>
      <c r="D51" s="149">
        <v>0</v>
      </c>
      <c r="E51" s="149">
        <v>0</v>
      </c>
      <c r="F51" s="149">
        <v>0</v>
      </c>
      <c r="G51" s="149">
        <v>0</v>
      </c>
      <c r="H51" s="149">
        <v>0</v>
      </c>
      <c r="I51" s="149">
        <v>0</v>
      </c>
      <c r="J51" s="149">
        <v>0</v>
      </c>
      <c r="K51" s="148"/>
      <c r="L51" s="148"/>
      <c r="M51" s="148"/>
      <c r="N51" s="148"/>
    </row>
    <row r="52" spans="1:14" ht="14.45" customHeight="1" thickBot="1" x14ac:dyDescent="0.25">
      <c r="A52" s="558">
        <v>2722</v>
      </c>
      <c r="B52" s="520"/>
      <c r="C52" s="601" t="s">
        <v>262</v>
      </c>
      <c r="D52" s="151">
        <v>28</v>
      </c>
      <c r="E52" s="151">
        <v>37</v>
      </c>
      <c r="F52" s="151">
        <v>42</v>
      </c>
      <c r="G52" s="151">
        <v>33</v>
      </c>
      <c r="H52" s="151" t="s">
        <v>34</v>
      </c>
      <c r="I52" s="151" t="s">
        <v>34</v>
      </c>
      <c r="J52" s="151" t="s">
        <v>34</v>
      </c>
      <c r="K52" s="161"/>
      <c r="L52" s="148"/>
      <c r="M52" s="148"/>
      <c r="N52" s="148"/>
    </row>
    <row r="53" spans="1:14" s="162" customFormat="1" ht="14.45" customHeight="1" thickTop="1" x14ac:dyDescent="0.2">
      <c r="A53" s="557">
        <v>0</v>
      </c>
      <c r="B53" s="520"/>
      <c r="C53" s="600">
        <v>0</v>
      </c>
      <c r="D53" s="149">
        <v>0</v>
      </c>
      <c r="E53" s="149"/>
      <c r="F53" s="149">
        <v>0</v>
      </c>
      <c r="G53" s="149">
        <v>0</v>
      </c>
      <c r="H53" s="149">
        <v>0</v>
      </c>
      <c r="I53" s="149">
        <v>0</v>
      </c>
      <c r="J53" s="149">
        <v>0</v>
      </c>
    </row>
    <row r="54" spans="1:14" s="162" customFormat="1" ht="14.45" customHeight="1" thickBot="1" x14ac:dyDescent="0.25">
      <c r="A54" s="558">
        <v>3745</v>
      </c>
      <c r="B54" s="520"/>
      <c r="C54" s="601" t="s">
        <v>263</v>
      </c>
      <c r="D54" s="151" t="s">
        <v>34</v>
      </c>
      <c r="E54" s="151">
        <v>38</v>
      </c>
      <c r="F54" s="151" t="s">
        <v>34</v>
      </c>
      <c r="G54" s="151">
        <v>20</v>
      </c>
      <c r="H54" s="151">
        <v>52</v>
      </c>
      <c r="I54" s="151" t="s">
        <v>241</v>
      </c>
      <c r="J54" s="151" t="s">
        <v>34</v>
      </c>
    </row>
    <row r="55" spans="1:14" ht="14.45" customHeight="1" thickTop="1" x14ac:dyDescent="0.2">
      <c r="A55" s="557">
        <v>0</v>
      </c>
      <c r="B55" s="520"/>
      <c r="C55" s="600">
        <v>0</v>
      </c>
      <c r="D55" s="149">
        <v>0</v>
      </c>
      <c r="E55" s="149">
        <v>0</v>
      </c>
      <c r="F55" s="149">
        <v>0</v>
      </c>
      <c r="G55" s="149">
        <v>0</v>
      </c>
      <c r="H55" s="149">
        <v>0</v>
      </c>
      <c r="I55" s="149">
        <v>0</v>
      </c>
      <c r="J55" s="149">
        <v>0</v>
      </c>
      <c r="K55" s="148"/>
      <c r="L55" s="148"/>
      <c r="M55" s="148"/>
      <c r="N55" s="148"/>
    </row>
    <row r="56" spans="1:14" ht="14.45" customHeight="1" thickBot="1" x14ac:dyDescent="0.25">
      <c r="A56" s="558">
        <v>3178</v>
      </c>
      <c r="B56" s="520"/>
      <c r="C56" s="601" t="s">
        <v>264</v>
      </c>
      <c r="D56" s="151" t="s">
        <v>34</v>
      </c>
      <c r="E56" s="151" t="s">
        <v>34</v>
      </c>
      <c r="F56" s="151">
        <v>49</v>
      </c>
      <c r="G56" s="151">
        <v>37</v>
      </c>
      <c r="H56" s="151">
        <v>60</v>
      </c>
      <c r="I56" s="151" t="s">
        <v>405</v>
      </c>
      <c r="J56" s="151" t="s">
        <v>406</v>
      </c>
      <c r="K56" s="148"/>
      <c r="L56" s="148"/>
      <c r="M56" s="148"/>
      <c r="N56" s="148"/>
    </row>
    <row r="57" spans="1:14" ht="14.45" customHeight="1" thickTop="1" x14ac:dyDescent="0.2">
      <c r="A57" s="557">
        <v>0</v>
      </c>
      <c r="B57" s="520"/>
      <c r="C57" s="600">
        <v>0</v>
      </c>
      <c r="D57" s="149">
        <v>0</v>
      </c>
      <c r="E57" s="149">
        <v>0</v>
      </c>
      <c r="F57" s="149">
        <v>0</v>
      </c>
      <c r="G57" s="149">
        <v>0</v>
      </c>
      <c r="H57" s="149">
        <v>0</v>
      </c>
      <c r="I57" s="149">
        <v>0</v>
      </c>
      <c r="J57" s="149">
        <v>0</v>
      </c>
      <c r="K57" s="148"/>
      <c r="L57" s="148"/>
      <c r="M57" s="148"/>
      <c r="N57" s="148"/>
    </row>
    <row r="58" spans="1:14" ht="14.45" customHeight="1" thickBot="1" x14ac:dyDescent="0.25">
      <c r="A58" s="558">
        <v>2889</v>
      </c>
      <c r="B58" s="520"/>
      <c r="C58" s="601" t="s">
        <v>265</v>
      </c>
      <c r="D58" s="151">
        <v>33</v>
      </c>
      <c r="E58" s="151" t="s">
        <v>34</v>
      </c>
      <c r="F58" s="151" t="s">
        <v>34</v>
      </c>
      <c r="G58" s="151" t="s">
        <v>34</v>
      </c>
      <c r="H58" s="151">
        <v>42</v>
      </c>
      <c r="I58" s="151" t="s">
        <v>407</v>
      </c>
      <c r="J58" s="151" t="s">
        <v>405</v>
      </c>
      <c r="K58" s="148"/>
      <c r="L58" s="148"/>
      <c r="M58" s="148"/>
      <c r="N58" s="163"/>
    </row>
    <row r="59" spans="1:14" ht="14.45" customHeight="1" thickTop="1" x14ac:dyDescent="0.2">
      <c r="A59" s="557">
        <v>0</v>
      </c>
      <c r="B59" s="520"/>
      <c r="C59" s="600">
        <v>0</v>
      </c>
      <c r="D59" s="149">
        <v>0</v>
      </c>
      <c r="E59" s="149">
        <v>0</v>
      </c>
      <c r="F59" s="149">
        <v>0</v>
      </c>
      <c r="G59" s="149">
        <v>0</v>
      </c>
      <c r="H59" s="149">
        <v>0</v>
      </c>
      <c r="I59" s="149">
        <v>0</v>
      </c>
      <c r="J59" s="149">
        <v>0</v>
      </c>
      <c r="K59" s="148"/>
      <c r="L59" s="148"/>
      <c r="M59" s="148"/>
      <c r="N59" s="148"/>
    </row>
    <row r="60" spans="1:14" ht="14.45" customHeight="1" thickBot="1" x14ac:dyDescent="0.25">
      <c r="A60" s="558">
        <v>3304</v>
      </c>
      <c r="B60" s="520"/>
      <c r="C60" s="601" t="s">
        <v>266</v>
      </c>
      <c r="D60" s="151">
        <v>30</v>
      </c>
      <c r="E60" s="151">
        <v>21</v>
      </c>
      <c r="F60" s="151">
        <v>2</v>
      </c>
      <c r="G60" s="151" t="s">
        <v>34</v>
      </c>
      <c r="H60" s="151">
        <v>15</v>
      </c>
      <c r="I60" s="151" t="s">
        <v>34</v>
      </c>
      <c r="J60" s="151" t="s">
        <v>408</v>
      </c>
      <c r="K60" s="148"/>
      <c r="L60" s="148"/>
      <c r="M60" s="148"/>
      <c r="N60" s="148"/>
    </row>
    <row r="61" spans="1:14" ht="14.45" customHeight="1" thickTop="1" x14ac:dyDescent="0.2">
      <c r="A61" s="557">
        <v>0</v>
      </c>
      <c r="B61" s="520"/>
      <c r="C61" s="600">
        <v>0</v>
      </c>
      <c r="D61" s="149">
        <v>0</v>
      </c>
      <c r="E61" s="149">
        <v>0</v>
      </c>
      <c r="F61" s="149">
        <v>0</v>
      </c>
      <c r="G61" s="149">
        <v>0</v>
      </c>
      <c r="H61" s="149">
        <v>0</v>
      </c>
      <c r="I61" s="149">
        <v>0</v>
      </c>
      <c r="J61" s="149">
        <v>0</v>
      </c>
      <c r="K61" s="148"/>
      <c r="L61" s="148"/>
      <c r="M61" s="148"/>
      <c r="N61" s="148"/>
    </row>
    <row r="62" spans="1:14" ht="14.45" customHeight="1" thickBot="1" x14ac:dyDescent="0.25">
      <c r="A62" s="558">
        <v>2084</v>
      </c>
      <c r="B62" s="520"/>
      <c r="C62" s="601" t="s">
        <v>267</v>
      </c>
      <c r="D62" s="151">
        <v>41</v>
      </c>
      <c r="E62" s="151" t="s">
        <v>249</v>
      </c>
      <c r="F62" s="151" t="s">
        <v>249</v>
      </c>
      <c r="G62" s="151">
        <v>10</v>
      </c>
      <c r="H62" s="151">
        <v>59</v>
      </c>
      <c r="I62" s="151" t="s">
        <v>34</v>
      </c>
      <c r="J62" s="151" t="s">
        <v>34</v>
      </c>
      <c r="K62" s="164"/>
      <c r="L62" s="148"/>
      <c r="M62" s="148"/>
      <c r="N62" s="148"/>
    </row>
    <row r="63" spans="1:14" ht="14.45" customHeight="1" thickTop="1" x14ac:dyDescent="0.2">
      <c r="A63" s="557">
        <v>0</v>
      </c>
      <c r="B63" s="520"/>
      <c r="C63" s="600">
        <v>0</v>
      </c>
      <c r="D63" s="149">
        <v>0</v>
      </c>
      <c r="E63" s="149">
        <v>0</v>
      </c>
      <c r="F63" s="149">
        <v>0</v>
      </c>
      <c r="G63" s="149">
        <v>0</v>
      </c>
      <c r="H63" s="149">
        <v>0</v>
      </c>
      <c r="I63" s="149">
        <v>0</v>
      </c>
      <c r="J63" s="149">
        <v>0</v>
      </c>
      <c r="K63" s="148"/>
      <c r="L63" s="148"/>
      <c r="M63" s="148"/>
      <c r="N63" s="148"/>
    </row>
    <row r="64" spans="1:14" ht="14.45" customHeight="1" thickBot="1" x14ac:dyDescent="0.25">
      <c r="A64" s="558">
        <v>2677</v>
      </c>
      <c r="B64" s="520"/>
      <c r="C64" s="601" t="s">
        <v>268</v>
      </c>
      <c r="D64" s="151" t="s">
        <v>34</v>
      </c>
      <c r="E64" s="151">
        <v>42</v>
      </c>
      <c r="F64" s="151">
        <v>60</v>
      </c>
      <c r="G64" s="151">
        <v>25</v>
      </c>
      <c r="H64" s="151">
        <v>16</v>
      </c>
      <c r="I64" s="151" t="s">
        <v>409</v>
      </c>
      <c r="J64" s="151" t="s">
        <v>237</v>
      </c>
      <c r="K64" s="165"/>
      <c r="L64" s="148"/>
      <c r="M64" s="148"/>
      <c r="N64" s="148"/>
    </row>
    <row r="65" spans="1:15" ht="14.45" customHeight="1" thickTop="1" x14ac:dyDescent="0.2">
      <c r="A65" s="557">
        <v>0</v>
      </c>
      <c r="B65" s="520"/>
      <c r="C65" s="600">
        <v>0</v>
      </c>
      <c r="D65" s="149">
        <v>0</v>
      </c>
      <c r="E65" s="149">
        <v>0</v>
      </c>
      <c r="F65" s="149">
        <v>0</v>
      </c>
      <c r="G65" s="149">
        <v>0</v>
      </c>
      <c r="H65" s="149">
        <v>0</v>
      </c>
      <c r="I65" s="149">
        <v>0</v>
      </c>
      <c r="J65" s="149">
        <v>0</v>
      </c>
      <c r="K65" s="148"/>
      <c r="L65" s="148"/>
      <c r="M65" s="148"/>
      <c r="N65" s="148"/>
      <c r="O65" s="148"/>
    </row>
    <row r="66" spans="1:15" ht="14.45" customHeight="1" thickBot="1" x14ac:dyDescent="0.25">
      <c r="A66" s="558">
        <v>3385</v>
      </c>
      <c r="B66" s="520"/>
      <c r="C66" s="601" t="s">
        <v>269</v>
      </c>
      <c r="D66" s="151" t="s">
        <v>34</v>
      </c>
      <c r="E66" s="151" t="s">
        <v>34</v>
      </c>
      <c r="F66" s="151" t="s">
        <v>34</v>
      </c>
      <c r="G66" s="151">
        <v>41</v>
      </c>
      <c r="H66" s="151">
        <v>38</v>
      </c>
      <c r="I66" s="151" t="s">
        <v>410</v>
      </c>
      <c r="J66" s="151" t="s">
        <v>411</v>
      </c>
      <c r="K66" s="148"/>
      <c r="L66" s="148"/>
      <c r="M66" s="148"/>
      <c r="N66" s="148"/>
      <c r="O66" s="148"/>
    </row>
    <row r="67" spans="1:15" ht="14.45" customHeight="1" thickTop="1" x14ac:dyDescent="0.2">
      <c r="A67" s="557">
        <v>0</v>
      </c>
      <c r="B67" s="520"/>
      <c r="C67" s="600">
        <v>0</v>
      </c>
      <c r="D67" s="149">
        <v>0</v>
      </c>
      <c r="E67" s="149">
        <v>0</v>
      </c>
      <c r="F67" s="149">
        <v>0</v>
      </c>
      <c r="G67" s="149">
        <v>0</v>
      </c>
      <c r="H67" s="149">
        <v>0</v>
      </c>
      <c r="I67" s="149">
        <v>0</v>
      </c>
      <c r="J67" s="149">
        <v>0</v>
      </c>
      <c r="K67" s="162"/>
      <c r="L67" s="148"/>
      <c r="M67" s="148"/>
      <c r="N67" s="148"/>
      <c r="O67" s="148"/>
    </row>
    <row r="68" spans="1:15" ht="14.45" customHeight="1" thickBot="1" x14ac:dyDescent="0.25">
      <c r="A68" s="558">
        <v>1138</v>
      </c>
      <c r="B68" s="520"/>
      <c r="C68" s="601" t="s">
        <v>270</v>
      </c>
      <c r="D68" s="151">
        <v>10</v>
      </c>
      <c r="E68" s="151">
        <v>4</v>
      </c>
      <c r="F68" s="151" t="s">
        <v>34</v>
      </c>
      <c r="G68" s="151" t="s">
        <v>34</v>
      </c>
      <c r="H68" s="151" t="s">
        <v>34</v>
      </c>
      <c r="I68" s="151" t="s">
        <v>34</v>
      </c>
      <c r="J68" s="151" t="s">
        <v>34</v>
      </c>
      <c r="K68" s="166"/>
      <c r="L68" s="148"/>
      <c r="M68" s="148"/>
      <c r="N68" s="148"/>
      <c r="O68" s="148"/>
    </row>
    <row r="69" spans="1:15" ht="14.45" customHeight="1" thickTop="1" x14ac:dyDescent="0.2">
      <c r="A69" s="557"/>
      <c r="B69" s="520"/>
      <c r="C69" s="600"/>
      <c r="D69" s="149">
        <v>0</v>
      </c>
      <c r="E69" s="149">
        <v>0</v>
      </c>
      <c r="F69" s="149">
        <v>0</v>
      </c>
      <c r="G69" s="149">
        <v>0</v>
      </c>
      <c r="H69" s="149">
        <v>0</v>
      </c>
      <c r="I69" s="149">
        <v>0</v>
      </c>
      <c r="J69" s="149">
        <v>0</v>
      </c>
      <c r="K69" s="162"/>
      <c r="L69" s="148"/>
      <c r="M69" s="148"/>
      <c r="N69" s="148"/>
      <c r="O69" s="148"/>
    </row>
    <row r="70" spans="1:15" ht="14.45" customHeight="1" thickBot="1" x14ac:dyDescent="0.25">
      <c r="A70" s="558"/>
      <c r="B70" s="520"/>
      <c r="C70" s="601"/>
      <c r="D70" s="151">
        <v>0</v>
      </c>
      <c r="E70" s="151">
        <v>0</v>
      </c>
      <c r="F70" s="151">
        <v>0</v>
      </c>
      <c r="G70" s="151">
        <v>0</v>
      </c>
      <c r="H70" s="151">
        <v>0</v>
      </c>
      <c r="I70" s="151">
        <v>0</v>
      </c>
      <c r="J70" s="151">
        <v>0</v>
      </c>
      <c r="K70" s="167"/>
      <c r="L70" s="148"/>
      <c r="M70" s="148"/>
      <c r="N70" s="148"/>
      <c r="O70" s="148"/>
    </row>
    <row r="71" spans="1:15" ht="14.45" customHeight="1" thickTop="1" x14ac:dyDescent="0.2">
      <c r="A71" s="652">
        <v>0</v>
      </c>
      <c r="B71" s="599"/>
      <c r="C71" s="656">
        <v>0</v>
      </c>
      <c r="D71" s="149">
        <v>0</v>
      </c>
      <c r="E71" s="149">
        <v>0</v>
      </c>
      <c r="F71" s="149">
        <v>0</v>
      </c>
      <c r="G71" s="149">
        <v>0</v>
      </c>
      <c r="H71" s="149">
        <v>0</v>
      </c>
      <c r="I71" s="149">
        <v>0</v>
      </c>
      <c r="J71" s="149">
        <v>0</v>
      </c>
      <c r="K71" s="162"/>
      <c r="L71" s="148"/>
      <c r="M71" s="148"/>
      <c r="N71" s="148"/>
      <c r="O71" s="148"/>
    </row>
    <row r="72" spans="1:15" ht="14.45" customHeight="1" thickBot="1" x14ac:dyDescent="0.25">
      <c r="A72" s="654">
        <v>2167</v>
      </c>
      <c r="B72" s="599"/>
      <c r="C72" s="655" t="s">
        <v>271</v>
      </c>
      <c r="D72" s="151">
        <v>45</v>
      </c>
      <c r="E72" s="151">
        <v>54</v>
      </c>
      <c r="F72" s="151">
        <v>33</v>
      </c>
      <c r="G72" s="151">
        <v>22</v>
      </c>
      <c r="H72" s="151">
        <v>11</v>
      </c>
      <c r="I72" s="151" t="s">
        <v>34</v>
      </c>
      <c r="J72" s="151" t="s">
        <v>34</v>
      </c>
      <c r="K72" s="162"/>
      <c r="L72" s="148"/>
      <c r="M72" s="148"/>
      <c r="N72" s="148"/>
      <c r="O72" s="148"/>
    </row>
    <row r="73" spans="1:15" ht="14.45" customHeight="1" thickTop="1" x14ac:dyDescent="0.2">
      <c r="A73" s="652">
        <v>0</v>
      </c>
      <c r="B73" s="599"/>
      <c r="C73" s="656">
        <v>0</v>
      </c>
      <c r="D73" s="149">
        <v>0</v>
      </c>
      <c r="E73" s="149">
        <v>0</v>
      </c>
      <c r="F73" s="149">
        <v>0</v>
      </c>
      <c r="G73" s="149">
        <v>0</v>
      </c>
      <c r="H73" s="149">
        <v>0</v>
      </c>
      <c r="I73" s="149">
        <v>0</v>
      </c>
      <c r="J73" s="149">
        <v>0</v>
      </c>
      <c r="K73" s="162"/>
      <c r="L73" s="148"/>
      <c r="M73" s="148"/>
      <c r="N73" s="163"/>
      <c r="O73" s="148"/>
    </row>
    <row r="74" spans="1:15" ht="14.45" customHeight="1" thickBot="1" x14ac:dyDescent="0.25">
      <c r="A74" s="654">
        <v>1080</v>
      </c>
      <c r="B74" s="599"/>
      <c r="C74" s="655" t="s">
        <v>272</v>
      </c>
      <c r="D74" s="151" t="s">
        <v>34</v>
      </c>
      <c r="E74" s="151" t="s">
        <v>34</v>
      </c>
      <c r="F74" s="151">
        <v>44</v>
      </c>
      <c r="G74" s="151">
        <v>32</v>
      </c>
      <c r="H74" s="151">
        <v>29</v>
      </c>
      <c r="I74" s="151" t="s">
        <v>412</v>
      </c>
      <c r="J74" s="151" t="s">
        <v>413</v>
      </c>
      <c r="K74" s="162"/>
      <c r="L74" s="148"/>
      <c r="M74" s="148"/>
      <c r="N74" s="148"/>
      <c r="O74" s="148"/>
    </row>
    <row r="75" spans="1:15" ht="14.45" customHeight="1" thickTop="1" x14ac:dyDescent="0.2">
      <c r="A75" s="652">
        <v>0</v>
      </c>
      <c r="B75" s="599"/>
      <c r="C75" s="656">
        <v>0</v>
      </c>
      <c r="D75" s="149">
        <v>0</v>
      </c>
      <c r="E75" s="149">
        <v>0</v>
      </c>
      <c r="F75" s="149">
        <v>0</v>
      </c>
      <c r="G75" s="149">
        <v>0</v>
      </c>
      <c r="H75" s="149">
        <v>0</v>
      </c>
      <c r="I75" s="149">
        <v>0</v>
      </c>
      <c r="J75" s="149">
        <v>0</v>
      </c>
      <c r="K75" s="162"/>
      <c r="L75" s="148"/>
      <c r="M75" s="148"/>
      <c r="N75" s="148"/>
      <c r="O75" s="148"/>
    </row>
    <row r="76" spans="1:15" ht="14.45" customHeight="1" thickBot="1" x14ac:dyDescent="0.25">
      <c r="A76" s="654">
        <v>2887</v>
      </c>
      <c r="B76" s="599"/>
      <c r="C76" s="655" t="s">
        <v>273</v>
      </c>
      <c r="D76" s="151">
        <v>6</v>
      </c>
      <c r="E76" s="151" t="s">
        <v>34</v>
      </c>
      <c r="F76" s="151" t="s">
        <v>34</v>
      </c>
      <c r="G76" s="151" t="s">
        <v>34</v>
      </c>
      <c r="H76" s="151">
        <v>40</v>
      </c>
      <c r="I76" s="151" t="s">
        <v>404</v>
      </c>
      <c r="J76" s="151" t="s">
        <v>414</v>
      </c>
      <c r="K76" s="162"/>
      <c r="L76" s="148"/>
      <c r="M76" s="148"/>
      <c r="N76" s="148"/>
      <c r="O76" s="148"/>
    </row>
    <row r="77" spans="1:15" ht="14.45" customHeight="1" thickTop="1" x14ac:dyDescent="0.2">
      <c r="A77" s="652">
        <v>0</v>
      </c>
      <c r="B77" s="599"/>
      <c r="C77" s="656">
        <v>0</v>
      </c>
      <c r="D77" s="149">
        <v>0</v>
      </c>
      <c r="E77" s="149">
        <v>0</v>
      </c>
      <c r="F77" s="149">
        <v>0</v>
      </c>
      <c r="G77" s="149">
        <v>0</v>
      </c>
      <c r="H77" s="149">
        <v>0</v>
      </c>
      <c r="I77" s="149">
        <v>0</v>
      </c>
      <c r="J77" s="149">
        <v>0</v>
      </c>
      <c r="K77" s="162"/>
      <c r="L77" s="148"/>
      <c r="M77" s="148"/>
      <c r="N77" s="148"/>
      <c r="O77" s="148"/>
    </row>
    <row r="78" spans="1:15" ht="14.45" customHeight="1" thickBot="1" x14ac:dyDescent="0.25">
      <c r="A78" s="654">
        <v>2242</v>
      </c>
      <c r="B78" s="599"/>
      <c r="C78" s="655" t="s">
        <v>274</v>
      </c>
      <c r="D78" s="151">
        <v>59</v>
      </c>
      <c r="E78" s="151">
        <v>17</v>
      </c>
      <c r="F78" s="151">
        <v>3</v>
      </c>
      <c r="G78" s="151" t="s">
        <v>34</v>
      </c>
      <c r="H78" s="151" t="s">
        <v>34</v>
      </c>
      <c r="I78" s="151" t="s">
        <v>34</v>
      </c>
      <c r="J78" s="151" t="s">
        <v>34</v>
      </c>
      <c r="K78" s="162"/>
      <c r="L78" s="148"/>
      <c r="M78" s="148"/>
      <c r="N78" s="148"/>
      <c r="O78" s="162"/>
    </row>
    <row r="79" spans="1:15" ht="14.45" customHeight="1" thickTop="1" x14ac:dyDescent="0.2">
      <c r="A79" s="652">
        <v>0</v>
      </c>
      <c r="B79" s="599"/>
      <c r="C79" s="656">
        <v>0</v>
      </c>
      <c r="D79" s="149">
        <v>0</v>
      </c>
      <c r="E79" s="149">
        <v>0</v>
      </c>
      <c r="F79" s="149">
        <v>0</v>
      </c>
      <c r="G79" s="149" t="s">
        <v>442</v>
      </c>
      <c r="H79" s="149">
        <v>0</v>
      </c>
      <c r="I79" s="149">
        <v>0</v>
      </c>
      <c r="J79" s="149">
        <v>0</v>
      </c>
      <c r="K79" s="162"/>
      <c r="L79" s="148"/>
      <c r="M79" s="148"/>
      <c r="N79" s="148"/>
      <c r="O79" s="148"/>
    </row>
    <row r="80" spans="1:15" ht="14.45" customHeight="1" thickBot="1" x14ac:dyDescent="0.25">
      <c r="A80" s="654">
        <v>1203</v>
      </c>
      <c r="B80" s="599"/>
      <c r="C80" s="655" t="s">
        <v>275</v>
      </c>
      <c r="D80" s="151" t="s">
        <v>76</v>
      </c>
      <c r="E80" s="151" t="s">
        <v>34</v>
      </c>
      <c r="F80" s="151">
        <v>20</v>
      </c>
      <c r="G80" s="151">
        <v>9</v>
      </c>
      <c r="H80" s="151" t="s">
        <v>34</v>
      </c>
      <c r="I80" s="151" t="s">
        <v>34</v>
      </c>
      <c r="J80" s="151" t="s">
        <v>34</v>
      </c>
      <c r="K80" s="162"/>
      <c r="L80" s="148"/>
      <c r="M80" s="148"/>
      <c r="N80" s="148"/>
      <c r="O80" s="148"/>
    </row>
    <row r="81" spans="1:11" ht="14.45" customHeight="1" thickTop="1" x14ac:dyDescent="0.2">
      <c r="A81" s="652">
        <v>0</v>
      </c>
      <c r="B81" s="599"/>
      <c r="C81" s="656">
        <v>0</v>
      </c>
      <c r="D81" s="149">
        <v>0</v>
      </c>
      <c r="E81" s="149">
        <v>0</v>
      </c>
      <c r="F81" s="149">
        <v>0</v>
      </c>
      <c r="G81" s="149">
        <v>0</v>
      </c>
      <c r="H81" s="149">
        <v>0</v>
      </c>
      <c r="I81" s="149">
        <v>0</v>
      </c>
      <c r="J81" s="149">
        <v>0</v>
      </c>
      <c r="K81" s="162"/>
    </row>
    <row r="82" spans="1:11" ht="14.45" customHeight="1" thickBot="1" x14ac:dyDescent="0.25">
      <c r="A82" s="654">
        <v>2664</v>
      </c>
      <c r="B82" s="599"/>
      <c r="C82" s="655" t="s">
        <v>276</v>
      </c>
      <c r="D82" s="151">
        <v>20</v>
      </c>
      <c r="E82" s="151">
        <v>14</v>
      </c>
      <c r="F82" s="151" t="s">
        <v>34</v>
      </c>
      <c r="G82" s="151">
        <v>5</v>
      </c>
      <c r="H82" s="151">
        <v>19</v>
      </c>
      <c r="I82" s="151" t="s">
        <v>415</v>
      </c>
      <c r="J82" s="151" t="s">
        <v>416</v>
      </c>
      <c r="K82" s="168"/>
    </row>
    <row r="83" spans="1:11" ht="14.45" customHeight="1" thickTop="1" x14ac:dyDescent="0.2">
      <c r="A83" s="652">
        <v>0</v>
      </c>
      <c r="B83" s="599"/>
      <c r="C83" s="656">
        <v>0</v>
      </c>
      <c r="D83" s="149">
        <v>0</v>
      </c>
      <c r="E83" s="149">
        <v>0</v>
      </c>
      <c r="F83" s="149">
        <v>0</v>
      </c>
      <c r="G83" s="149">
        <v>0</v>
      </c>
      <c r="H83" s="149">
        <v>0</v>
      </c>
      <c r="I83" s="149">
        <v>0</v>
      </c>
      <c r="J83" s="149">
        <v>0</v>
      </c>
      <c r="K83" s="162"/>
    </row>
    <row r="84" spans="1:11" ht="14.45" customHeight="1" thickBot="1" x14ac:dyDescent="0.25">
      <c r="A84" s="654">
        <v>1956</v>
      </c>
      <c r="B84" s="599"/>
      <c r="C84" s="655" t="s">
        <v>277</v>
      </c>
      <c r="D84" s="151" t="s">
        <v>34</v>
      </c>
      <c r="E84" s="151">
        <v>40</v>
      </c>
      <c r="F84" s="151">
        <v>39</v>
      </c>
      <c r="G84" s="151">
        <v>30</v>
      </c>
      <c r="H84" s="151">
        <v>21</v>
      </c>
      <c r="I84" s="151" t="s">
        <v>417</v>
      </c>
      <c r="J84" s="151" t="s">
        <v>418</v>
      </c>
      <c r="K84" s="162"/>
    </row>
    <row r="85" spans="1:11" ht="14.45" customHeight="1" thickTop="1" x14ac:dyDescent="0.2">
      <c r="A85" s="652">
        <v>0</v>
      </c>
      <c r="B85" s="599"/>
      <c r="C85" s="656">
        <v>0</v>
      </c>
      <c r="D85" s="149">
        <v>0</v>
      </c>
      <c r="E85" s="149">
        <v>0</v>
      </c>
      <c r="F85" s="149">
        <v>0</v>
      </c>
      <c r="G85" s="149">
        <v>0</v>
      </c>
      <c r="H85" s="149">
        <v>0</v>
      </c>
      <c r="I85" s="149">
        <v>0</v>
      </c>
      <c r="J85" s="149">
        <v>0</v>
      </c>
      <c r="K85" s="162"/>
    </row>
    <row r="86" spans="1:11" ht="14.45" customHeight="1" thickBot="1" x14ac:dyDescent="0.25">
      <c r="A86" s="654">
        <v>1397</v>
      </c>
      <c r="B86" s="599"/>
      <c r="C86" s="655" t="s">
        <v>278</v>
      </c>
      <c r="D86" s="151" t="s">
        <v>34</v>
      </c>
      <c r="E86" s="151" t="s">
        <v>34</v>
      </c>
      <c r="F86" s="151">
        <v>38</v>
      </c>
      <c r="G86" s="151">
        <v>49</v>
      </c>
      <c r="H86" s="151">
        <v>37</v>
      </c>
      <c r="I86" s="151" t="s">
        <v>419</v>
      </c>
      <c r="J86" s="151" t="s">
        <v>240</v>
      </c>
      <c r="K86" s="168"/>
    </row>
    <row r="87" spans="1:11" ht="14.45" customHeight="1" thickTop="1" x14ac:dyDescent="0.2">
      <c r="A87" s="652">
        <v>0</v>
      </c>
      <c r="B87" s="599"/>
      <c r="C87" s="656">
        <v>0</v>
      </c>
      <c r="D87" s="149">
        <v>0</v>
      </c>
      <c r="E87" s="149">
        <v>0</v>
      </c>
      <c r="F87" s="149">
        <v>0</v>
      </c>
      <c r="G87" s="149">
        <v>0</v>
      </c>
      <c r="H87" s="149">
        <v>0</v>
      </c>
      <c r="I87" s="149">
        <v>0</v>
      </c>
      <c r="J87" s="149">
        <v>0</v>
      </c>
      <c r="K87" s="169"/>
    </row>
    <row r="88" spans="1:11" ht="14.45" customHeight="1" thickBot="1" x14ac:dyDescent="0.25">
      <c r="A88" s="654">
        <v>3024</v>
      </c>
      <c r="B88" s="599"/>
      <c r="C88" s="655" t="s">
        <v>279</v>
      </c>
      <c r="D88" s="151" t="s">
        <v>77</v>
      </c>
      <c r="E88" s="151" t="s">
        <v>77</v>
      </c>
      <c r="F88" s="151" t="s">
        <v>34</v>
      </c>
      <c r="G88" s="151" t="s">
        <v>34</v>
      </c>
      <c r="H88" s="151" t="s">
        <v>34</v>
      </c>
      <c r="I88" s="151" t="s">
        <v>34</v>
      </c>
      <c r="J88" s="151" t="s">
        <v>77</v>
      </c>
      <c r="K88" s="169"/>
    </row>
    <row r="89" spans="1:11" ht="14.45" customHeight="1" thickTop="1" x14ac:dyDescent="0.2">
      <c r="A89" s="652">
        <v>0</v>
      </c>
      <c r="B89" s="599"/>
      <c r="C89" s="656">
        <v>0</v>
      </c>
      <c r="D89" s="149">
        <v>0</v>
      </c>
      <c r="E89" s="149">
        <v>0</v>
      </c>
      <c r="F89" s="149">
        <v>0</v>
      </c>
      <c r="G89" s="149">
        <v>0</v>
      </c>
      <c r="H89" s="149">
        <v>0</v>
      </c>
      <c r="I89" s="149">
        <v>0</v>
      </c>
      <c r="J89" s="149">
        <v>0</v>
      </c>
      <c r="K89" s="162"/>
    </row>
    <row r="90" spans="1:11" ht="14.45" customHeight="1" thickBot="1" x14ac:dyDescent="0.25">
      <c r="A90" s="654">
        <v>3300</v>
      </c>
      <c r="B90" s="599"/>
      <c r="C90" s="655" t="s">
        <v>280</v>
      </c>
      <c r="D90" s="151">
        <v>27</v>
      </c>
      <c r="E90" s="151">
        <v>7</v>
      </c>
      <c r="F90" s="151">
        <v>4</v>
      </c>
      <c r="G90" s="151">
        <v>23</v>
      </c>
      <c r="H90" s="151" t="s">
        <v>34</v>
      </c>
      <c r="I90" s="151" t="s">
        <v>34</v>
      </c>
      <c r="J90" s="151" t="s">
        <v>34</v>
      </c>
      <c r="K90" s="162"/>
    </row>
    <row r="91" spans="1:11" ht="14.45" customHeight="1" thickTop="1" x14ac:dyDescent="0.2">
      <c r="A91" s="652">
        <v>0</v>
      </c>
      <c r="B91" s="599"/>
      <c r="C91" s="656">
        <v>0</v>
      </c>
      <c r="D91" s="149">
        <v>0</v>
      </c>
      <c r="E91" s="149">
        <v>0</v>
      </c>
      <c r="F91" s="149">
        <v>0</v>
      </c>
      <c r="G91" s="149">
        <v>0</v>
      </c>
      <c r="H91" s="149">
        <v>0</v>
      </c>
      <c r="I91" s="149">
        <v>0</v>
      </c>
      <c r="J91" s="149">
        <v>0</v>
      </c>
      <c r="K91" s="162"/>
    </row>
    <row r="92" spans="1:11" ht="14.45" customHeight="1" thickBot="1" x14ac:dyDescent="0.25">
      <c r="A92" s="654">
        <v>2555</v>
      </c>
      <c r="B92" s="599"/>
      <c r="C92" s="655" t="s">
        <v>281</v>
      </c>
      <c r="D92" s="151">
        <v>44</v>
      </c>
      <c r="E92" s="151">
        <v>47</v>
      </c>
      <c r="F92" s="151">
        <v>53</v>
      </c>
      <c r="G92" s="151">
        <v>18</v>
      </c>
      <c r="H92" s="151">
        <v>23</v>
      </c>
      <c r="I92" s="151" t="s">
        <v>238</v>
      </c>
      <c r="J92" s="151" t="s">
        <v>34</v>
      </c>
      <c r="K92" s="162"/>
    </row>
    <row r="93" spans="1:11" ht="14.45" customHeight="1" thickTop="1" x14ac:dyDescent="0.2">
      <c r="A93" s="557">
        <v>0</v>
      </c>
      <c r="B93" s="520"/>
      <c r="C93" s="600">
        <v>0</v>
      </c>
      <c r="D93" s="149">
        <v>0</v>
      </c>
      <c r="E93" s="149">
        <v>0</v>
      </c>
      <c r="F93" s="149">
        <v>0</v>
      </c>
      <c r="G93" s="149">
        <v>0</v>
      </c>
      <c r="H93" s="149">
        <v>0</v>
      </c>
      <c r="I93" s="149">
        <v>0</v>
      </c>
      <c r="J93" s="149">
        <v>0</v>
      </c>
      <c r="K93" s="162"/>
    </row>
    <row r="94" spans="1:11" ht="17.25" customHeight="1" thickBot="1" x14ac:dyDescent="0.25">
      <c r="A94" s="558">
        <v>2732</v>
      </c>
      <c r="B94" s="520"/>
      <c r="C94" s="601" t="s">
        <v>282</v>
      </c>
      <c r="D94" s="151" t="s">
        <v>34</v>
      </c>
      <c r="E94" s="151" t="s">
        <v>34</v>
      </c>
      <c r="F94" s="151" t="s">
        <v>34</v>
      </c>
      <c r="G94" s="151" t="s">
        <v>34</v>
      </c>
      <c r="H94" s="151" t="s">
        <v>34</v>
      </c>
      <c r="I94" s="151" t="s">
        <v>34</v>
      </c>
      <c r="J94" s="151" t="s">
        <v>421</v>
      </c>
      <c r="K94" s="162"/>
    </row>
    <row r="95" spans="1:11" ht="14.45" customHeight="1" thickTop="1" x14ac:dyDescent="0.2">
      <c r="A95" s="557"/>
      <c r="B95" s="520"/>
      <c r="C95" s="600"/>
      <c r="D95" s="149">
        <v>0</v>
      </c>
      <c r="E95" s="149">
        <v>0</v>
      </c>
      <c r="F95" s="149">
        <v>0</v>
      </c>
      <c r="G95" s="149">
        <v>0</v>
      </c>
      <c r="H95" s="149">
        <v>0</v>
      </c>
      <c r="I95" s="149">
        <v>0</v>
      </c>
      <c r="J95" s="149">
        <v>0</v>
      </c>
      <c r="K95" s="162"/>
    </row>
    <row r="96" spans="1:11" ht="14.45" customHeight="1" thickBot="1" x14ac:dyDescent="0.25">
      <c r="A96" s="558"/>
      <c r="B96" s="520"/>
      <c r="C96" s="601"/>
      <c r="D96" s="151">
        <v>0</v>
      </c>
      <c r="E96" s="151">
        <v>0</v>
      </c>
      <c r="F96" s="151">
        <v>0</v>
      </c>
      <c r="G96" s="151">
        <v>0</v>
      </c>
      <c r="H96" s="151">
        <v>0</v>
      </c>
      <c r="I96" s="151">
        <v>0</v>
      </c>
      <c r="J96" s="151">
        <v>0</v>
      </c>
      <c r="K96" s="162"/>
    </row>
    <row r="97" spans="1:16" ht="14.45" customHeight="1" thickTop="1" x14ac:dyDescent="0.2">
      <c r="A97" s="557">
        <v>0</v>
      </c>
      <c r="B97" s="520"/>
      <c r="C97" s="600">
        <v>0</v>
      </c>
      <c r="D97" s="149">
        <v>0</v>
      </c>
      <c r="E97" s="149">
        <v>0</v>
      </c>
      <c r="F97" s="149">
        <v>0</v>
      </c>
      <c r="G97" s="149">
        <v>0</v>
      </c>
      <c r="H97" s="149">
        <v>0</v>
      </c>
      <c r="I97" s="149">
        <v>0</v>
      </c>
      <c r="J97" s="149">
        <v>0</v>
      </c>
      <c r="K97" s="162"/>
      <c r="L97" s="148"/>
      <c r="M97" s="148"/>
      <c r="N97" s="148"/>
      <c r="O97" s="148"/>
      <c r="P97" s="148"/>
    </row>
    <row r="98" spans="1:16" ht="14.45" customHeight="1" thickBot="1" x14ac:dyDescent="0.25">
      <c r="A98" s="558">
        <v>2947</v>
      </c>
      <c r="B98" s="520"/>
      <c r="C98" s="601" t="s">
        <v>283</v>
      </c>
      <c r="D98" s="151">
        <v>15</v>
      </c>
      <c r="E98" s="151">
        <v>23</v>
      </c>
      <c r="F98" s="151">
        <v>6</v>
      </c>
      <c r="G98" s="151" t="s">
        <v>34</v>
      </c>
      <c r="H98" s="151" t="s">
        <v>34</v>
      </c>
      <c r="I98" s="151" t="s">
        <v>422</v>
      </c>
      <c r="J98" s="151" t="s">
        <v>395</v>
      </c>
      <c r="K98" s="162"/>
      <c r="L98" s="148"/>
      <c r="M98" s="148"/>
      <c r="N98" s="148"/>
      <c r="O98" s="148"/>
      <c r="P98" s="148"/>
    </row>
    <row r="99" spans="1:16" ht="14.45" customHeight="1" thickTop="1" x14ac:dyDescent="0.2">
      <c r="A99" s="137"/>
      <c r="B99" s="137"/>
      <c r="C99" s="138"/>
      <c r="D99" s="139" t="s">
        <v>26</v>
      </c>
      <c r="E99" s="139" t="s">
        <v>27</v>
      </c>
      <c r="F99" s="139" t="s">
        <v>28</v>
      </c>
      <c r="G99" s="139" t="s">
        <v>115</v>
      </c>
      <c r="H99" s="139" t="s">
        <v>30</v>
      </c>
      <c r="I99" s="139" t="s">
        <v>116</v>
      </c>
      <c r="J99" s="140" t="s">
        <v>32</v>
      </c>
      <c r="K99" s="162"/>
      <c r="L99" s="148"/>
      <c r="M99" s="148"/>
      <c r="N99" s="148"/>
      <c r="O99" s="148"/>
      <c r="P99" s="148"/>
    </row>
    <row r="100" spans="1:16" ht="14.45" customHeight="1" thickBot="1" x14ac:dyDescent="0.25">
      <c r="A100" s="141" t="s">
        <v>35</v>
      </c>
      <c r="B100" s="142"/>
      <c r="C100" s="143" t="s">
        <v>33</v>
      </c>
      <c r="D100" s="144">
        <f>DATE(YEAR(FECHA!$C$3),MONTH(FECHA!$C$3),DAY(FECHA!$C$3))</f>
        <v>45908</v>
      </c>
      <c r="E100" s="144">
        <f>D100+1</f>
        <v>45909</v>
      </c>
      <c r="F100" s="144">
        <f t="shared" ref="F100" si="1">E100+1</f>
        <v>45910</v>
      </c>
      <c r="G100" s="144">
        <f t="shared" ref="G100" si="2">F100+1</f>
        <v>45911</v>
      </c>
      <c r="H100" s="144">
        <f t="shared" ref="H100" si="3">G100+1</f>
        <v>45912</v>
      </c>
      <c r="I100" s="144">
        <f t="shared" ref="I100" si="4">H100+1</f>
        <v>45913</v>
      </c>
      <c r="J100" s="144">
        <f t="shared" ref="J100" si="5">I100+1</f>
        <v>45914</v>
      </c>
      <c r="K100" s="162"/>
      <c r="L100" s="148"/>
      <c r="M100" s="148"/>
      <c r="N100" s="148"/>
      <c r="O100" s="148"/>
      <c r="P100" s="148"/>
    </row>
    <row r="101" spans="1:16" ht="14.45" customHeight="1" thickTop="1" x14ac:dyDescent="0.2">
      <c r="A101" s="152"/>
      <c r="B101" s="152"/>
      <c r="C101" s="158"/>
      <c r="D101" s="170"/>
      <c r="E101" s="170"/>
      <c r="F101" s="170"/>
      <c r="G101" s="170"/>
      <c r="H101" s="170"/>
      <c r="I101" s="170"/>
      <c r="J101" s="170"/>
      <c r="K101" s="162"/>
      <c r="L101" s="148"/>
      <c r="M101" s="148"/>
      <c r="N101" s="148"/>
      <c r="O101" s="148"/>
      <c r="P101" s="148"/>
    </row>
    <row r="102" spans="1:16" ht="14.45" customHeight="1" x14ac:dyDescent="0.2">
      <c r="A102" s="154"/>
      <c r="B102" s="154"/>
      <c r="C102" s="159"/>
      <c r="D102" s="171"/>
      <c r="E102" s="171"/>
      <c r="F102" s="171"/>
      <c r="G102" s="171"/>
      <c r="H102" s="171"/>
      <c r="I102" s="171"/>
      <c r="J102" s="171"/>
      <c r="K102" s="162"/>
      <c r="L102" s="148"/>
      <c r="M102" s="148"/>
      <c r="N102" s="148"/>
      <c r="O102" s="148"/>
      <c r="P102" s="148"/>
    </row>
    <row r="103" spans="1:16" ht="14.45" customHeight="1" x14ac:dyDescent="0.2">
      <c r="A103" s="152">
        <v>0</v>
      </c>
      <c r="B103" s="152"/>
      <c r="C103" s="158">
        <v>0</v>
      </c>
      <c r="D103" s="170">
        <v>0</v>
      </c>
      <c r="E103" s="170">
        <v>0</v>
      </c>
      <c r="F103" s="170">
        <v>0</v>
      </c>
      <c r="G103" s="170">
        <v>0</v>
      </c>
      <c r="H103" s="170">
        <v>0</v>
      </c>
      <c r="I103" s="170">
        <v>0</v>
      </c>
      <c r="J103" s="170">
        <v>0</v>
      </c>
      <c r="K103" s="162"/>
      <c r="L103" s="148"/>
      <c r="M103" s="148"/>
      <c r="N103" s="148"/>
      <c r="O103" s="148"/>
      <c r="P103" s="148"/>
    </row>
    <row r="104" spans="1:16" ht="14.45" customHeight="1" x14ac:dyDescent="0.2">
      <c r="A104" s="154">
        <v>2385</v>
      </c>
      <c r="B104" s="154"/>
      <c r="C104" s="159" t="s">
        <v>284</v>
      </c>
      <c r="D104" s="171">
        <v>56</v>
      </c>
      <c r="E104" s="171">
        <v>2</v>
      </c>
      <c r="F104" s="171">
        <v>9</v>
      </c>
      <c r="G104" s="171" t="s">
        <v>34</v>
      </c>
      <c r="H104" s="171">
        <v>36</v>
      </c>
      <c r="I104" s="171" t="s">
        <v>400</v>
      </c>
      <c r="J104" s="171" t="s">
        <v>425</v>
      </c>
      <c r="K104" s="162"/>
      <c r="L104" s="148"/>
      <c r="M104" s="148"/>
      <c r="N104" s="148"/>
      <c r="O104" s="148"/>
      <c r="P104" s="148"/>
    </row>
    <row r="105" spans="1:16" ht="14.45" customHeight="1" x14ac:dyDescent="0.2">
      <c r="A105" s="152">
        <v>0</v>
      </c>
      <c r="B105" s="152"/>
      <c r="C105" s="158">
        <v>0</v>
      </c>
      <c r="D105" s="170">
        <v>0</v>
      </c>
      <c r="E105" s="170">
        <v>0</v>
      </c>
      <c r="F105" s="170">
        <v>0</v>
      </c>
      <c r="G105" s="170">
        <v>0</v>
      </c>
      <c r="H105" s="170">
        <v>0</v>
      </c>
      <c r="I105" s="170">
        <v>0</v>
      </c>
      <c r="J105" s="170">
        <v>0</v>
      </c>
      <c r="K105" s="162"/>
      <c r="L105" s="148"/>
      <c r="M105" s="148"/>
      <c r="N105" s="148"/>
      <c r="O105" s="148"/>
      <c r="P105" s="148"/>
    </row>
    <row r="106" spans="1:16" ht="14.45" customHeight="1" x14ac:dyDescent="0.2">
      <c r="A106" s="154">
        <v>2348</v>
      </c>
      <c r="B106" s="154"/>
      <c r="C106" s="159" t="s">
        <v>285</v>
      </c>
      <c r="D106" s="171" t="s">
        <v>34</v>
      </c>
      <c r="E106" s="171" t="s">
        <v>77</v>
      </c>
      <c r="F106" s="171" t="s">
        <v>77</v>
      </c>
      <c r="G106" s="171" t="s">
        <v>77</v>
      </c>
      <c r="H106" s="171" t="s">
        <v>77</v>
      </c>
      <c r="I106" s="171" t="s">
        <v>77</v>
      </c>
      <c r="J106" s="171" t="s">
        <v>77</v>
      </c>
      <c r="K106" s="162"/>
      <c r="L106" s="148"/>
      <c r="M106" s="148"/>
      <c r="N106" s="148"/>
      <c r="O106" s="148"/>
      <c r="P106" s="148"/>
    </row>
    <row r="107" spans="1:16" ht="14.45" customHeight="1" x14ac:dyDescent="0.2">
      <c r="A107" s="152">
        <v>0</v>
      </c>
      <c r="B107" s="152"/>
      <c r="C107" s="158">
        <v>0</v>
      </c>
      <c r="D107" s="170">
        <v>0</v>
      </c>
      <c r="E107" s="170">
        <v>0</v>
      </c>
      <c r="F107" s="170">
        <v>0</v>
      </c>
      <c r="G107" s="170">
        <v>0</v>
      </c>
      <c r="H107" s="170">
        <v>0</v>
      </c>
      <c r="I107" s="170">
        <v>0</v>
      </c>
      <c r="J107" s="170">
        <v>0</v>
      </c>
      <c r="K107" s="162"/>
      <c r="L107" s="148"/>
      <c r="M107" s="148"/>
      <c r="N107" s="148"/>
      <c r="O107" s="148"/>
      <c r="P107" s="148"/>
    </row>
    <row r="108" spans="1:16" ht="14.45" customHeight="1" x14ac:dyDescent="0.2">
      <c r="A108" s="154">
        <v>2388</v>
      </c>
      <c r="B108" s="154"/>
      <c r="C108" s="159" t="s">
        <v>286</v>
      </c>
      <c r="D108" s="171">
        <v>23</v>
      </c>
      <c r="E108" s="171" t="s">
        <v>34</v>
      </c>
      <c r="F108" s="171" t="s">
        <v>34</v>
      </c>
      <c r="G108" s="171">
        <v>28</v>
      </c>
      <c r="H108" s="171" t="s">
        <v>34</v>
      </c>
      <c r="I108" s="171" t="s">
        <v>34</v>
      </c>
      <c r="J108" s="171" t="s">
        <v>34</v>
      </c>
      <c r="K108" s="162"/>
      <c r="L108" s="148"/>
      <c r="M108" s="148"/>
      <c r="N108" s="148"/>
      <c r="O108" s="148"/>
      <c r="P108" s="148"/>
    </row>
    <row r="109" spans="1:16" ht="14.45" customHeight="1" x14ac:dyDescent="0.2">
      <c r="A109" s="152">
        <v>0</v>
      </c>
      <c r="B109" s="152"/>
      <c r="C109" s="158">
        <v>0</v>
      </c>
      <c r="D109" s="170">
        <v>0</v>
      </c>
      <c r="E109" s="170">
        <v>0</v>
      </c>
      <c r="F109" s="170">
        <v>0</v>
      </c>
      <c r="G109" s="170">
        <v>0</v>
      </c>
      <c r="H109" s="170">
        <v>0</v>
      </c>
      <c r="I109" s="170">
        <v>0</v>
      </c>
      <c r="J109" s="170">
        <v>0</v>
      </c>
      <c r="K109" s="162"/>
      <c r="L109" s="148"/>
      <c r="M109" s="148"/>
      <c r="N109" s="148"/>
      <c r="O109" s="148"/>
      <c r="P109" s="148"/>
    </row>
    <row r="110" spans="1:16" ht="14.45" customHeight="1" x14ac:dyDescent="0.2">
      <c r="A110" s="154">
        <v>2386</v>
      </c>
      <c r="B110" s="154"/>
      <c r="C110" s="159" t="s">
        <v>287</v>
      </c>
      <c r="D110" s="171">
        <v>14</v>
      </c>
      <c r="E110" s="171">
        <v>51</v>
      </c>
      <c r="F110" s="171" t="s">
        <v>34</v>
      </c>
      <c r="G110" s="171" t="s">
        <v>34</v>
      </c>
      <c r="H110" s="171" t="s">
        <v>34</v>
      </c>
      <c r="I110" s="171" t="s">
        <v>34</v>
      </c>
      <c r="J110" s="171" t="s">
        <v>423</v>
      </c>
      <c r="K110" s="162"/>
      <c r="L110" s="148"/>
      <c r="M110" s="148"/>
      <c r="N110" s="148"/>
      <c r="O110" s="148"/>
      <c r="P110" s="148"/>
    </row>
    <row r="111" spans="1:16" ht="14.45" customHeight="1" x14ac:dyDescent="0.2">
      <c r="A111" s="152">
        <v>0</v>
      </c>
      <c r="B111" s="152"/>
      <c r="C111" s="158">
        <v>0</v>
      </c>
      <c r="D111" s="170">
        <v>0</v>
      </c>
      <c r="E111" s="170">
        <v>0</v>
      </c>
      <c r="F111" s="170">
        <v>0</v>
      </c>
      <c r="G111" s="170">
        <v>0</v>
      </c>
      <c r="H111" s="170">
        <v>0</v>
      </c>
      <c r="I111" s="170">
        <v>0</v>
      </c>
      <c r="J111" s="170">
        <v>0</v>
      </c>
      <c r="K111" s="162"/>
      <c r="L111" s="148"/>
      <c r="M111" s="148"/>
      <c r="N111" s="148"/>
      <c r="O111" s="148"/>
      <c r="P111" s="148"/>
    </row>
    <row r="112" spans="1:16" ht="14.45" customHeight="1" x14ac:dyDescent="0.2">
      <c r="A112" s="154">
        <v>1932</v>
      </c>
      <c r="B112" s="154"/>
      <c r="C112" s="159" t="s">
        <v>288</v>
      </c>
      <c r="D112" s="171">
        <v>25</v>
      </c>
      <c r="E112" s="171">
        <v>16</v>
      </c>
      <c r="F112" s="171">
        <v>11</v>
      </c>
      <c r="G112" s="171">
        <v>2</v>
      </c>
      <c r="H112" s="171" t="s">
        <v>34</v>
      </c>
      <c r="I112" s="171" t="s">
        <v>34</v>
      </c>
      <c r="J112" s="171" t="s">
        <v>34</v>
      </c>
      <c r="K112" s="162"/>
      <c r="L112" s="148"/>
      <c r="M112" s="148"/>
      <c r="N112" s="148"/>
      <c r="O112" s="148"/>
      <c r="P112" s="148" t="s">
        <v>113</v>
      </c>
    </row>
    <row r="113" spans="1:20" ht="14.45" customHeight="1" x14ac:dyDescent="0.2">
      <c r="A113" s="152">
        <v>0</v>
      </c>
      <c r="B113" s="152"/>
      <c r="C113" s="158">
        <v>0</v>
      </c>
      <c r="D113" s="170">
        <v>0</v>
      </c>
      <c r="E113" s="170">
        <v>0</v>
      </c>
      <c r="F113" s="170">
        <v>0</v>
      </c>
      <c r="G113" s="170">
        <v>0</v>
      </c>
      <c r="H113" s="170">
        <v>0</v>
      </c>
      <c r="I113" s="170">
        <v>0</v>
      </c>
      <c r="J113" s="170">
        <v>0</v>
      </c>
      <c r="K113" s="162"/>
      <c r="L113" s="148"/>
      <c r="M113" s="148"/>
      <c r="N113" s="148"/>
      <c r="O113" s="148"/>
      <c r="P113" s="148"/>
      <c r="Q113" s="148"/>
      <c r="R113" s="148"/>
      <c r="S113" s="148"/>
      <c r="T113" s="148"/>
    </row>
    <row r="114" spans="1:20" ht="14.45" customHeight="1" x14ac:dyDescent="0.2">
      <c r="A114" s="154">
        <v>2046</v>
      </c>
      <c r="B114" s="154"/>
      <c r="C114" s="159" t="s">
        <v>289</v>
      </c>
      <c r="D114" s="171">
        <v>48</v>
      </c>
      <c r="E114" s="171">
        <v>39</v>
      </c>
      <c r="F114" s="171">
        <v>28</v>
      </c>
      <c r="G114" s="171">
        <v>51</v>
      </c>
      <c r="H114" s="171">
        <v>4</v>
      </c>
      <c r="I114" s="171" t="s">
        <v>411</v>
      </c>
      <c r="J114" s="171" t="s">
        <v>34</v>
      </c>
      <c r="K114" s="162"/>
      <c r="L114" s="148"/>
      <c r="M114" s="148"/>
      <c r="N114" s="148"/>
      <c r="O114" s="148"/>
      <c r="P114" s="148" t="s">
        <v>113</v>
      </c>
      <c r="Q114" s="148"/>
      <c r="R114" s="148"/>
      <c r="S114" s="148"/>
      <c r="T114" s="148"/>
    </row>
    <row r="115" spans="1:20" ht="14.45" customHeight="1" x14ac:dyDescent="0.2">
      <c r="A115" s="152">
        <v>0</v>
      </c>
      <c r="B115" s="152"/>
      <c r="C115" s="158">
        <v>0</v>
      </c>
      <c r="D115" s="170">
        <v>0</v>
      </c>
      <c r="E115" s="170">
        <v>0</v>
      </c>
      <c r="F115" s="170">
        <v>0</v>
      </c>
      <c r="G115" s="170">
        <v>0</v>
      </c>
      <c r="H115" s="170">
        <v>0</v>
      </c>
      <c r="I115" s="170">
        <v>0</v>
      </c>
      <c r="J115" s="170">
        <v>0</v>
      </c>
      <c r="K115" s="162"/>
      <c r="L115" s="148"/>
      <c r="M115" s="148"/>
      <c r="N115" s="148"/>
      <c r="O115" s="148"/>
      <c r="P115" s="148"/>
      <c r="Q115" s="148"/>
      <c r="R115" s="148"/>
      <c r="S115" s="148"/>
      <c r="T115" s="148"/>
    </row>
    <row r="116" spans="1:20" ht="14.45" customHeight="1" x14ac:dyDescent="0.2">
      <c r="A116" s="154">
        <v>2589</v>
      </c>
      <c r="B116" s="154"/>
      <c r="C116" s="159" t="s">
        <v>290</v>
      </c>
      <c r="D116" s="171" t="s">
        <v>34</v>
      </c>
      <c r="E116" s="171" t="s">
        <v>34</v>
      </c>
      <c r="F116" s="171">
        <v>51</v>
      </c>
      <c r="G116" s="171">
        <v>44</v>
      </c>
      <c r="H116" s="171">
        <v>22</v>
      </c>
      <c r="I116" s="171" t="s">
        <v>424</v>
      </c>
      <c r="J116" s="171" t="s">
        <v>420</v>
      </c>
      <c r="K116" s="172"/>
      <c r="L116" s="148"/>
      <c r="M116" s="148"/>
      <c r="N116" s="148"/>
      <c r="O116" s="148"/>
      <c r="P116" s="148"/>
      <c r="Q116" s="148"/>
      <c r="R116" s="148"/>
      <c r="S116" s="148"/>
      <c r="T116" s="148"/>
    </row>
    <row r="117" spans="1:20" ht="14.45" customHeight="1" x14ac:dyDescent="0.2">
      <c r="A117" s="152">
        <v>0</v>
      </c>
      <c r="B117" s="152"/>
      <c r="C117" s="158">
        <v>0</v>
      </c>
      <c r="D117" s="170">
        <v>0</v>
      </c>
      <c r="E117" s="170">
        <v>0</v>
      </c>
      <c r="F117" s="170">
        <v>0</v>
      </c>
      <c r="G117" s="170">
        <v>0</v>
      </c>
      <c r="H117" s="170">
        <v>0</v>
      </c>
      <c r="I117" s="170">
        <v>0</v>
      </c>
      <c r="J117" s="170">
        <v>0</v>
      </c>
      <c r="K117" s="162"/>
      <c r="L117" s="148"/>
      <c r="M117" s="148"/>
      <c r="N117" s="148"/>
      <c r="O117" s="148"/>
      <c r="P117" s="148"/>
      <c r="Q117" s="148"/>
      <c r="R117" s="148"/>
      <c r="S117" s="148"/>
      <c r="T117" s="173"/>
    </row>
    <row r="118" spans="1:20" ht="14.45" customHeight="1" x14ac:dyDescent="0.2">
      <c r="A118" s="154">
        <v>2886</v>
      </c>
      <c r="B118" s="154"/>
      <c r="C118" s="159" t="s">
        <v>291</v>
      </c>
      <c r="D118" s="171" t="s">
        <v>77</v>
      </c>
      <c r="E118" s="171" t="s">
        <v>34</v>
      </c>
      <c r="F118" s="171" t="s">
        <v>34</v>
      </c>
      <c r="G118" s="171" t="s">
        <v>34</v>
      </c>
      <c r="H118" s="171" t="s">
        <v>77</v>
      </c>
      <c r="I118" s="171" t="s">
        <v>77</v>
      </c>
      <c r="J118" s="171" t="s">
        <v>77</v>
      </c>
      <c r="K118" s="162"/>
      <c r="L118" s="148"/>
      <c r="M118" s="148"/>
      <c r="N118" s="148"/>
      <c r="O118" s="148"/>
      <c r="P118" s="148"/>
      <c r="Q118" s="148"/>
      <c r="R118" s="148"/>
      <c r="S118" s="148"/>
      <c r="T118" s="148"/>
    </row>
    <row r="119" spans="1:20" ht="14.45" customHeight="1" x14ac:dyDescent="0.2">
      <c r="A119" s="152">
        <v>0</v>
      </c>
      <c r="B119" s="152"/>
      <c r="C119" s="158">
        <v>0</v>
      </c>
      <c r="D119" s="170">
        <v>0</v>
      </c>
      <c r="E119" s="170">
        <v>0</v>
      </c>
      <c r="F119" s="170">
        <v>0</v>
      </c>
      <c r="G119" s="170">
        <v>0</v>
      </c>
      <c r="H119" s="170">
        <v>0</v>
      </c>
      <c r="I119" s="170">
        <v>0</v>
      </c>
      <c r="J119" s="170">
        <v>0</v>
      </c>
      <c r="K119" s="162"/>
      <c r="L119" s="148"/>
      <c r="M119" s="148"/>
      <c r="N119" s="148"/>
      <c r="O119" s="148"/>
      <c r="P119" s="148"/>
      <c r="Q119" s="148"/>
      <c r="R119" s="148"/>
      <c r="S119" s="148"/>
      <c r="T119" s="148"/>
    </row>
    <row r="120" spans="1:20" ht="14.45" customHeight="1" x14ac:dyDescent="0.2">
      <c r="A120" s="154">
        <v>3208</v>
      </c>
      <c r="B120" s="154"/>
      <c r="C120" s="159" t="s">
        <v>292</v>
      </c>
      <c r="D120" s="171">
        <v>51</v>
      </c>
      <c r="E120" s="171">
        <v>52</v>
      </c>
      <c r="F120" s="171">
        <v>56</v>
      </c>
      <c r="G120" s="171" t="s">
        <v>34</v>
      </c>
      <c r="H120" s="171" t="s">
        <v>34</v>
      </c>
      <c r="I120" s="171" t="s">
        <v>34</v>
      </c>
      <c r="J120" s="171" t="s">
        <v>426</v>
      </c>
      <c r="K120" s="162"/>
      <c r="L120" s="148"/>
      <c r="M120" s="148"/>
      <c r="N120" s="148"/>
      <c r="O120" s="148"/>
      <c r="P120" s="148"/>
      <c r="Q120" s="148"/>
      <c r="R120" s="148"/>
      <c r="S120" s="148"/>
      <c r="T120" s="148"/>
    </row>
    <row r="121" spans="1:20" ht="14.45" customHeight="1" x14ac:dyDescent="0.2">
      <c r="A121" s="152">
        <v>0</v>
      </c>
      <c r="B121" s="152"/>
      <c r="C121" s="153">
        <v>0</v>
      </c>
      <c r="D121" s="174">
        <v>0</v>
      </c>
      <c r="E121" s="174">
        <v>0</v>
      </c>
      <c r="F121" s="174">
        <v>0</v>
      </c>
      <c r="G121" s="174">
        <v>0</v>
      </c>
      <c r="H121" s="170">
        <v>0</v>
      </c>
      <c r="I121" s="170">
        <v>0</v>
      </c>
      <c r="J121" s="170">
        <v>0</v>
      </c>
      <c r="K121" s="162"/>
      <c r="L121" s="148"/>
      <c r="M121" s="148"/>
      <c r="N121" s="148"/>
      <c r="O121" s="148"/>
      <c r="P121" s="148"/>
      <c r="Q121" s="148"/>
      <c r="R121" s="148"/>
      <c r="S121" s="148"/>
      <c r="T121" s="148"/>
    </row>
    <row r="122" spans="1:20" ht="14.45" customHeight="1" x14ac:dyDescent="0.2">
      <c r="A122" s="154">
        <v>3128</v>
      </c>
      <c r="B122" s="152"/>
      <c r="C122" s="153" t="s">
        <v>293</v>
      </c>
      <c r="D122" s="171">
        <v>39</v>
      </c>
      <c r="E122" s="171" t="s">
        <v>34</v>
      </c>
      <c r="F122" s="171" t="s">
        <v>34</v>
      </c>
      <c r="G122" s="171">
        <v>48</v>
      </c>
      <c r="H122" s="171">
        <v>44</v>
      </c>
      <c r="I122" s="171" t="s">
        <v>427</v>
      </c>
      <c r="J122" s="171" t="s">
        <v>428</v>
      </c>
      <c r="K122" s="162"/>
      <c r="L122" s="148"/>
      <c r="M122" s="148"/>
      <c r="N122" s="148"/>
      <c r="O122" s="148"/>
      <c r="P122" s="148"/>
      <c r="Q122" s="148"/>
      <c r="R122" s="148"/>
      <c r="S122" s="148"/>
      <c r="T122" s="148"/>
    </row>
    <row r="123" spans="1:20" ht="14.45" customHeight="1" x14ac:dyDescent="0.2">
      <c r="A123" s="152">
        <v>0</v>
      </c>
      <c r="B123" s="152"/>
      <c r="C123" s="158">
        <v>0</v>
      </c>
      <c r="D123" s="170">
        <v>0</v>
      </c>
      <c r="E123" s="170">
        <v>0</v>
      </c>
      <c r="F123" s="170">
        <v>0</v>
      </c>
      <c r="G123" s="170">
        <v>0</v>
      </c>
      <c r="H123" s="170">
        <v>0</v>
      </c>
      <c r="I123" s="170">
        <v>0</v>
      </c>
      <c r="J123" s="170">
        <v>0</v>
      </c>
      <c r="K123" s="162"/>
      <c r="L123" s="148"/>
      <c r="M123" s="148"/>
      <c r="N123" s="148"/>
      <c r="O123" s="148"/>
      <c r="P123" s="148"/>
      <c r="Q123" s="148"/>
      <c r="R123" s="148"/>
      <c r="S123" s="148"/>
      <c r="T123" s="148"/>
    </row>
    <row r="124" spans="1:20" ht="14.45" customHeight="1" x14ac:dyDescent="0.2">
      <c r="A124" s="154">
        <v>2731</v>
      </c>
      <c r="B124" s="154"/>
      <c r="C124" s="159" t="s">
        <v>294</v>
      </c>
      <c r="D124" s="171">
        <v>43</v>
      </c>
      <c r="E124" s="171" t="s">
        <v>34</v>
      </c>
      <c r="F124" s="171">
        <v>25</v>
      </c>
      <c r="G124" s="171">
        <v>15</v>
      </c>
      <c r="H124" s="171">
        <v>43</v>
      </c>
      <c r="I124" s="171" t="s">
        <v>406</v>
      </c>
      <c r="J124" s="171" t="s">
        <v>412</v>
      </c>
      <c r="K124" s="162"/>
      <c r="L124" s="148"/>
      <c r="M124" s="148"/>
      <c r="N124" s="148"/>
      <c r="O124" s="148"/>
      <c r="P124" s="148"/>
      <c r="Q124" s="148"/>
      <c r="R124" s="148"/>
      <c r="S124" s="148"/>
      <c r="T124" s="148"/>
    </row>
    <row r="125" spans="1:20" ht="14.45" customHeight="1" x14ac:dyDescent="0.2">
      <c r="A125" s="152">
        <v>0</v>
      </c>
      <c r="B125" s="152"/>
      <c r="C125" s="158">
        <v>0</v>
      </c>
      <c r="D125" s="170">
        <v>0</v>
      </c>
      <c r="E125" s="170">
        <v>0</v>
      </c>
      <c r="F125" s="170">
        <v>0</v>
      </c>
      <c r="G125" s="170">
        <v>0</v>
      </c>
      <c r="H125" s="170">
        <v>0</v>
      </c>
      <c r="I125" s="170">
        <v>0</v>
      </c>
      <c r="J125" s="170">
        <v>0</v>
      </c>
      <c r="K125" s="162"/>
      <c r="L125" s="148"/>
      <c r="M125" s="148"/>
      <c r="N125" s="148"/>
      <c r="O125" s="148"/>
      <c r="P125" s="148"/>
      <c r="Q125" s="148"/>
      <c r="R125" s="148"/>
      <c r="S125" s="148"/>
      <c r="T125" s="148"/>
    </row>
    <row r="126" spans="1:20" ht="14.45" customHeight="1" x14ac:dyDescent="0.2">
      <c r="A126" s="154">
        <v>2808</v>
      </c>
      <c r="B126" s="154"/>
      <c r="C126" s="159" t="s">
        <v>295</v>
      </c>
      <c r="D126" s="171" t="s">
        <v>34</v>
      </c>
      <c r="E126" s="171" t="s">
        <v>34</v>
      </c>
      <c r="F126" s="171" t="s">
        <v>34</v>
      </c>
      <c r="G126" s="171" t="s">
        <v>76</v>
      </c>
      <c r="H126" s="171" t="s">
        <v>76</v>
      </c>
      <c r="I126" s="171" t="s">
        <v>76</v>
      </c>
      <c r="J126" s="171" t="s">
        <v>76</v>
      </c>
      <c r="K126" s="162"/>
      <c r="L126" s="148"/>
      <c r="M126" s="148"/>
      <c r="N126" s="175"/>
      <c r="O126" s="148"/>
      <c r="P126" s="148"/>
      <c r="Q126" s="148"/>
      <c r="R126" s="148"/>
      <c r="S126" s="148"/>
      <c r="T126" s="148"/>
    </row>
    <row r="127" spans="1:20" ht="14.45" customHeight="1" x14ac:dyDescent="0.2">
      <c r="A127" s="152">
        <v>0</v>
      </c>
      <c r="B127" s="152"/>
      <c r="C127" s="158">
        <v>0</v>
      </c>
      <c r="D127" s="170">
        <v>0</v>
      </c>
      <c r="E127" s="170">
        <v>0</v>
      </c>
      <c r="F127" s="170">
        <v>0</v>
      </c>
      <c r="G127" s="170">
        <v>0</v>
      </c>
      <c r="H127" s="170">
        <v>0</v>
      </c>
      <c r="I127" s="170">
        <v>0</v>
      </c>
      <c r="J127" s="170">
        <v>0</v>
      </c>
      <c r="K127" s="162"/>
      <c r="L127" s="148"/>
      <c r="M127" s="148"/>
      <c r="N127" s="148"/>
      <c r="O127" s="148"/>
      <c r="P127" s="148"/>
      <c r="Q127" s="148"/>
      <c r="R127" s="148"/>
      <c r="S127" s="148"/>
      <c r="T127" s="148"/>
    </row>
    <row r="128" spans="1:20" ht="14.45" customHeight="1" x14ac:dyDescent="0.2">
      <c r="A128" s="154">
        <v>3230</v>
      </c>
      <c r="B128" s="154"/>
      <c r="C128" s="159" t="s">
        <v>296</v>
      </c>
      <c r="D128" s="171">
        <v>18</v>
      </c>
      <c r="E128" s="171" t="s">
        <v>76</v>
      </c>
      <c r="F128" s="171" t="s">
        <v>34</v>
      </c>
      <c r="G128" s="171" t="s">
        <v>34</v>
      </c>
      <c r="H128" s="171" t="s">
        <v>34</v>
      </c>
      <c r="I128" s="171" t="s">
        <v>34</v>
      </c>
      <c r="J128" s="171" t="s">
        <v>76</v>
      </c>
      <c r="K128" s="162"/>
      <c r="L128" s="148"/>
      <c r="M128" s="148"/>
      <c r="N128" s="148"/>
      <c r="O128" s="148"/>
      <c r="P128" s="148"/>
      <c r="Q128" s="148"/>
      <c r="R128" s="148"/>
      <c r="S128" s="148"/>
      <c r="T128" s="148"/>
    </row>
    <row r="129" spans="1:14" ht="14.45" customHeight="1" x14ac:dyDescent="0.2">
      <c r="A129" s="152">
        <v>0</v>
      </c>
      <c r="B129" s="152"/>
      <c r="C129" s="158">
        <v>0</v>
      </c>
      <c r="D129" s="170">
        <v>0</v>
      </c>
      <c r="E129" s="170">
        <v>0</v>
      </c>
      <c r="F129" s="170">
        <v>0</v>
      </c>
      <c r="G129" s="170">
        <v>0</v>
      </c>
      <c r="H129" s="170">
        <v>0</v>
      </c>
      <c r="I129" s="170">
        <v>0</v>
      </c>
      <c r="J129" s="170">
        <v>0</v>
      </c>
      <c r="K129" s="162"/>
      <c r="L129" s="148"/>
      <c r="M129" s="148"/>
      <c r="N129" s="148"/>
    </row>
    <row r="130" spans="1:14" ht="14.45" customHeight="1" x14ac:dyDescent="0.2">
      <c r="A130" s="154">
        <v>3380</v>
      </c>
      <c r="B130" s="154"/>
      <c r="C130" s="159" t="s">
        <v>297</v>
      </c>
      <c r="D130" s="171" t="s">
        <v>34</v>
      </c>
      <c r="E130" s="171" t="s">
        <v>76</v>
      </c>
      <c r="F130" s="171" t="s">
        <v>76</v>
      </c>
      <c r="G130" s="171" t="s">
        <v>76</v>
      </c>
      <c r="H130" s="171" t="s">
        <v>34</v>
      </c>
      <c r="I130" s="171" t="s">
        <v>34</v>
      </c>
      <c r="J130" s="171" t="s">
        <v>34</v>
      </c>
      <c r="K130" s="162"/>
      <c r="L130" s="148"/>
      <c r="M130" s="148"/>
      <c r="N130" s="148"/>
    </row>
    <row r="131" spans="1:14" ht="14.45" customHeight="1" x14ac:dyDescent="0.2">
      <c r="A131" s="152">
        <v>0</v>
      </c>
      <c r="B131" s="152"/>
      <c r="C131" s="158">
        <v>0</v>
      </c>
      <c r="D131" s="170">
        <v>0</v>
      </c>
      <c r="E131" s="170">
        <v>0</v>
      </c>
      <c r="F131" s="170">
        <v>0</v>
      </c>
      <c r="G131" s="170">
        <v>0</v>
      </c>
      <c r="H131" s="170">
        <v>0</v>
      </c>
      <c r="I131" s="170">
        <v>0</v>
      </c>
      <c r="J131" s="170">
        <v>0</v>
      </c>
      <c r="K131" s="168"/>
      <c r="L131" s="148"/>
      <c r="M131" s="148"/>
      <c r="N131" s="148"/>
    </row>
    <row r="132" spans="1:14" ht="14.45" customHeight="1" x14ac:dyDescent="0.2">
      <c r="A132" s="154">
        <v>3871</v>
      </c>
      <c r="B132" s="154"/>
      <c r="C132" s="159" t="s">
        <v>298</v>
      </c>
      <c r="D132" s="171" t="s">
        <v>34</v>
      </c>
      <c r="E132" s="171" t="s">
        <v>76</v>
      </c>
      <c r="F132" s="171" t="s">
        <v>76</v>
      </c>
      <c r="G132" s="171" t="s">
        <v>76</v>
      </c>
      <c r="H132" s="171" t="s">
        <v>76</v>
      </c>
      <c r="I132" s="171" t="s">
        <v>76</v>
      </c>
      <c r="J132" s="171" t="s">
        <v>34</v>
      </c>
      <c r="K132" s="162"/>
      <c r="L132" s="148"/>
      <c r="M132" s="148"/>
      <c r="N132" s="175"/>
    </row>
    <row r="133" spans="1:14" ht="14.45" customHeight="1" x14ac:dyDescent="0.2">
      <c r="A133" s="152">
        <v>0</v>
      </c>
      <c r="B133" s="152"/>
      <c r="C133" s="153">
        <v>0</v>
      </c>
      <c r="D133" s="170">
        <v>0</v>
      </c>
      <c r="E133" s="170">
        <v>0</v>
      </c>
      <c r="F133" s="170">
        <v>0</v>
      </c>
      <c r="G133" s="170">
        <v>0</v>
      </c>
      <c r="H133" s="170">
        <v>0</v>
      </c>
      <c r="I133" s="170">
        <v>0</v>
      </c>
      <c r="J133" s="170">
        <v>0</v>
      </c>
      <c r="K133" s="162"/>
      <c r="L133" s="148"/>
      <c r="M133" s="148"/>
      <c r="N133" s="175"/>
    </row>
    <row r="134" spans="1:14" ht="14.45" customHeight="1" x14ac:dyDescent="0.2">
      <c r="A134" s="154">
        <v>104</v>
      </c>
      <c r="B134" s="152"/>
      <c r="C134" s="153" t="s">
        <v>299</v>
      </c>
      <c r="D134" s="171" t="s">
        <v>34</v>
      </c>
      <c r="E134" s="171" t="s">
        <v>34</v>
      </c>
      <c r="F134" s="171" t="s">
        <v>34</v>
      </c>
      <c r="G134" s="171" t="s">
        <v>76</v>
      </c>
      <c r="H134" s="171" t="s">
        <v>76</v>
      </c>
      <c r="I134" s="171" t="s">
        <v>76</v>
      </c>
      <c r="J134" s="171" t="s">
        <v>76</v>
      </c>
      <c r="K134" s="162"/>
      <c r="L134" s="148"/>
      <c r="M134" s="162"/>
      <c r="N134" s="175"/>
    </row>
    <row r="135" spans="1:14" ht="14.45" customHeight="1" x14ac:dyDescent="0.2">
      <c r="A135" s="152">
        <v>0</v>
      </c>
      <c r="B135" s="152"/>
      <c r="C135" s="158">
        <v>0</v>
      </c>
      <c r="D135" s="170">
        <v>0</v>
      </c>
      <c r="E135" s="170">
        <v>0</v>
      </c>
      <c r="F135" s="170">
        <v>0</v>
      </c>
      <c r="G135" s="170">
        <v>0</v>
      </c>
      <c r="H135" s="170">
        <v>0</v>
      </c>
      <c r="I135" s="170">
        <v>0</v>
      </c>
      <c r="J135" s="170">
        <v>0</v>
      </c>
      <c r="K135" s="162"/>
      <c r="L135" s="148"/>
      <c r="M135" s="148"/>
      <c r="N135" s="148"/>
    </row>
    <row r="136" spans="1:14" ht="14.45" customHeight="1" x14ac:dyDescent="0.2">
      <c r="A136" s="154">
        <v>2218</v>
      </c>
      <c r="B136" s="154"/>
      <c r="C136" s="159" t="s">
        <v>300</v>
      </c>
      <c r="D136" s="171">
        <v>1</v>
      </c>
      <c r="E136" s="171">
        <v>29</v>
      </c>
      <c r="F136" s="171">
        <v>23</v>
      </c>
      <c r="G136" s="171">
        <v>4</v>
      </c>
      <c r="H136" s="171">
        <v>56</v>
      </c>
      <c r="I136" s="171" t="s">
        <v>248</v>
      </c>
      <c r="J136" s="171" t="s">
        <v>76</v>
      </c>
      <c r="K136" s="176"/>
      <c r="L136" s="148"/>
      <c r="M136" s="148"/>
      <c r="N136" s="148"/>
    </row>
    <row r="137" spans="1:14" ht="14.45" customHeight="1" x14ac:dyDescent="0.2">
      <c r="A137" s="152">
        <v>0</v>
      </c>
      <c r="B137" s="152"/>
      <c r="C137" s="158">
        <v>0</v>
      </c>
      <c r="D137" s="170">
        <v>0</v>
      </c>
      <c r="E137" s="170">
        <v>0</v>
      </c>
      <c r="F137" s="170">
        <v>0</v>
      </c>
      <c r="G137" s="170">
        <v>0</v>
      </c>
      <c r="H137" s="170">
        <v>0</v>
      </c>
      <c r="I137" s="170">
        <v>0</v>
      </c>
      <c r="J137" s="170">
        <v>0</v>
      </c>
      <c r="K137" s="162"/>
      <c r="L137" s="148"/>
      <c r="M137" s="148"/>
      <c r="N137" s="148"/>
    </row>
    <row r="138" spans="1:14" ht="14.45" customHeight="1" x14ac:dyDescent="0.2">
      <c r="A138" s="154">
        <v>2382</v>
      </c>
      <c r="B138" s="154"/>
      <c r="C138" s="159" t="s">
        <v>301</v>
      </c>
      <c r="D138" s="171" t="s">
        <v>77</v>
      </c>
      <c r="E138" s="171" t="s">
        <v>76</v>
      </c>
      <c r="F138" s="171" t="s">
        <v>76</v>
      </c>
      <c r="G138" s="171" t="s">
        <v>34</v>
      </c>
      <c r="H138" s="171" t="s">
        <v>34</v>
      </c>
      <c r="I138" s="171" t="s">
        <v>34</v>
      </c>
      <c r="J138" s="171" t="s">
        <v>76</v>
      </c>
      <c r="K138" s="162"/>
      <c r="L138" s="148"/>
      <c r="M138" s="148"/>
      <c r="N138" s="175"/>
    </row>
    <row r="139" spans="1:14" ht="14.45" customHeight="1" x14ac:dyDescent="0.2">
      <c r="A139" s="152">
        <v>0</v>
      </c>
      <c r="B139" s="152"/>
      <c r="C139" s="158">
        <v>0</v>
      </c>
      <c r="D139" s="170">
        <v>0</v>
      </c>
      <c r="E139" s="170">
        <v>0</v>
      </c>
      <c r="F139" s="170">
        <v>0</v>
      </c>
      <c r="G139" s="170">
        <v>0</v>
      </c>
      <c r="H139" s="170">
        <v>0</v>
      </c>
      <c r="I139" s="170">
        <v>0</v>
      </c>
      <c r="J139" s="170">
        <v>0</v>
      </c>
      <c r="K139" s="162"/>
      <c r="L139" s="148"/>
      <c r="M139" s="148"/>
      <c r="N139" s="148"/>
    </row>
    <row r="140" spans="1:14" ht="14.45" customHeight="1" x14ac:dyDescent="0.2">
      <c r="A140" s="154">
        <v>2338</v>
      </c>
      <c r="B140" s="154"/>
      <c r="C140" s="159" t="s">
        <v>302</v>
      </c>
      <c r="D140" s="171" t="s">
        <v>249</v>
      </c>
      <c r="E140" s="171" t="s">
        <v>76</v>
      </c>
      <c r="F140" s="171" t="s">
        <v>76</v>
      </c>
      <c r="G140" s="171" t="s">
        <v>76</v>
      </c>
      <c r="H140" s="171" t="s">
        <v>76</v>
      </c>
      <c r="I140" s="171" t="s">
        <v>34</v>
      </c>
      <c r="J140" s="171" t="s">
        <v>34</v>
      </c>
      <c r="K140" s="172"/>
      <c r="L140" s="148"/>
      <c r="M140" s="148"/>
      <c r="N140" s="175"/>
    </row>
    <row r="141" spans="1:14" ht="14.45" customHeight="1" x14ac:dyDescent="0.2">
      <c r="A141" s="152">
        <v>0</v>
      </c>
      <c r="B141" s="152"/>
      <c r="C141" s="153">
        <v>0</v>
      </c>
      <c r="D141" s="170">
        <v>0</v>
      </c>
      <c r="E141" s="170">
        <v>0</v>
      </c>
      <c r="F141" s="170">
        <v>0</v>
      </c>
      <c r="G141" s="170">
        <v>0</v>
      </c>
      <c r="H141" s="170">
        <v>0</v>
      </c>
      <c r="I141" s="170">
        <v>0</v>
      </c>
      <c r="J141" s="170">
        <v>0</v>
      </c>
      <c r="K141" s="177"/>
      <c r="L141" s="148"/>
      <c r="M141" s="148"/>
      <c r="N141" s="175"/>
    </row>
    <row r="142" spans="1:14" ht="14.45" customHeight="1" x14ac:dyDescent="0.2">
      <c r="A142" s="152"/>
      <c r="B142" s="152"/>
      <c r="C142" s="153"/>
      <c r="D142" s="171">
        <v>0</v>
      </c>
      <c r="E142" s="171">
        <v>0</v>
      </c>
      <c r="F142" s="171">
        <v>0</v>
      </c>
      <c r="G142" s="171">
        <v>0</v>
      </c>
      <c r="H142" s="171">
        <v>0</v>
      </c>
      <c r="I142" s="171">
        <v>0</v>
      </c>
      <c r="J142" s="171">
        <v>0</v>
      </c>
      <c r="K142" s="177"/>
      <c r="L142" s="148"/>
      <c r="M142" s="148"/>
      <c r="N142" s="175"/>
    </row>
    <row r="143" spans="1:14" ht="14.45" customHeight="1" x14ac:dyDescent="0.2">
      <c r="A143" s="152">
        <v>0</v>
      </c>
      <c r="B143" s="152"/>
      <c r="C143" s="158">
        <v>0</v>
      </c>
      <c r="D143" s="170">
        <v>0</v>
      </c>
      <c r="E143" s="170">
        <v>0</v>
      </c>
      <c r="F143" s="170">
        <v>0</v>
      </c>
      <c r="G143" s="170">
        <v>0</v>
      </c>
      <c r="H143" s="170">
        <v>0</v>
      </c>
      <c r="I143" s="170">
        <v>0</v>
      </c>
      <c r="J143" s="170">
        <v>0</v>
      </c>
      <c r="K143" s="162"/>
      <c r="L143" s="148"/>
      <c r="M143" s="148"/>
      <c r="N143" s="148"/>
    </row>
    <row r="144" spans="1:14" ht="14.45" customHeight="1" x14ac:dyDescent="0.2">
      <c r="A144" s="154">
        <v>2342</v>
      </c>
      <c r="B144" s="154"/>
      <c r="C144" s="159" t="s">
        <v>303</v>
      </c>
      <c r="D144" s="171" t="s">
        <v>34</v>
      </c>
      <c r="E144" s="171" t="s">
        <v>76</v>
      </c>
      <c r="F144" s="171" t="s">
        <v>76</v>
      </c>
      <c r="G144" s="171" t="s">
        <v>76</v>
      </c>
      <c r="H144" s="171" t="s">
        <v>76</v>
      </c>
      <c r="I144" s="171" t="s">
        <v>76</v>
      </c>
      <c r="J144" s="171" t="s">
        <v>76</v>
      </c>
      <c r="K144" s="162"/>
      <c r="L144" s="148"/>
      <c r="M144" s="148"/>
      <c r="N144" s="148"/>
    </row>
    <row r="145" spans="1:11" ht="14.45" customHeight="1" x14ac:dyDescent="0.2">
      <c r="A145" s="152">
        <v>0</v>
      </c>
      <c r="B145" s="152"/>
      <c r="C145" s="158">
        <v>0</v>
      </c>
      <c r="D145" s="170">
        <v>0</v>
      </c>
      <c r="E145" s="170">
        <v>0</v>
      </c>
      <c r="F145" s="170">
        <v>0</v>
      </c>
      <c r="G145" s="170">
        <v>0</v>
      </c>
      <c r="H145" s="170">
        <v>0</v>
      </c>
      <c r="I145" s="170">
        <v>0</v>
      </c>
      <c r="J145" s="170">
        <v>0</v>
      </c>
      <c r="K145" s="176"/>
    </row>
    <row r="146" spans="1:11" ht="14.45" customHeight="1" x14ac:dyDescent="0.2">
      <c r="A146" s="154">
        <v>3356</v>
      </c>
      <c r="B146" s="154"/>
      <c r="C146" s="159" t="s">
        <v>304</v>
      </c>
      <c r="D146" s="171" t="s">
        <v>34</v>
      </c>
      <c r="E146" s="171" t="s">
        <v>34</v>
      </c>
      <c r="F146" s="171" t="s">
        <v>34</v>
      </c>
      <c r="G146" s="171" t="s">
        <v>76</v>
      </c>
      <c r="H146" s="171" t="s">
        <v>76</v>
      </c>
      <c r="I146" s="171" t="s">
        <v>76</v>
      </c>
      <c r="J146" s="171" t="s">
        <v>76</v>
      </c>
      <c r="K146" s="162"/>
    </row>
    <row r="147" spans="1:11" ht="14.45" customHeight="1" x14ac:dyDescent="0.2">
      <c r="A147" s="152">
        <v>0</v>
      </c>
      <c r="B147" s="152"/>
      <c r="C147" s="158">
        <v>0</v>
      </c>
      <c r="D147" s="170">
        <v>0</v>
      </c>
      <c r="E147" s="170">
        <v>0</v>
      </c>
      <c r="F147" s="170">
        <v>0</v>
      </c>
      <c r="G147" s="170">
        <v>0</v>
      </c>
      <c r="H147" s="170">
        <v>0</v>
      </c>
      <c r="I147" s="170">
        <v>0</v>
      </c>
      <c r="J147" s="170">
        <v>0</v>
      </c>
      <c r="K147" s="176"/>
    </row>
    <row r="148" spans="1:11" ht="14.45" customHeight="1" x14ac:dyDescent="0.2">
      <c r="A148" s="154">
        <v>3174</v>
      </c>
      <c r="B148" s="154"/>
      <c r="C148" s="159" t="s">
        <v>305</v>
      </c>
      <c r="D148" s="171" t="s">
        <v>251</v>
      </c>
      <c r="E148" s="171" t="s">
        <v>251</v>
      </c>
      <c r="F148" s="171" t="s">
        <v>34</v>
      </c>
      <c r="G148" s="171" t="s">
        <v>34</v>
      </c>
      <c r="H148" s="171" t="s">
        <v>34</v>
      </c>
      <c r="I148" s="171" t="s">
        <v>251</v>
      </c>
      <c r="J148" s="171" t="s">
        <v>251</v>
      </c>
      <c r="K148" s="162"/>
    </row>
    <row r="149" spans="1:11" ht="14.45" customHeight="1" x14ac:dyDescent="0.2">
      <c r="A149" s="152">
        <v>0</v>
      </c>
      <c r="B149" s="152"/>
      <c r="C149" s="158">
        <v>0</v>
      </c>
      <c r="D149" s="170">
        <v>0</v>
      </c>
      <c r="E149" s="170">
        <v>0</v>
      </c>
      <c r="F149" s="170">
        <v>0</v>
      </c>
      <c r="G149" s="170">
        <v>0</v>
      </c>
      <c r="H149" s="170">
        <v>0</v>
      </c>
      <c r="I149" s="170">
        <v>0</v>
      </c>
      <c r="J149" s="170">
        <v>0</v>
      </c>
      <c r="K149" s="162"/>
    </row>
    <row r="150" spans="1:11" ht="14.45" customHeight="1" x14ac:dyDescent="0.2">
      <c r="A150" s="154">
        <v>2603</v>
      </c>
      <c r="B150" s="154"/>
      <c r="C150" s="159" t="s">
        <v>306</v>
      </c>
      <c r="D150" s="171" t="s">
        <v>76</v>
      </c>
      <c r="E150" s="171">
        <v>30</v>
      </c>
      <c r="F150" s="171">
        <v>21</v>
      </c>
      <c r="G150" s="171">
        <v>17</v>
      </c>
      <c r="H150" s="171">
        <v>51</v>
      </c>
      <c r="I150" s="171" t="s">
        <v>34</v>
      </c>
      <c r="J150" s="171" t="s">
        <v>34</v>
      </c>
      <c r="K150" s="162"/>
    </row>
    <row r="151" spans="1:11" ht="14.45" customHeight="1" x14ac:dyDescent="0.2">
      <c r="A151" s="152">
        <v>0</v>
      </c>
      <c r="B151" s="152"/>
      <c r="C151" s="158">
        <v>0</v>
      </c>
      <c r="D151" s="170">
        <v>0</v>
      </c>
      <c r="E151" s="170">
        <v>0</v>
      </c>
      <c r="F151" s="170">
        <v>0</v>
      </c>
      <c r="G151" s="170">
        <v>0</v>
      </c>
      <c r="H151" s="170">
        <v>0</v>
      </c>
      <c r="I151" s="170">
        <v>0</v>
      </c>
      <c r="J151" s="170">
        <v>0</v>
      </c>
      <c r="K151" s="172"/>
    </row>
    <row r="152" spans="1:11" ht="14.45" customHeight="1" x14ac:dyDescent="0.2">
      <c r="A152" s="154">
        <v>3744</v>
      </c>
      <c r="B152" s="154"/>
      <c r="C152" s="159" t="s">
        <v>307</v>
      </c>
      <c r="D152" s="171">
        <v>32</v>
      </c>
      <c r="E152" s="171" t="s">
        <v>76</v>
      </c>
      <c r="F152" s="171" t="s">
        <v>76</v>
      </c>
      <c r="G152" s="171" t="s">
        <v>76</v>
      </c>
      <c r="H152" s="171" t="s">
        <v>76</v>
      </c>
      <c r="I152" s="171" t="s">
        <v>76</v>
      </c>
      <c r="J152" s="171" t="s">
        <v>34</v>
      </c>
      <c r="K152" s="177"/>
    </row>
    <row r="153" spans="1:11" ht="14.45" customHeight="1" x14ac:dyDescent="0.2">
      <c r="A153" s="152">
        <v>0</v>
      </c>
      <c r="B153" s="152"/>
      <c r="C153" s="158">
        <v>0</v>
      </c>
      <c r="D153" s="170">
        <v>0</v>
      </c>
      <c r="E153" s="170">
        <v>0</v>
      </c>
      <c r="F153" s="170">
        <v>0</v>
      </c>
      <c r="G153" s="170">
        <v>0</v>
      </c>
      <c r="H153" s="170">
        <v>0</v>
      </c>
      <c r="I153" s="170">
        <v>0</v>
      </c>
      <c r="J153" s="170">
        <v>0</v>
      </c>
      <c r="K153" s="177"/>
    </row>
    <row r="154" spans="1:11" ht="14.45" customHeight="1" x14ac:dyDescent="0.2">
      <c r="A154" s="154">
        <v>1958</v>
      </c>
      <c r="B154" s="154"/>
      <c r="C154" s="159" t="s">
        <v>308</v>
      </c>
      <c r="D154" s="171" t="s">
        <v>34</v>
      </c>
      <c r="E154" s="171" t="s">
        <v>34</v>
      </c>
      <c r="F154" s="171" t="s">
        <v>76</v>
      </c>
      <c r="G154" s="171" t="s">
        <v>76</v>
      </c>
      <c r="H154" s="171" t="s">
        <v>76</v>
      </c>
      <c r="I154" s="171" t="s">
        <v>76</v>
      </c>
      <c r="J154" s="171" t="s">
        <v>76</v>
      </c>
      <c r="K154" s="162"/>
    </row>
    <row r="155" spans="1:11" ht="14.45" customHeight="1" x14ac:dyDescent="0.2">
      <c r="A155" s="152">
        <v>0</v>
      </c>
      <c r="B155" s="152"/>
      <c r="C155" s="158">
        <v>0</v>
      </c>
      <c r="D155" s="170">
        <v>0</v>
      </c>
      <c r="E155" s="170">
        <v>0</v>
      </c>
      <c r="F155" s="170">
        <v>0</v>
      </c>
      <c r="G155" s="170">
        <v>0</v>
      </c>
      <c r="H155" s="170">
        <v>0</v>
      </c>
      <c r="I155" s="170">
        <v>0</v>
      </c>
      <c r="J155" s="170">
        <v>0</v>
      </c>
      <c r="K155" s="162"/>
    </row>
    <row r="156" spans="1:11" ht="14.45" customHeight="1" x14ac:dyDescent="0.2">
      <c r="A156" s="154">
        <v>874</v>
      </c>
      <c r="B156" s="154"/>
      <c r="C156" s="159" t="s">
        <v>309</v>
      </c>
      <c r="D156" s="171" t="s">
        <v>77</v>
      </c>
      <c r="E156" s="171" t="s">
        <v>34</v>
      </c>
      <c r="F156" s="171" t="s">
        <v>34</v>
      </c>
      <c r="G156" s="171" t="s">
        <v>34</v>
      </c>
      <c r="H156" s="171" t="s">
        <v>76</v>
      </c>
      <c r="I156" s="171" t="s">
        <v>76</v>
      </c>
      <c r="J156" s="171" t="s">
        <v>76</v>
      </c>
      <c r="K156" s="162"/>
    </row>
    <row r="157" spans="1:11" ht="14.45" customHeight="1" x14ac:dyDescent="0.2">
      <c r="A157" s="152">
        <v>0</v>
      </c>
      <c r="B157" s="152"/>
      <c r="C157" s="158">
        <v>0</v>
      </c>
      <c r="D157" s="170">
        <v>0</v>
      </c>
      <c r="E157" s="170">
        <v>0</v>
      </c>
      <c r="F157" s="170">
        <v>0</v>
      </c>
      <c r="G157" s="170">
        <v>0</v>
      </c>
      <c r="H157" s="170">
        <v>0</v>
      </c>
      <c r="I157" s="170">
        <v>0</v>
      </c>
      <c r="J157" s="170">
        <v>0</v>
      </c>
      <c r="K157" s="162"/>
    </row>
    <row r="158" spans="1:11" ht="14.45" customHeight="1" x14ac:dyDescent="0.2">
      <c r="A158" s="154">
        <v>3211</v>
      </c>
      <c r="B158" s="154"/>
      <c r="C158" s="159" t="s">
        <v>310</v>
      </c>
      <c r="D158" s="171" t="s">
        <v>77</v>
      </c>
      <c r="E158" s="171" t="s">
        <v>77</v>
      </c>
      <c r="F158" s="171" t="s">
        <v>77</v>
      </c>
      <c r="G158" s="171" t="s">
        <v>34</v>
      </c>
      <c r="H158" s="171" t="s">
        <v>34</v>
      </c>
      <c r="I158" s="171" t="s">
        <v>34</v>
      </c>
      <c r="J158" s="171" t="s">
        <v>76</v>
      </c>
      <c r="K158" s="162"/>
    </row>
    <row r="159" spans="1:11" ht="14.45" customHeight="1" x14ac:dyDescent="0.2">
      <c r="A159" s="152">
        <v>0</v>
      </c>
      <c r="B159" s="152"/>
      <c r="C159" s="158">
        <v>0</v>
      </c>
      <c r="D159" s="170">
        <v>0</v>
      </c>
      <c r="E159" s="170">
        <v>0</v>
      </c>
      <c r="F159" s="170">
        <v>0</v>
      </c>
      <c r="G159" s="170">
        <v>0</v>
      </c>
      <c r="H159" s="170">
        <v>0</v>
      </c>
      <c r="I159" s="170">
        <v>0</v>
      </c>
      <c r="J159" s="170">
        <v>0</v>
      </c>
      <c r="K159" s="162"/>
    </row>
    <row r="160" spans="1:11" ht="14.45" customHeight="1" x14ac:dyDescent="0.2">
      <c r="A160" s="154">
        <v>2391</v>
      </c>
      <c r="B160" s="154"/>
      <c r="C160" s="159" t="s">
        <v>311</v>
      </c>
      <c r="D160" s="171">
        <v>55</v>
      </c>
      <c r="E160" s="171" t="s">
        <v>76</v>
      </c>
      <c r="F160" s="171" t="s">
        <v>76</v>
      </c>
      <c r="G160" s="171" t="s">
        <v>76</v>
      </c>
      <c r="H160" s="171" t="s">
        <v>76</v>
      </c>
      <c r="I160" s="171" t="s">
        <v>76</v>
      </c>
      <c r="J160" s="171" t="s">
        <v>76</v>
      </c>
      <c r="K160" s="162"/>
    </row>
    <row r="161" spans="1:21" ht="14.45" customHeight="1" x14ac:dyDescent="0.2">
      <c r="A161" s="152">
        <v>0</v>
      </c>
      <c r="B161" s="152"/>
      <c r="C161" s="158">
        <v>0</v>
      </c>
      <c r="D161" s="170">
        <v>0</v>
      </c>
      <c r="E161" s="170">
        <v>0</v>
      </c>
      <c r="F161" s="170">
        <v>0</v>
      </c>
      <c r="G161" s="170">
        <v>0</v>
      </c>
      <c r="H161" s="170">
        <v>0</v>
      </c>
      <c r="I161" s="170">
        <v>0</v>
      </c>
      <c r="J161" s="170">
        <v>0</v>
      </c>
      <c r="K161" s="162"/>
      <c r="L161" s="148"/>
      <c r="M161" s="148"/>
      <c r="N161" s="148"/>
      <c r="O161" s="148"/>
      <c r="P161" s="148"/>
      <c r="Q161" s="148"/>
      <c r="R161" s="148"/>
      <c r="S161" s="148"/>
      <c r="T161" s="148"/>
      <c r="U161" s="148"/>
    </row>
    <row r="162" spans="1:21" ht="14.45" customHeight="1" x14ac:dyDescent="0.2">
      <c r="A162" s="154">
        <v>3180</v>
      </c>
      <c r="B162" s="154"/>
      <c r="C162" s="159" t="s">
        <v>312</v>
      </c>
      <c r="D162" s="171" t="s">
        <v>34</v>
      </c>
      <c r="E162" s="171" t="s">
        <v>76</v>
      </c>
      <c r="F162" s="171" t="s">
        <v>76</v>
      </c>
      <c r="G162" s="171" t="s">
        <v>76</v>
      </c>
      <c r="H162" s="171" t="s">
        <v>76</v>
      </c>
      <c r="I162" s="171" t="s">
        <v>76</v>
      </c>
      <c r="J162" s="171" t="s">
        <v>76</v>
      </c>
      <c r="K162" s="162"/>
      <c r="L162" s="148"/>
      <c r="M162" s="148"/>
      <c r="N162" s="148"/>
      <c r="O162" s="148"/>
      <c r="P162" s="148"/>
      <c r="Q162" s="148"/>
      <c r="R162" s="148"/>
      <c r="S162" s="148"/>
      <c r="T162" s="148"/>
      <c r="U162" s="148"/>
    </row>
    <row r="163" spans="1:21" ht="14.45" customHeight="1" x14ac:dyDescent="0.2">
      <c r="A163" s="152">
        <v>0</v>
      </c>
      <c r="B163" s="152"/>
      <c r="C163" s="158">
        <v>0</v>
      </c>
      <c r="D163" s="170">
        <v>0</v>
      </c>
      <c r="E163" s="170">
        <v>0</v>
      </c>
      <c r="F163" s="170">
        <v>0</v>
      </c>
      <c r="G163" s="170">
        <v>0</v>
      </c>
      <c r="H163" s="170">
        <v>0</v>
      </c>
      <c r="I163" s="170">
        <v>0</v>
      </c>
      <c r="J163" s="170">
        <v>0</v>
      </c>
      <c r="K163" s="162"/>
      <c r="L163" s="148"/>
      <c r="M163" s="148"/>
      <c r="N163" s="148"/>
      <c r="O163" s="148"/>
      <c r="P163" s="148"/>
      <c r="Q163" s="148"/>
      <c r="R163" s="148"/>
      <c r="S163" s="148"/>
      <c r="T163" s="148"/>
      <c r="U163" s="148"/>
    </row>
    <row r="164" spans="1:21" ht="14.45" customHeight="1" x14ac:dyDescent="0.2">
      <c r="A164" s="154">
        <v>3370</v>
      </c>
      <c r="B164" s="154"/>
      <c r="C164" s="159" t="s">
        <v>313</v>
      </c>
      <c r="D164" s="171" t="s">
        <v>34</v>
      </c>
      <c r="E164" s="171" t="s">
        <v>76</v>
      </c>
      <c r="F164" s="171" t="s">
        <v>76</v>
      </c>
      <c r="G164" s="171" t="s">
        <v>76</v>
      </c>
      <c r="H164" s="171" t="s">
        <v>76</v>
      </c>
      <c r="I164" s="171" t="s">
        <v>76</v>
      </c>
      <c r="J164" s="171" t="s">
        <v>76</v>
      </c>
      <c r="K164" s="162"/>
      <c r="L164" s="148"/>
      <c r="M164" s="148"/>
      <c r="N164" s="148"/>
      <c r="O164" s="148"/>
      <c r="P164" s="148" t="s">
        <v>113</v>
      </c>
      <c r="Q164" s="148"/>
      <c r="R164" s="148"/>
      <c r="S164" s="148"/>
      <c r="T164" s="148"/>
      <c r="U164" s="148"/>
    </row>
    <row r="165" spans="1:21" ht="14.45" customHeight="1" x14ac:dyDescent="0.2">
      <c r="A165" s="152">
        <v>0</v>
      </c>
      <c r="B165" s="152"/>
      <c r="C165" s="158">
        <v>0</v>
      </c>
      <c r="D165" s="170">
        <v>0</v>
      </c>
      <c r="E165" s="170">
        <v>0</v>
      </c>
      <c r="F165" s="170">
        <v>0</v>
      </c>
      <c r="G165" s="170">
        <v>0</v>
      </c>
      <c r="H165" s="170">
        <v>0</v>
      </c>
      <c r="I165" s="170">
        <v>0</v>
      </c>
      <c r="J165" s="170">
        <v>0</v>
      </c>
      <c r="K165" s="162"/>
      <c r="L165" s="148"/>
      <c r="M165" s="148"/>
      <c r="N165" s="148"/>
      <c r="O165" s="148"/>
      <c r="P165" s="148"/>
      <c r="Q165" s="148"/>
      <c r="R165" s="148"/>
      <c r="S165" s="148"/>
      <c r="T165" s="148"/>
      <c r="U165" s="148"/>
    </row>
    <row r="166" spans="1:21" ht="14.45" customHeight="1" x14ac:dyDescent="0.2">
      <c r="A166" s="154">
        <v>2721</v>
      </c>
      <c r="B166" s="154"/>
      <c r="C166" s="159" t="s">
        <v>314</v>
      </c>
      <c r="D166" s="171" t="s">
        <v>34</v>
      </c>
      <c r="E166" s="171" t="s">
        <v>34</v>
      </c>
      <c r="F166" s="171" t="s">
        <v>34</v>
      </c>
      <c r="G166" s="171" t="s">
        <v>34</v>
      </c>
      <c r="H166" s="171" t="s">
        <v>76</v>
      </c>
      <c r="I166" s="171" t="s">
        <v>76</v>
      </c>
      <c r="J166" s="171" t="s">
        <v>76</v>
      </c>
      <c r="K166" s="162"/>
      <c r="L166" s="148"/>
      <c r="M166" s="148"/>
      <c r="N166" s="148"/>
      <c r="O166" s="148"/>
      <c r="P166" s="148" t="s">
        <v>113</v>
      </c>
      <c r="Q166" s="148"/>
      <c r="R166" s="148"/>
      <c r="S166" s="148"/>
      <c r="T166" s="148"/>
      <c r="U166" s="148"/>
    </row>
    <row r="167" spans="1:21" ht="14.45" customHeight="1" x14ac:dyDescent="0.2">
      <c r="A167" s="152">
        <v>0</v>
      </c>
      <c r="B167" s="152"/>
      <c r="C167" s="153">
        <v>0</v>
      </c>
      <c r="D167" s="170">
        <v>0</v>
      </c>
      <c r="E167" s="170">
        <v>0</v>
      </c>
      <c r="F167" s="170">
        <v>0</v>
      </c>
      <c r="G167" s="170">
        <v>0</v>
      </c>
      <c r="H167" s="170">
        <v>0</v>
      </c>
      <c r="I167" s="170">
        <v>0</v>
      </c>
      <c r="J167" s="170">
        <v>0</v>
      </c>
      <c r="K167" s="148"/>
      <c r="L167" s="148"/>
      <c r="M167" s="148"/>
      <c r="N167" s="148"/>
      <c r="O167" s="178"/>
      <c r="P167" s="178"/>
      <c r="Q167" s="178"/>
      <c r="R167" s="178"/>
      <c r="S167" s="178"/>
      <c r="T167" s="178"/>
      <c r="U167" s="178"/>
    </row>
    <row r="168" spans="1:21" ht="14.45" customHeight="1" x14ac:dyDescent="0.2">
      <c r="A168" s="154">
        <v>2092</v>
      </c>
      <c r="B168" s="152"/>
      <c r="C168" s="153" t="s">
        <v>315</v>
      </c>
      <c r="D168" s="171" t="s">
        <v>392</v>
      </c>
      <c r="E168" s="171" t="s">
        <v>76</v>
      </c>
      <c r="F168" s="171" t="s">
        <v>34</v>
      </c>
      <c r="G168" s="171" t="s">
        <v>34</v>
      </c>
      <c r="H168" s="171" t="s">
        <v>34</v>
      </c>
      <c r="I168" s="171" t="s">
        <v>76</v>
      </c>
      <c r="J168" s="171" t="s">
        <v>76</v>
      </c>
      <c r="K168" s="148"/>
      <c r="L168" s="148"/>
      <c r="M168" s="148"/>
      <c r="N168" s="148"/>
      <c r="O168" s="178"/>
      <c r="P168" s="178"/>
      <c r="Q168" s="178"/>
      <c r="R168" s="178"/>
      <c r="S168" s="178"/>
      <c r="T168" s="178"/>
      <c r="U168" s="178"/>
    </row>
    <row r="169" spans="1:21" ht="14.45" customHeight="1" x14ac:dyDescent="0.2">
      <c r="A169" s="152">
        <v>0</v>
      </c>
      <c r="B169" s="152"/>
      <c r="C169" s="158">
        <v>0</v>
      </c>
      <c r="D169" s="170">
        <v>0</v>
      </c>
      <c r="E169" s="170">
        <v>0</v>
      </c>
      <c r="F169" s="170">
        <v>0</v>
      </c>
      <c r="G169" s="170">
        <v>0</v>
      </c>
      <c r="H169" s="170">
        <v>0</v>
      </c>
      <c r="I169" s="170">
        <v>0</v>
      </c>
      <c r="J169" s="170">
        <v>0</v>
      </c>
      <c r="K169" s="148"/>
      <c r="L169" s="148"/>
      <c r="M169" s="148"/>
      <c r="N169" s="148"/>
      <c r="O169" s="178"/>
      <c r="P169" s="178"/>
      <c r="Q169" s="178"/>
      <c r="R169" s="178"/>
      <c r="S169" s="178"/>
      <c r="T169" s="178"/>
      <c r="U169" s="178"/>
    </row>
    <row r="170" spans="1:21" ht="14.45" customHeight="1" x14ac:dyDescent="0.2">
      <c r="A170" s="154">
        <v>2698</v>
      </c>
      <c r="B170" s="154"/>
      <c r="C170" s="159" t="s">
        <v>316</v>
      </c>
      <c r="D170" s="171" t="s">
        <v>76</v>
      </c>
      <c r="E170" s="171" t="s">
        <v>76</v>
      </c>
      <c r="F170" s="171" t="s">
        <v>76</v>
      </c>
      <c r="G170" s="171" t="s">
        <v>76</v>
      </c>
      <c r="H170" s="171" t="s">
        <v>34</v>
      </c>
      <c r="I170" s="171" t="s">
        <v>34</v>
      </c>
      <c r="J170" s="171" t="s">
        <v>34</v>
      </c>
      <c r="K170" s="148"/>
      <c r="L170" s="148"/>
      <c r="M170" s="148"/>
      <c r="N170" s="148"/>
      <c r="O170" s="178"/>
      <c r="P170" s="178"/>
      <c r="Q170" s="178"/>
      <c r="R170" s="178"/>
      <c r="S170" s="178"/>
      <c r="T170" s="178"/>
      <c r="U170" s="178"/>
    </row>
    <row r="171" spans="1:21" ht="14.45" customHeight="1" x14ac:dyDescent="0.2">
      <c r="A171" s="152">
        <v>0</v>
      </c>
      <c r="B171" s="152"/>
      <c r="C171" s="158">
        <v>0</v>
      </c>
      <c r="D171" s="170">
        <v>0</v>
      </c>
      <c r="E171" s="170">
        <v>0</v>
      </c>
      <c r="F171" s="170">
        <v>0</v>
      </c>
      <c r="G171" s="170">
        <v>0</v>
      </c>
      <c r="H171" s="170">
        <v>0</v>
      </c>
      <c r="I171" s="170">
        <v>0</v>
      </c>
      <c r="J171" s="170">
        <v>0</v>
      </c>
      <c r="K171" s="148"/>
      <c r="L171" s="148"/>
      <c r="M171" s="148"/>
      <c r="N171" s="148"/>
      <c r="O171" s="178"/>
      <c r="P171" s="178"/>
      <c r="Q171" s="178"/>
      <c r="R171" s="178"/>
      <c r="S171" s="178"/>
      <c r="T171" s="178"/>
      <c r="U171" s="178"/>
    </row>
    <row r="172" spans="1:21" ht="14.45" customHeight="1" thickBot="1" x14ac:dyDescent="0.25">
      <c r="A172" s="154">
        <v>3085</v>
      </c>
      <c r="B172" s="154"/>
      <c r="C172" s="159" t="s">
        <v>317</v>
      </c>
      <c r="D172" s="171" t="s">
        <v>34</v>
      </c>
      <c r="E172" s="171" t="s">
        <v>76</v>
      </c>
      <c r="F172" s="171" t="s">
        <v>76</v>
      </c>
      <c r="G172" s="171" t="s">
        <v>76</v>
      </c>
      <c r="H172" s="171" t="s">
        <v>76</v>
      </c>
      <c r="I172" s="171" t="s">
        <v>76</v>
      </c>
      <c r="J172" s="171" t="s">
        <v>34</v>
      </c>
      <c r="K172" s="148"/>
      <c r="L172" s="148"/>
      <c r="M172" s="148"/>
      <c r="N172" s="148"/>
      <c r="O172" s="178"/>
      <c r="P172" s="178"/>
      <c r="Q172" s="178"/>
      <c r="R172" s="178"/>
      <c r="S172" s="178"/>
      <c r="T172" s="178"/>
      <c r="U172" s="178"/>
    </row>
    <row r="173" spans="1:21" ht="15" customHeight="1" thickTop="1" x14ac:dyDescent="0.2">
      <c r="A173" s="137"/>
      <c r="B173" s="137"/>
      <c r="C173" s="138"/>
      <c r="D173" s="179" t="s">
        <v>26</v>
      </c>
      <c r="E173" s="179" t="s">
        <v>27</v>
      </c>
      <c r="F173" s="179" t="s">
        <v>28</v>
      </c>
      <c r="G173" s="179" t="s">
        <v>115</v>
      </c>
      <c r="H173" s="179" t="s">
        <v>30</v>
      </c>
      <c r="I173" s="179" t="s">
        <v>116</v>
      </c>
      <c r="J173" s="180" t="s">
        <v>32</v>
      </c>
      <c r="K173" s="148"/>
      <c r="L173" s="148"/>
      <c r="M173" s="148"/>
      <c r="N173" s="148"/>
      <c r="O173" s="178"/>
      <c r="P173" s="178"/>
      <c r="Q173" s="178"/>
      <c r="R173" s="178"/>
      <c r="S173" s="178"/>
      <c r="T173" s="178"/>
      <c r="U173" s="178"/>
    </row>
    <row r="174" spans="1:21" ht="15" customHeight="1" thickBot="1" x14ac:dyDescent="0.25">
      <c r="A174" s="141" t="s">
        <v>35</v>
      </c>
      <c r="B174" s="142"/>
      <c r="C174" s="143" t="s">
        <v>33</v>
      </c>
      <c r="D174" s="144">
        <f>DATE(YEAR(FECHA!$C$3),MONTH(FECHA!$C$3),DAY(FECHA!$C$3))</f>
        <v>45908</v>
      </c>
      <c r="E174" s="144">
        <f>D174+1</f>
        <v>45909</v>
      </c>
      <c r="F174" s="144">
        <f t="shared" ref="F174" si="6">E174+1</f>
        <v>45910</v>
      </c>
      <c r="G174" s="144">
        <f t="shared" ref="G174" si="7">F174+1</f>
        <v>45911</v>
      </c>
      <c r="H174" s="144">
        <f t="shared" ref="H174" si="8">G174+1</f>
        <v>45912</v>
      </c>
      <c r="I174" s="144">
        <f t="shared" ref="I174" si="9">H174+1</f>
        <v>45913</v>
      </c>
      <c r="J174" s="144">
        <f t="shared" ref="J174" si="10">I174+1</f>
        <v>45914</v>
      </c>
      <c r="K174" s="148"/>
      <c r="L174" s="148"/>
      <c r="M174" s="148"/>
      <c r="N174" s="148"/>
      <c r="O174" s="178"/>
      <c r="P174" s="178"/>
      <c r="Q174" s="178"/>
      <c r="R174" s="178"/>
      <c r="S174" s="178"/>
      <c r="T174" s="178"/>
      <c r="U174" s="178"/>
    </row>
    <row r="175" spans="1:21" ht="15" customHeight="1" thickTop="1" x14ac:dyDescent="0.2">
      <c r="A175" s="557">
        <v>0</v>
      </c>
      <c r="B175" s="520"/>
      <c r="C175" s="600">
        <v>0</v>
      </c>
      <c r="D175" s="170">
        <v>0</v>
      </c>
      <c r="E175" s="170">
        <v>0</v>
      </c>
      <c r="F175" s="170">
        <v>0</v>
      </c>
      <c r="G175" s="170">
        <v>0</v>
      </c>
      <c r="H175" s="170">
        <v>0</v>
      </c>
      <c r="I175" s="170">
        <v>0</v>
      </c>
      <c r="J175" s="170">
        <v>0</v>
      </c>
      <c r="K175" s="148"/>
      <c r="L175" s="148"/>
      <c r="M175" s="148"/>
      <c r="N175" s="148"/>
      <c r="O175" s="178"/>
      <c r="P175" s="178"/>
      <c r="Q175" s="178"/>
      <c r="R175" s="178"/>
      <c r="S175" s="178"/>
      <c r="T175" s="178"/>
      <c r="U175" s="178"/>
    </row>
    <row r="176" spans="1:21" ht="15" customHeight="1" thickBot="1" x14ac:dyDescent="0.25">
      <c r="A176" s="558">
        <v>3177</v>
      </c>
      <c r="B176" s="520"/>
      <c r="C176" s="601" t="s">
        <v>318</v>
      </c>
      <c r="D176" s="171" t="s">
        <v>34</v>
      </c>
      <c r="E176" s="171" t="s">
        <v>34</v>
      </c>
      <c r="F176" s="171" t="s">
        <v>251</v>
      </c>
      <c r="G176" s="171" t="s">
        <v>251</v>
      </c>
      <c r="H176" s="171" t="s">
        <v>251</v>
      </c>
      <c r="I176" s="171" t="s">
        <v>251</v>
      </c>
      <c r="J176" s="171" t="s">
        <v>251</v>
      </c>
      <c r="K176" s="148"/>
      <c r="L176" s="148"/>
      <c r="M176" s="148"/>
      <c r="N176" s="148"/>
      <c r="O176" s="178"/>
      <c r="P176" s="178"/>
      <c r="Q176" s="178"/>
      <c r="R176" s="178"/>
      <c r="S176" s="178"/>
      <c r="T176" s="178"/>
      <c r="U176" s="178"/>
    </row>
    <row r="177" spans="1:21" ht="15" customHeight="1" thickTop="1" x14ac:dyDescent="0.2">
      <c r="A177" s="557"/>
      <c r="B177" s="520"/>
      <c r="C177" s="600"/>
      <c r="D177" s="174">
        <v>0</v>
      </c>
      <c r="E177" s="174">
        <v>0</v>
      </c>
      <c r="F177" s="174">
        <v>0</v>
      </c>
      <c r="G177" s="174">
        <v>0</v>
      </c>
      <c r="H177" s="174">
        <v>0</v>
      </c>
      <c r="I177" s="174">
        <v>0</v>
      </c>
      <c r="J177" s="174">
        <v>0</v>
      </c>
      <c r="K177" s="148"/>
      <c r="L177" s="148"/>
      <c r="M177" s="148"/>
      <c r="N177" s="148"/>
      <c r="O177" s="178"/>
      <c r="P177" s="178"/>
      <c r="Q177" s="178"/>
      <c r="R177" s="178"/>
      <c r="S177" s="178"/>
      <c r="T177" s="178"/>
      <c r="U177" s="178"/>
    </row>
    <row r="178" spans="1:21" ht="15" customHeight="1" thickBot="1" x14ac:dyDescent="0.25">
      <c r="A178" s="558"/>
      <c r="B178" s="520"/>
      <c r="C178" s="601"/>
      <c r="D178" s="174"/>
      <c r="E178" s="174"/>
      <c r="F178" s="174"/>
      <c r="G178" s="174"/>
      <c r="H178" s="174"/>
      <c r="I178" s="174"/>
      <c r="J178" s="174"/>
      <c r="K178" s="148"/>
      <c r="L178" s="148"/>
      <c r="M178" s="148"/>
      <c r="N178" s="148"/>
      <c r="O178" s="178"/>
      <c r="P178" s="178"/>
      <c r="Q178" s="178"/>
      <c r="R178" s="178"/>
      <c r="S178" s="178"/>
      <c r="T178" s="178"/>
      <c r="U178" s="178"/>
    </row>
    <row r="179" spans="1:21" ht="15" customHeight="1" thickTop="1" x14ac:dyDescent="0.2">
      <c r="A179" s="557">
        <v>0</v>
      </c>
      <c r="B179" s="520"/>
      <c r="C179" s="600">
        <v>0</v>
      </c>
      <c r="D179" s="170">
        <v>0</v>
      </c>
      <c r="E179" s="170">
        <v>0</v>
      </c>
      <c r="F179" s="170">
        <v>0</v>
      </c>
      <c r="G179" s="170">
        <v>0</v>
      </c>
      <c r="H179" s="170">
        <v>0</v>
      </c>
      <c r="I179" s="170">
        <v>0</v>
      </c>
      <c r="J179" s="170">
        <v>0</v>
      </c>
      <c r="K179" s="148"/>
      <c r="L179" s="148"/>
      <c r="M179" s="148"/>
      <c r="N179" s="148"/>
      <c r="O179" s="178"/>
      <c r="P179" s="178"/>
      <c r="Q179" s="178"/>
      <c r="R179" s="178"/>
      <c r="S179" s="178"/>
      <c r="T179" s="178"/>
      <c r="U179" s="178"/>
    </row>
    <row r="180" spans="1:21" ht="15" customHeight="1" thickBot="1" x14ac:dyDescent="0.25">
      <c r="A180" s="558">
        <v>2341</v>
      </c>
      <c r="B180" s="520"/>
      <c r="C180" s="601" t="s">
        <v>319</v>
      </c>
      <c r="D180" s="171">
        <v>22</v>
      </c>
      <c r="E180" s="171">
        <v>10</v>
      </c>
      <c r="F180" s="171">
        <v>52</v>
      </c>
      <c r="G180" s="171" t="s">
        <v>34</v>
      </c>
      <c r="H180" s="171" t="s">
        <v>34</v>
      </c>
      <c r="I180" s="171" t="s">
        <v>34</v>
      </c>
      <c r="J180" s="171" t="s">
        <v>34</v>
      </c>
      <c r="K180" s="148"/>
      <c r="L180" s="148"/>
      <c r="M180" s="148"/>
      <c r="N180" s="148"/>
      <c r="O180" s="178"/>
      <c r="P180" s="178"/>
      <c r="Q180" s="178"/>
      <c r="R180" s="178"/>
      <c r="S180" s="178"/>
      <c r="T180" s="178"/>
      <c r="U180" s="178"/>
    </row>
    <row r="181" spans="1:21" ht="15" customHeight="1" thickTop="1" x14ac:dyDescent="0.2">
      <c r="A181" s="557">
        <v>0</v>
      </c>
      <c r="B181" s="520"/>
      <c r="C181" s="600">
        <v>0</v>
      </c>
      <c r="D181" s="170">
        <v>0</v>
      </c>
      <c r="E181" s="170">
        <v>0</v>
      </c>
      <c r="F181" s="170">
        <v>0</v>
      </c>
      <c r="G181" s="170">
        <v>0</v>
      </c>
      <c r="H181" s="170">
        <v>0</v>
      </c>
      <c r="I181" s="170">
        <v>0</v>
      </c>
      <c r="J181" s="170">
        <v>0</v>
      </c>
      <c r="K181" s="148"/>
      <c r="L181" s="148"/>
      <c r="M181" s="148"/>
      <c r="N181" s="148"/>
      <c r="O181" s="178"/>
      <c r="P181" s="178"/>
      <c r="Q181" s="178"/>
      <c r="R181" s="178"/>
      <c r="S181" s="178"/>
      <c r="T181" s="178"/>
      <c r="U181" s="178"/>
    </row>
    <row r="182" spans="1:21" ht="15" customHeight="1" thickBot="1" x14ac:dyDescent="0.25">
      <c r="A182" s="558"/>
      <c r="B182" s="520"/>
      <c r="C182" s="601"/>
      <c r="D182" s="171">
        <v>0</v>
      </c>
      <c r="E182" s="171">
        <v>0</v>
      </c>
      <c r="F182" s="171">
        <v>0</v>
      </c>
      <c r="G182" s="171">
        <v>0</v>
      </c>
      <c r="H182" s="171">
        <v>0</v>
      </c>
      <c r="I182" s="171">
        <v>0</v>
      </c>
      <c r="J182" s="171">
        <v>0</v>
      </c>
      <c r="K182" s="148"/>
      <c r="L182" s="148"/>
      <c r="M182" s="148"/>
      <c r="N182" s="148"/>
      <c r="O182" s="178"/>
      <c r="P182" s="178"/>
      <c r="Q182" s="178"/>
      <c r="R182" s="178"/>
      <c r="S182" s="178"/>
      <c r="T182" s="178"/>
      <c r="U182" s="178"/>
    </row>
    <row r="183" spans="1:21" ht="15" customHeight="1" thickTop="1" x14ac:dyDescent="0.2">
      <c r="A183" s="557">
        <v>0</v>
      </c>
      <c r="B183" s="520"/>
      <c r="C183" s="600">
        <v>0</v>
      </c>
      <c r="D183" s="170">
        <v>0</v>
      </c>
      <c r="E183" s="170">
        <v>0</v>
      </c>
      <c r="F183" s="170">
        <v>0</v>
      </c>
      <c r="G183" s="170">
        <v>0</v>
      </c>
      <c r="H183" s="170">
        <v>0</v>
      </c>
      <c r="I183" s="170">
        <v>0</v>
      </c>
      <c r="J183" s="170">
        <v>0</v>
      </c>
      <c r="K183" s="148"/>
      <c r="L183" s="148"/>
      <c r="M183" s="148"/>
      <c r="N183" s="148"/>
      <c r="O183" s="178"/>
      <c r="P183" s="178"/>
      <c r="Q183" s="178"/>
      <c r="R183" s="178"/>
      <c r="S183" s="178"/>
      <c r="T183" s="178"/>
      <c r="U183" s="178"/>
    </row>
    <row r="184" spans="1:21" ht="15" customHeight="1" thickBot="1" x14ac:dyDescent="0.25">
      <c r="A184" s="558">
        <v>2344</v>
      </c>
      <c r="B184" s="520"/>
      <c r="C184" s="601" t="s">
        <v>320</v>
      </c>
      <c r="D184" s="171" t="s">
        <v>34</v>
      </c>
      <c r="E184" s="171" t="s">
        <v>34</v>
      </c>
      <c r="F184" s="171" t="s">
        <v>34</v>
      </c>
      <c r="G184" s="171" t="s">
        <v>34</v>
      </c>
      <c r="H184" s="171" t="s">
        <v>34</v>
      </c>
      <c r="I184" s="171" t="s">
        <v>34</v>
      </c>
      <c r="J184" s="171" t="s">
        <v>34</v>
      </c>
      <c r="K184" s="148"/>
      <c r="L184" s="148"/>
      <c r="M184" s="148"/>
      <c r="N184" s="148"/>
      <c r="O184" s="178"/>
      <c r="P184" s="178"/>
      <c r="Q184" s="178"/>
      <c r="R184" s="178"/>
      <c r="S184" s="178"/>
      <c r="T184" s="178"/>
      <c r="U184" s="178"/>
    </row>
    <row r="185" spans="1:21" ht="15" customHeight="1" thickTop="1" x14ac:dyDescent="0.2">
      <c r="A185" s="557">
        <v>0</v>
      </c>
      <c r="B185" s="520"/>
      <c r="C185" s="600">
        <v>0</v>
      </c>
      <c r="D185" s="170">
        <v>0</v>
      </c>
      <c r="E185" s="170">
        <v>0</v>
      </c>
      <c r="F185" s="170">
        <v>0</v>
      </c>
      <c r="G185" s="170">
        <v>0</v>
      </c>
      <c r="H185" s="170">
        <v>0</v>
      </c>
      <c r="I185" s="170">
        <v>0</v>
      </c>
      <c r="J185" s="170">
        <v>0</v>
      </c>
      <c r="K185" s="148"/>
      <c r="L185" s="148"/>
      <c r="M185" s="148"/>
      <c r="N185" s="148"/>
      <c r="O185" s="178"/>
      <c r="P185" s="178"/>
      <c r="Q185" s="178"/>
      <c r="R185" s="178"/>
      <c r="S185" s="178"/>
      <c r="T185" s="178"/>
      <c r="U185" s="178"/>
    </row>
    <row r="186" spans="1:21" ht="15" customHeight="1" thickBot="1" x14ac:dyDescent="0.25">
      <c r="A186" s="558">
        <v>2374</v>
      </c>
      <c r="B186" s="520"/>
      <c r="C186" s="601" t="s">
        <v>321</v>
      </c>
      <c r="D186" s="171" t="s">
        <v>34</v>
      </c>
      <c r="E186" s="171" t="s">
        <v>34</v>
      </c>
      <c r="F186" s="171" t="s">
        <v>34</v>
      </c>
      <c r="G186" s="171">
        <v>47</v>
      </c>
      <c r="H186" s="171">
        <v>39</v>
      </c>
      <c r="I186" s="171" t="s">
        <v>429</v>
      </c>
      <c r="J186" s="171" t="s">
        <v>415</v>
      </c>
      <c r="K186" s="148"/>
      <c r="L186" s="148"/>
      <c r="M186" s="148"/>
      <c r="N186" s="148"/>
      <c r="O186" s="178"/>
      <c r="P186" s="178"/>
      <c r="Q186" s="178"/>
      <c r="R186" s="178"/>
      <c r="S186" s="178"/>
      <c r="T186" s="178"/>
      <c r="U186" s="178"/>
    </row>
    <row r="187" spans="1:21" ht="15" customHeight="1" thickTop="1" x14ac:dyDescent="0.2">
      <c r="A187" s="557">
        <v>0</v>
      </c>
      <c r="B187" s="520"/>
      <c r="C187" s="600">
        <v>0</v>
      </c>
      <c r="D187" s="170">
        <v>0</v>
      </c>
      <c r="E187" s="170">
        <v>0</v>
      </c>
      <c r="F187" s="170">
        <v>0</v>
      </c>
      <c r="G187" s="170">
        <v>0</v>
      </c>
      <c r="H187" s="170">
        <v>0</v>
      </c>
      <c r="I187" s="170">
        <v>0</v>
      </c>
      <c r="J187" s="170">
        <v>0</v>
      </c>
      <c r="K187" s="148"/>
      <c r="L187" s="148"/>
      <c r="M187" s="148"/>
      <c r="N187" s="148"/>
      <c r="O187" s="178"/>
      <c r="P187" s="178"/>
      <c r="Q187" s="178"/>
      <c r="R187" s="178"/>
      <c r="S187" s="178"/>
      <c r="T187" s="178"/>
      <c r="U187" s="178"/>
    </row>
    <row r="188" spans="1:21" ht="15" customHeight="1" thickBot="1" x14ac:dyDescent="0.25">
      <c r="A188" s="558">
        <v>3023</v>
      </c>
      <c r="B188" s="520"/>
      <c r="C188" s="601" t="s">
        <v>322</v>
      </c>
      <c r="D188" s="171">
        <v>50</v>
      </c>
      <c r="E188" s="171">
        <v>56</v>
      </c>
      <c r="F188" s="171" t="s">
        <v>34</v>
      </c>
      <c r="G188" s="171" t="s">
        <v>34</v>
      </c>
      <c r="H188" s="171" t="s">
        <v>34</v>
      </c>
      <c r="I188" s="171" t="s">
        <v>76</v>
      </c>
      <c r="J188" s="171" t="s">
        <v>76</v>
      </c>
      <c r="K188" s="148"/>
      <c r="L188" s="148"/>
      <c r="M188" s="148"/>
      <c r="N188" s="148"/>
      <c r="O188" s="178"/>
      <c r="P188" s="178"/>
      <c r="Q188" s="178"/>
      <c r="R188" s="178"/>
      <c r="S188" s="178"/>
      <c r="T188" s="178"/>
      <c r="U188" s="178"/>
    </row>
    <row r="189" spans="1:21" ht="15" customHeight="1" thickTop="1" x14ac:dyDescent="0.2">
      <c r="A189" s="557">
        <v>0</v>
      </c>
      <c r="B189" s="520"/>
      <c r="C189" s="600">
        <v>0</v>
      </c>
      <c r="D189" s="170">
        <v>0</v>
      </c>
      <c r="E189" s="170">
        <v>0</v>
      </c>
      <c r="F189" s="170">
        <v>0</v>
      </c>
      <c r="G189" s="170">
        <v>0</v>
      </c>
      <c r="H189" s="170">
        <v>0</v>
      </c>
      <c r="I189" s="170">
        <v>0</v>
      </c>
      <c r="J189" s="170">
        <v>0</v>
      </c>
      <c r="K189" s="148"/>
      <c r="L189" s="148"/>
      <c r="M189" s="148"/>
      <c r="N189" s="148"/>
      <c r="O189" s="178"/>
      <c r="P189" s="178"/>
      <c r="Q189" s="178"/>
      <c r="R189" s="178"/>
      <c r="S189" s="178"/>
      <c r="T189" s="178"/>
      <c r="U189" s="178"/>
    </row>
    <row r="190" spans="1:21" ht="15" customHeight="1" thickBot="1" x14ac:dyDescent="0.25">
      <c r="A190" s="558">
        <v>2528</v>
      </c>
      <c r="B190" s="520"/>
      <c r="C190" s="601" t="s">
        <v>323</v>
      </c>
      <c r="D190" s="171">
        <v>58</v>
      </c>
      <c r="E190" s="171">
        <v>58</v>
      </c>
      <c r="F190" s="171">
        <v>58</v>
      </c>
      <c r="G190" s="171">
        <v>58</v>
      </c>
      <c r="H190" s="171" t="s">
        <v>34</v>
      </c>
      <c r="I190" s="171" t="s">
        <v>34</v>
      </c>
      <c r="J190" s="171" t="s">
        <v>34</v>
      </c>
      <c r="K190" s="148"/>
      <c r="L190" s="148"/>
      <c r="M190" s="148"/>
      <c r="N190" s="175"/>
      <c r="O190" s="178"/>
      <c r="P190" s="178"/>
      <c r="Q190" s="178"/>
      <c r="R190" s="178"/>
      <c r="S190" s="178"/>
      <c r="T190" s="178"/>
      <c r="U190" s="178"/>
    </row>
    <row r="191" spans="1:21" ht="15" customHeight="1" thickTop="1" x14ac:dyDescent="0.2">
      <c r="A191" s="557">
        <v>0</v>
      </c>
      <c r="B191" s="599"/>
      <c r="C191" s="600">
        <v>0</v>
      </c>
      <c r="D191" s="170">
        <v>0</v>
      </c>
      <c r="E191" s="170">
        <v>0</v>
      </c>
      <c r="F191" s="170">
        <v>0</v>
      </c>
      <c r="G191" s="170">
        <v>0</v>
      </c>
      <c r="H191" s="170">
        <v>0</v>
      </c>
      <c r="I191" s="170">
        <v>0</v>
      </c>
      <c r="J191" s="170">
        <v>0</v>
      </c>
      <c r="K191" s="148"/>
      <c r="L191" s="148"/>
      <c r="M191" s="148"/>
      <c r="N191" s="148"/>
      <c r="O191" s="178"/>
      <c r="P191" s="178"/>
      <c r="Q191" s="178"/>
      <c r="R191" s="178"/>
      <c r="S191" s="178"/>
      <c r="T191" s="178"/>
      <c r="U191" s="178"/>
    </row>
    <row r="192" spans="1:21" ht="15" customHeight="1" thickBot="1" x14ac:dyDescent="0.25">
      <c r="A192" s="558">
        <v>2170</v>
      </c>
      <c r="B192" s="599"/>
      <c r="C192" s="601" t="s">
        <v>324</v>
      </c>
      <c r="D192" s="171">
        <v>19</v>
      </c>
      <c r="E192" s="171">
        <v>8</v>
      </c>
      <c r="F192" s="171">
        <v>46</v>
      </c>
      <c r="G192" s="171">
        <v>38</v>
      </c>
      <c r="H192" s="171">
        <v>48</v>
      </c>
      <c r="I192" s="171" t="s">
        <v>430</v>
      </c>
      <c r="J192" s="171" t="s">
        <v>34</v>
      </c>
      <c r="K192" s="148"/>
      <c r="L192" s="148"/>
      <c r="M192" s="148"/>
      <c r="N192" s="175"/>
      <c r="O192" s="178"/>
      <c r="P192" s="178"/>
      <c r="Q192" s="178"/>
      <c r="R192" s="178"/>
      <c r="S192" s="178"/>
      <c r="T192" s="178"/>
      <c r="U192" s="178"/>
    </row>
    <row r="193" spans="1:21" ht="15" customHeight="1" thickTop="1" x14ac:dyDescent="0.2">
      <c r="A193" s="557">
        <v>0</v>
      </c>
      <c r="B193" s="520"/>
      <c r="C193" s="600">
        <v>0</v>
      </c>
      <c r="D193" s="170">
        <v>0</v>
      </c>
      <c r="E193" s="170">
        <v>0</v>
      </c>
      <c r="F193" s="170">
        <v>0</v>
      </c>
      <c r="G193" s="170">
        <v>0</v>
      </c>
      <c r="H193" s="170">
        <v>0</v>
      </c>
      <c r="I193" s="170">
        <v>0</v>
      </c>
      <c r="J193" s="170">
        <v>0</v>
      </c>
      <c r="K193" s="148"/>
      <c r="L193" s="148"/>
      <c r="M193" s="148"/>
      <c r="N193" s="148"/>
      <c r="O193" s="178"/>
      <c r="P193" s="178"/>
      <c r="Q193" s="178"/>
      <c r="R193" s="178"/>
      <c r="S193" s="178"/>
      <c r="T193" s="178"/>
      <c r="U193" s="178"/>
    </row>
    <row r="194" spans="1:21" ht="15" customHeight="1" thickBot="1" x14ac:dyDescent="0.25">
      <c r="A194" s="558"/>
      <c r="B194" s="520"/>
      <c r="C194" s="601"/>
      <c r="D194" s="171">
        <v>0</v>
      </c>
      <c r="E194" s="171">
        <v>0</v>
      </c>
      <c r="F194" s="171">
        <v>0</v>
      </c>
      <c r="G194" s="171">
        <v>0</v>
      </c>
      <c r="H194" s="171">
        <v>0</v>
      </c>
      <c r="I194" s="171">
        <v>0</v>
      </c>
      <c r="J194" s="171">
        <v>0</v>
      </c>
      <c r="K194" s="181"/>
      <c r="L194" s="148"/>
      <c r="M194" s="148"/>
      <c r="N194" s="148"/>
      <c r="O194" s="178"/>
      <c r="P194" s="178"/>
      <c r="Q194" s="178"/>
      <c r="R194" s="178"/>
      <c r="S194" s="178"/>
      <c r="T194" s="178"/>
      <c r="U194" s="178"/>
    </row>
    <row r="195" spans="1:21" ht="15" customHeight="1" thickTop="1" x14ac:dyDescent="0.2">
      <c r="A195" s="557">
        <v>0</v>
      </c>
      <c r="B195" s="520"/>
      <c r="C195" s="600">
        <v>0</v>
      </c>
      <c r="D195" s="170">
        <v>0</v>
      </c>
      <c r="E195" s="170">
        <v>0</v>
      </c>
      <c r="F195" s="170">
        <v>0</v>
      </c>
      <c r="G195" s="170">
        <v>0</v>
      </c>
      <c r="H195" s="170">
        <v>0</v>
      </c>
      <c r="I195" s="170">
        <v>0</v>
      </c>
      <c r="J195" s="170">
        <v>0</v>
      </c>
      <c r="K195" s="148"/>
      <c r="L195" s="148"/>
      <c r="M195" s="148"/>
      <c r="N195" s="148"/>
      <c r="O195" s="178"/>
      <c r="P195" s="178"/>
      <c r="Q195" s="178"/>
      <c r="R195" s="178"/>
      <c r="S195" s="178"/>
      <c r="T195" s="178"/>
      <c r="U195" s="178"/>
    </row>
    <row r="196" spans="1:21" ht="15" customHeight="1" thickBot="1" x14ac:dyDescent="0.25">
      <c r="A196" s="558">
        <v>2946</v>
      </c>
      <c r="B196" s="520"/>
      <c r="C196" s="601" t="s">
        <v>325</v>
      </c>
      <c r="D196" s="171">
        <v>8</v>
      </c>
      <c r="E196" s="171" t="s">
        <v>34</v>
      </c>
      <c r="F196" s="171" t="s">
        <v>34</v>
      </c>
      <c r="G196" s="171" t="s">
        <v>34</v>
      </c>
      <c r="H196" s="171">
        <v>31</v>
      </c>
      <c r="I196" s="171" t="s">
        <v>396</v>
      </c>
      <c r="J196" s="171" t="s">
        <v>431</v>
      </c>
      <c r="K196" s="148"/>
      <c r="L196" s="148"/>
      <c r="M196" s="148"/>
      <c r="N196" s="175"/>
      <c r="O196" s="178"/>
      <c r="P196" s="178"/>
      <c r="Q196" s="178"/>
      <c r="R196" s="178"/>
      <c r="S196" s="178"/>
      <c r="T196" s="178"/>
      <c r="U196" s="178"/>
    </row>
    <row r="197" spans="1:21" ht="15" customHeight="1" thickTop="1" x14ac:dyDescent="0.2">
      <c r="A197" s="557">
        <v>0</v>
      </c>
      <c r="B197" s="520"/>
      <c r="C197" s="600">
        <v>0</v>
      </c>
      <c r="D197" s="170">
        <v>0</v>
      </c>
      <c r="E197" s="170">
        <v>0</v>
      </c>
      <c r="F197" s="170">
        <v>0</v>
      </c>
      <c r="G197" s="170">
        <v>0</v>
      </c>
      <c r="H197" s="170">
        <v>0</v>
      </c>
      <c r="I197" s="170">
        <v>0</v>
      </c>
      <c r="J197" s="170">
        <v>0</v>
      </c>
      <c r="K197" s="148"/>
      <c r="L197" s="148"/>
      <c r="M197" s="148"/>
      <c r="N197" s="148"/>
      <c r="O197" s="178"/>
      <c r="P197" s="178"/>
      <c r="Q197" s="178"/>
      <c r="R197" s="178"/>
      <c r="S197" s="178"/>
      <c r="T197" s="178"/>
      <c r="U197" s="178"/>
    </row>
    <row r="198" spans="1:21" ht="15" customHeight="1" thickBot="1" x14ac:dyDescent="0.25">
      <c r="A198" s="558">
        <v>2554</v>
      </c>
      <c r="B198" s="520"/>
      <c r="C198" s="601" t="s">
        <v>326</v>
      </c>
      <c r="D198" s="171">
        <v>17</v>
      </c>
      <c r="E198" s="171">
        <v>9</v>
      </c>
      <c r="F198" s="171">
        <v>5</v>
      </c>
      <c r="G198" s="171">
        <v>29</v>
      </c>
      <c r="H198" s="171" t="s">
        <v>34</v>
      </c>
      <c r="I198" s="171" t="s">
        <v>34</v>
      </c>
      <c r="J198" s="171" t="s">
        <v>432</v>
      </c>
      <c r="K198" s="148"/>
      <c r="L198" s="148"/>
      <c r="M198" s="148"/>
      <c r="N198" s="175"/>
      <c r="O198" s="178"/>
      <c r="P198" s="178"/>
      <c r="Q198" s="178"/>
      <c r="R198" s="178"/>
      <c r="S198" s="178"/>
      <c r="T198" s="178"/>
      <c r="U198" s="178"/>
    </row>
    <row r="199" spans="1:21" ht="15" customHeight="1" thickTop="1" x14ac:dyDescent="0.2">
      <c r="A199" s="557">
        <v>0</v>
      </c>
      <c r="B199" s="520"/>
      <c r="C199" s="600">
        <v>0</v>
      </c>
      <c r="D199" s="170">
        <v>0</v>
      </c>
      <c r="E199" s="170">
        <v>0</v>
      </c>
      <c r="F199" s="170">
        <v>0</v>
      </c>
      <c r="G199" s="170">
        <v>0</v>
      </c>
      <c r="H199" s="170">
        <v>0</v>
      </c>
      <c r="I199" s="170">
        <v>0</v>
      </c>
      <c r="J199" s="170">
        <v>0</v>
      </c>
      <c r="K199" s="148"/>
      <c r="L199" s="148"/>
      <c r="M199" s="148"/>
      <c r="N199" s="148"/>
      <c r="O199" s="178"/>
      <c r="P199" s="178"/>
      <c r="Q199" s="178"/>
      <c r="R199" s="178"/>
      <c r="S199" s="178"/>
      <c r="T199" s="178"/>
      <c r="U199" s="178"/>
    </row>
    <row r="200" spans="1:21" ht="15" customHeight="1" thickBot="1" x14ac:dyDescent="0.25">
      <c r="A200" s="558">
        <v>1320</v>
      </c>
      <c r="B200" s="520"/>
      <c r="C200" s="601" t="s">
        <v>327</v>
      </c>
      <c r="D200" s="171" t="s">
        <v>251</v>
      </c>
      <c r="E200" s="171" t="s">
        <v>251</v>
      </c>
      <c r="F200" s="171">
        <v>13</v>
      </c>
      <c r="G200" s="171">
        <v>56</v>
      </c>
      <c r="H200" s="171">
        <v>14</v>
      </c>
      <c r="I200" s="171" t="s">
        <v>34</v>
      </c>
      <c r="J200" s="171" t="s">
        <v>34</v>
      </c>
      <c r="K200" s="148"/>
      <c r="L200" s="148"/>
      <c r="M200" s="148"/>
      <c r="N200" s="148"/>
      <c r="O200" s="178"/>
      <c r="P200" s="178"/>
      <c r="Q200" s="178"/>
      <c r="R200" s="178"/>
      <c r="S200" s="178"/>
      <c r="T200" s="178"/>
      <c r="U200" s="178"/>
    </row>
    <row r="201" spans="1:21" ht="15" customHeight="1" thickTop="1" x14ac:dyDescent="0.2">
      <c r="A201" s="557">
        <v>0</v>
      </c>
      <c r="B201" s="520"/>
      <c r="C201" s="600">
        <v>0</v>
      </c>
      <c r="D201" s="170">
        <v>0</v>
      </c>
      <c r="E201" s="170">
        <v>0</v>
      </c>
      <c r="F201" s="170">
        <v>0</v>
      </c>
      <c r="G201" s="170">
        <v>0</v>
      </c>
      <c r="H201" s="170">
        <v>0</v>
      </c>
      <c r="I201" s="170">
        <v>0</v>
      </c>
      <c r="J201" s="170">
        <v>0</v>
      </c>
      <c r="K201" s="148"/>
      <c r="L201" s="148"/>
      <c r="M201" s="148"/>
      <c r="N201" s="148"/>
      <c r="O201" s="178"/>
      <c r="P201" s="178"/>
      <c r="Q201" s="178"/>
      <c r="R201" s="178"/>
      <c r="S201" s="178"/>
      <c r="T201" s="178"/>
      <c r="U201" s="178"/>
    </row>
    <row r="202" spans="1:21" ht="15" customHeight="1" thickBot="1" x14ac:dyDescent="0.25">
      <c r="A202" s="558">
        <v>3131</v>
      </c>
      <c r="B202" s="520"/>
      <c r="C202" s="601" t="s">
        <v>74</v>
      </c>
      <c r="D202" s="171" t="s">
        <v>34</v>
      </c>
      <c r="E202" s="171" t="s">
        <v>34</v>
      </c>
      <c r="F202" s="171" t="s">
        <v>34</v>
      </c>
      <c r="G202" s="171" t="s">
        <v>76</v>
      </c>
      <c r="H202" s="171" t="s">
        <v>76</v>
      </c>
      <c r="I202" s="171" t="s">
        <v>76</v>
      </c>
      <c r="J202" s="171" t="s">
        <v>76</v>
      </c>
      <c r="K202" s="181"/>
      <c r="L202" s="148"/>
      <c r="M202" s="148"/>
      <c r="N202" s="148"/>
      <c r="O202" s="178"/>
      <c r="P202" s="178"/>
      <c r="Q202" s="178"/>
      <c r="R202" s="178"/>
      <c r="S202" s="178"/>
      <c r="T202" s="178"/>
      <c r="U202" s="178"/>
    </row>
    <row r="203" spans="1:21" ht="15" customHeight="1" thickTop="1" x14ac:dyDescent="0.2">
      <c r="A203" s="557">
        <v>0</v>
      </c>
      <c r="B203" s="520"/>
      <c r="C203" s="600">
        <v>0</v>
      </c>
      <c r="D203" s="170">
        <v>0</v>
      </c>
      <c r="E203" s="170">
        <v>0</v>
      </c>
      <c r="F203" s="170">
        <v>0</v>
      </c>
      <c r="G203" s="170">
        <v>0</v>
      </c>
      <c r="H203" s="170">
        <v>0</v>
      </c>
      <c r="I203" s="170">
        <v>0</v>
      </c>
      <c r="J203" s="170">
        <v>0</v>
      </c>
      <c r="K203" s="148"/>
      <c r="L203" s="148"/>
      <c r="M203" s="148"/>
      <c r="N203" s="148"/>
      <c r="O203" s="178"/>
      <c r="P203" s="178"/>
      <c r="Q203" s="178"/>
      <c r="R203" s="178"/>
      <c r="S203" s="178"/>
      <c r="T203" s="178"/>
      <c r="U203" s="178"/>
    </row>
    <row r="204" spans="1:21" ht="15" customHeight="1" thickBot="1" x14ac:dyDescent="0.25">
      <c r="A204" s="558">
        <v>2980</v>
      </c>
      <c r="B204" s="520"/>
      <c r="C204" s="601" t="s">
        <v>328</v>
      </c>
      <c r="D204" s="171">
        <v>46</v>
      </c>
      <c r="E204" s="171">
        <v>53</v>
      </c>
      <c r="F204" s="171" t="s">
        <v>34</v>
      </c>
      <c r="G204" s="171" t="s">
        <v>34</v>
      </c>
      <c r="H204" s="171" t="s">
        <v>34</v>
      </c>
      <c r="I204" s="171" t="s">
        <v>237</v>
      </c>
      <c r="J204" s="171" t="s">
        <v>433</v>
      </c>
      <c r="K204" s="148"/>
      <c r="L204" s="148"/>
      <c r="M204" s="148"/>
      <c r="N204" s="148"/>
      <c r="O204" s="178"/>
      <c r="P204" s="178"/>
      <c r="Q204" s="178"/>
      <c r="R204" s="178"/>
      <c r="S204" s="178"/>
      <c r="T204" s="178"/>
      <c r="U204" s="178"/>
    </row>
    <row r="205" spans="1:21" ht="15" customHeight="1" thickTop="1" x14ac:dyDescent="0.2">
      <c r="A205" s="557">
        <v>0</v>
      </c>
      <c r="B205" s="520"/>
      <c r="C205" s="600">
        <v>0</v>
      </c>
      <c r="D205" s="170">
        <v>0</v>
      </c>
      <c r="E205" s="170">
        <v>0</v>
      </c>
      <c r="F205" s="170">
        <v>0</v>
      </c>
      <c r="G205" s="170">
        <v>0</v>
      </c>
      <c r="H205" s="170">
        <v>0</v>
      </c>
      <c r="I205" s="170">
        <v>0</v>
      </c>
      <c r="J205" s="170">
        <v>0</v>
      </c>
      <c r="K205" s="133"/>
      <c r="L205" s="148"/>
      <c r="M205" s="148"/>
      <c r="N205" s="148"/>
      <c r="O205" s="178"/>
      <c r="P205" s="178"/>
      <c r="Q205" s="178"/>
      <c r="R205" s="178"/>
      <c r="S205" s="178"/>
      <c r="T205" s="178"/>
      <c r="U205" s="178"/>
    </row>
    <row r="206" spans="1:21" ht="15" customHeight="1" thickBot="1" x14ac:dyDescent="0.25">
      <c r="A206" s="558">
        <v>3080</v>
      </c>
      <c r="B206" s="520"/>
      <c r="C206" s="601" t="s">
        <v>329</v>
      </c>
      <c r="D206" s="171">
        <v>34</v>
      </c>
      <c r="E206" s="171">
        <v>24</v>
      </c>
      <c r="F206" s="171">
        <v>57</v>
      </c>
      <c r="G206" s="171" t="s">
        <v>34</v>
      </c>
      <c r="H206" s="171" t="s">
        <v>34</v>
      </c>
      <c r="I206" s="171" t="s">
        <v>398</v>
      </c>
      <c r="J206" s="171" t="s">
        <v>242</v>
      </c>
      <c r="K206" s="133"/>
      <c r="L206" s="148"/>
      <c r="M206" s="148"/>
      <c r="N206" s="148"/>
      <c r="O206" s="178"/>
      <c r="P206" s="178"/>
      <c r="Q206" s="178"/>
      <c r="R206" s="178"/>
      <c r="S206" s="178"/>
      <c r="T206" s="178"/>
      <c r="U206" s="178"/>
    </row>
    <row r="207" spans="1:21" ht="15" customHeight="1" thickTop="1" x14ac:dyDescent="0.2">
      <c r="A207" s="557">
        <v>0</v>
      </c>
      <c r="B207" s="520"/>
      <c r="C207" s="600">
        <v>0</v>
      </c>
      <c r="D207" s="170">
        <v>0</v>
      </c>
      <c r="E207" s="170">
        <v>0</v>
      </c>
      <c r="F207" s="170">
        <v>0</v>
      </c>
      <c r="G207" s="170">
        <v>0</v>
      </c>
      <c r="H207" s="170">
        <v>0</v>
      </c>
      <c r="I207" s="170">
        <v>0</v>
      </c>
      <c r="J207" s="170">
        <v>0</v>
      </c>
      <c r="K207" s="133"/>
      <c r="L207" s="148"/>
      <c r="M207" s="148"/>
      <c r="N207" s="148"/>
      <c r="O207" s="178"/>
      <c r="P207" s="178"/>
      <c r="Q207" s="178"/>
      <c r="R207" s="178"/>
      <c r="S207" s="178"/>
      <c r="T207" s="178"/>
      <c r="U207" s="178"/>
    </row>
    <row r="208" spans="1:21" ht="15" customHeight="1" thickBot="1" x14ac:dyDescent="0.25">
      <c r="A208" s="558">
        <v>2075</v>
      </c>
      <c r="B208" s="520"/>
      <c r="C208" s="601" t="s">
        <v>330</v>
      </c>
      <c r="D208" s="171">
        <v>12</v>
      </c>
      <c r="E208" s="171">
        <v>20</v>
      </c>
      <c r="F208" s="171" t="s">
        <v>392</v>
      </c>
      <c r="G208" s="171">
        <v>14</v>
      </c>
      <c r="H208" s="171">
        <v>5</v>
      </c>
      <c r="I208" s="171" t="s">
        <v>34</v>
      </c>
      <c r="J208" s="171" t="s">
        <v>34</v>
      </c>
      <c r="K208" s="133"/>
      <c r="L208" s="148"/>
      <c r="M208" s="148"/>
      <c r="N208" s="148"/>
      <c r="O208" s="178"/>
      <c r="P208" s="178"/>
      <c r="Q208" s="178"/>
      <c r="R208" s="178"/>
      <c r="S208" s="178"/>
      <c r="T208" s="178"/>
      <c r="U208" s="178"/>
    </row>
    <row r="209" spans="1:21" ht="15" customHeight="1" thickTop="1" x14ac:dyDescent="0.2">
      <c r="A209" s="557">
        <v>0</v>
      </c>
      <c r="B209" s="520"/>
      <c r="C209" s="600">
        <v>0</v>
      </c>
      <c r="D209" s="170">
        <v>0</v>
      </c>
      <c r="E209" s="170">
        <v>0</v>
      </c>
      <c r="F209" s="170">
        <v>0</v>
      </c>
      <c r="G209" s="170">
        <v>0</v>
      </c>
      <c r="H209" s="170">
        <v>0</v>
      </c>
      <c r="I209" s="170">
        <v>0</v>
      </c>
      <c r="J209" s="170">
        <v>0</v>
      </c>
      <c r="K209" s="133"/>
      <c r="L209" s="148"/>
      <c r="M209" s="148"/>
      <c r="N209" s="148"/>
      <c r="O209" s="178"/>
      <c r="P209" s="178"/>
      <c r="Q209" s="178"/>
      <c r="R209" s="178"/>
      <c r="S209" s="178"/>
      <c r="T209" s="178"/>
      <c r="U209" s="178"/>
    </row>
    <row r="210" spans="1:21" ht="15" customHeight="1" thickBot="1" x14ac:dyDescent="0.25">
      <c r="A210" s="558">
        <v>2376</v>
      </c>
      <c r="B210" s="520"/>
      <c r="C210" s="601" t="s">
        <v>331</v>
      </c>
      <c r="D210" s="171" t="s">
        <v>34</v>
      </c>
      <c r="E210" s="171">
        <v>44</v>
      </c>
      <c r="F210" s="171">
        <v>37</v>
      </c>
      <c r="G210" s="171">
        <v>55</v>
      </c>
      <c r="H210" s="171">
        <v>33</v>
      </c>
      <c r="I210" s="171" t="s">
        <v>423</v>
      </c>
      <c r="J210" s="171" t="s">
        <v>422</v>
      </c>
      <c r="K210" s="148"/>
      <c r="L210" s="148"/>
      <c r="M210" s="148"/>
      <c r="N210" s="148"/>
      <c r="O210" s="178"/>
      <c r="P210" s="178"/>
      <c r="Q210" s="178"/>
      <c r="R210" s="178"/>
      <c r="S210" s="178"/>
      <c r="T210" s="178"/>
      <c r="U210" s="178"/>
    </row>
    <row r="211" spans="1:21" ht="15" customHeight="1" thickTop="1" x14ac:dyDescent="0.2">
      <c r="A211" s="557">
        <v>0</v>
      </c>
      <c r="B211" s="520"/>
      <c r="C211" s="600">
        <v>0</v>
      </c>
      <c r="D211" s="170">
        <v>0</v>
      </c>
      <c r="E211" s="170">
        <v>0</v>
      </c>
      <c r="F211" s="170">
        <v>0</v>
      </c>
      <c r="G211" s="170">
        <v>0</v>
      </c>
      <c r="H211" s="170">
        <v>0</v>
      </c>
      <c r="I211" s="170">
        <v>0</v>
      </c>
      <c r="J211" s="170">
        <v>0</v>
      </c>
      <c r="K211" s="148"/>
      <c r="L211" s="148"/>
      <c r="M211" s="148"/>
      <c r="N211" s="148"/>
      <c r="O211" s="178"/>
      <c r="P211" s="178"/>
      <c r="Q211" s="178"/>
      <c r="R211" s="178"/>
      <c r="S211" s="178"/>
      <c r="T211" s="178"/>
      <c r="U211" s="178"/>
    </row>
    <row r="212" spans="1:21" ht="15" customHeight="1" thickBot="1" x14ac:dyDescent="0.25">
      <c r="A212" s="558">
        <v>2160</v>
      </c>
      <c r="B212" s="520"/>
      <c r="C212" s="601" t="s">
        <v>332</v>
      </c>
      <c r="D212" s="171">
        <v>9</v>
      </c>
      <c r="E212" s="171">
        <v>33</v>
      </c>
      <c r="F212" s="171">
        <v>10</v>
      </c>
      <c r="G212" s="171">
        <v>1</v>
      </c>
      <c r="H212" s="171">
        <v>7</v>
      </c>
      <c r="I212" s="171" t="s">
        <v>34</v>
      </c>
      <c r="J212" s="171" t="s">
        <v>241</v>
      </c>
      <c r="K212" s="148"/>
      <c r="L212" s="148"/>
      <c r="M212" s="148"/>
      <c r="N212" s="148"/>
      <c r="O212" s="178"/>
      <c r="P212" s="178"/>
      <c r="Q212" s="178"/>
      <c r="R212" s="178"/>
      <c r="S212" s="178"/>
      <c r="T212" s="178"/>
      <c r="U212" s="178"/>
    </row>
    <row r="213" spans="1:21" ht="15" customHeight="1" thickTop="1" x14ac:dyDescent="0.2">
      <c r="A213" s="557">
        <v>0</v>
      </c>
      <c r="B213" s="520"/>
      <c r="C213" s="600">
        <v>0</v>
      </c>
      <c r="D213" s="170">
        <v>0</v>
      </c>
      <c r="E213" s="170">
        <v>0</v>
      </c>
      <c r="F213" s="170">
        <v>0</v>
      </c>
      <c r="G213" s="170">
        <v>0</v>
      </c>
      <c r="H213" s="170">
        <v>0</v>
      </c>
      <c r="I213" s="170">
        <v>0</v>
      </c>
      <c r="J213" s="170">
        <v>0</v>
      </c>
      <c r="K213" s="148"/>
      <c r="L213" s="148"/>
      <c r="M213" s="148"/>
      <c r="N213" s="148"/>
      <c r="O213" s="178"/>
      <c r="P213" s="178"/>
      <c r="Q213" s="178"/>
      <c r="R213" s="178"/>
      <c r="S213" s="178"/>
      <c r="T213" s="178"/>
      <c r="U213" s="178"/>
    </row>
    <row r="214" spans="1:21" ht="15" customHeight="1" thickBot="1" x14ac:dyDescent="0.25">
      <c r="A214" s="558">
        <v>1933</v>
      </c>
      <c r="B214" s="520"/>
      <c r="C214" s="601" t="s">
        <v>333</v>
      </c>
      <c r="D214" s="171" t="s">
        <v>34</v>
      </c>
      <c r="E214" s="171" t="s">
        <v>34</v>
      </c>
      <c r="F214" s="171" t="s">
        <v>34</v>
      </c>
      <c r="G214" s="171">
        <v>39</v>
      </c>
      <c r="H214" s="171">
        <v>27</v>
      </c>
      <c r="I214" s="171" t="s">
        <v>239</v>
      </c>
      <c r="J214" s="171" t="s">
        <v>417</v>
      </c>
      <c r="K214" s="148"/>
      <c r="L214" s="148"/>
      <c r="M214" s="148"/>
      <c r="N214" s="148"/>
      <c r="O214" s="178"/>
      <c r="P214" s="178"/>
      <c r="Q214" s="178"/>
      <c r="R214" s="178"/>
      <c r="S214" s="178"/>
      <c r="T214" s="178"/>
      <c r="U214" s="178"/>
    </row>
    <row r="215" spans="1:21" ht="15" customHeight="1" thickTop="1" x14ac:dyDescent="0.2">
      <c r="A215" s="557">
        <v>0</v>
      </c>
      <c r="B215" s="520"/>
      <c r="C215" s="600">
        <v>0</v>
      </c>
      <c r="D215" s="170">
        <v>0</v>
      </c>
      <c r="E215" s="170">
        <v>0</v>
      </c>
      <c r="F215" s="170">
        <v>0</v>
      </c>
      <c r="G215" s="170">
        <v>0</v>
      </c>
      <c r="H215" s="170">
        <v>0</v>
      </c>
      <c r="I215" s="170">
        <v>0</v>
      </c>
      <c r="J215" s="170">
        <v>0</v>
      </c>
      <c r="K215" s="148"/>
      <c r="L215" s="148"/>
      <c r="M215" s="148"/>
      <c r="N215" s="148"/>
      <c r="O215" s="178"/>
      <c r="P215" s="178"/>
      <c r="Q215" s="178"/>
      <c r="R215" s="178"/>
      <c r="S215" s="178"/>
      <c r="T215" s="178"/>
      <c r="U215" s="178"/>
    </row>
    <row r="216" spans="1:21" ht="15" customHeight="1" thickBot="1" x14ac:dyDescent="0.25">
      <c r="A216" s="558">
        <v>3247</v>
      </c>
      <c r="B216" s="520"/>
      <c r="C216" s="601" t="s">
        <v>334</v>
      </c>
      <c r="D216" s="171">
        <v>3</v>
      </c>
      <c r="E216" s="171">
        <v>1</v>
      </c>
      <c r="F216" s="171" t="s">
        <v>34</v>
      </c>
      <c r="G216" s="171" t="s">
        <v>34</v>
      </c>
      <c r="H216" s="171" t="s">
        <v>34</v>
      </c>
      <c r="I216" s="171" t="s">
        <v>426</v>
      </c>
      <c r="J216" s="171" t="s">
        <v>430</v>
      </c>
      <c r="K216" s="182"/>
      <c r="L216" s="148"/>
      <c r="M216" s="148"/>
      <c r="N216" s="148"/>
      <c r="O216" s="178"/>
      <c r="P216" s="178"/>
      <c r="Q216" s="178"/>
      <c r="R216" s="178"/>
      <c r="S216" s="178"/>
      <c r="T216" s="178"/>
      <c r="U216" s="178"/>
    </row>
    <row r="217" spans="1:21" ht="15" customHeight="1" thickTop="1" x14ac:dyDescent="0.2">
      <c r="A217" s="557"/>
      <c r="B217" s="520"/>
      <c r="C217" s="600"/>
      <c r="D217" s="170">
        <v>0</v>
      </c>
      <c r="E217" s="170">
        <v>0</v>
      </c>
      <c r="F217" s="170">
        <v>0</v>
      </c>
      <c r="G217" s="170">
        <v>0</v>
      </c>
      <c r="H217" s="170">
        <v>0</v>
      </c>
      <c r="I217" s="170">
        <v>0</v>
      </c>
      <c r="J217" s="170">
        <v>0</v>
      </c>
      <c r="K217" s="182"/>
      <c r="L217" s="148"/>
      <c r="M217" s="148"/>
      <c r="N217" s="148"/>
      <c r="O217" s="178"/>
      <c r="P217" s="178"/>
      <c r="Q217" s="178"/>
      <c r="R217" s="178"/>
      <c r="S217" s="178"/>
      <c r="T217" s="178"/>
      <c r="U217" s="178"/>
    </row>
    <row r="218" spans="1:21" ht="15" customHeight="1" thickBot="1" x14ac:dyDescent="0.25">
      <c r="A218" s="558"/>
      <c r="B218" s="520"/>
      <c r="C218" s="601"/>
      <c r="D218" s="171">
        <v>0</v>
      </c>
      <c r="E218" s="171">
        <v>0</v>
      </c>
      <c r="F218" s="171">
        <v>0</v>
      </c>
      <c r="G218" s="171">
        <v>0</v>
      </c>
      <c r="H218" s="171">
        <v>0</v>
      </c>
      <c r="I218" s="171">
        <v>0</v>
      </c>
      <c r="J218" s="171">
        <v>0</v>
      </c>
      <c r="K218" s="182"/>
      <c r="L218" s="148"/>
      <c r="M218" s="148"/>
      <c r="N218" s="148"/>
      <c r="O218" s="178"/>
      <c r="P218" s="178"/>
      <c r="Q218" s="178"/>
      <c r="R218" s="178"/>
      <c r="S218" s="178"/>
      <c r="T218" s="178"/>
      <c r="U218" s="178"/>
    </row>
    <row r="219" spans="1:21" ht="15" customHeight="1" thickTop="1" x14ac:dyDescent="0.2">
      <c r="A219" s="557"/>
      <c r="B219" s="520"/>
      <c r="C219" s="600"/>
      <c r="D219" s="170">
        <v>0</v>
      </c>
      <c r="E219" s="170">
        <v>0</v>
      </c>
      <c r="F219" s="170">
        <v>0</v>
      </c>
      <c r="G219" s="170">
        <v>0</v>
      </c>
      <c r="H219" s="170">
        <v>0</v>
      </c>
      <c r="I219" s="170">
        <v>0</v>
      </c>
      <c r="J219" s="170">
        <v>0</v>
      </c>
      <c r="K219" s="182"/>
      <c r="L219" s="148"/>
      <c r="M219" s="148"/>
      <c r="N219" s="148"/>
      <c r="O219" s="178"/>
      <c r="P219" s="178"/>
      <c r="Q219" s="178"/>
      <c r="R219" s="178"/>
      <c r="S219" s="178"/>
      <c r="T219" s="178"/>
      <c r="U219" s="178"/>
    </row>
    <row r="220" spans="1:21" ht="15" customHeight="1" thickBot="1" x14ac:dyDescent="0.25">
      <c r="A220" s="558"/>
      <c r="B220" s="520"/>
      <c r="C220" s="601"/>
      <c r="D220" s="171">
        <v>0</v>
      </c>
      <c r="E220" s="171">
        <v>0</v>
      </c>
      <c r="F220" s="171">
        <v>0</v>
      </c>
      <c r="G220" s="171">
        <v>0</v>
      </c>
      <c r="H220" s="171">
        <v>0</v>
      </c>
      <c r="I220" s="171">
        <v>0</v>
      </c>
      <c r="J220" s="171">
        <v>0</v>
      </c>
      <c r="K220" s="148"/>
      <c r="L220" s="148"/>
      <c r="M220" s="148"/>
      <c r="N220" s="148"/>
      <c r="O220" s="178"/>
      <c r="P220" s="178"/>
      <c r="Q220" s="178"/>
      <c r="R220" s="178"/>
      <c r="S220" s="178"/>
      <c r="T220" s="178"/>
      <c r="U220" s="178"/>
    </row>
    <row r="221" spans="1:21" ht="15" customHeight="1" thickTop="1" x14ac:dyDescent="0.2">
      <c r="A221" s="557">
        <v>0</v>
      </c>
      <c r="B221" s="520"/>
      <c r="C221" s="600">
        <v>0</v>
      </c>
      <c r="D221" s="170">
        <v>0</v>
      </c>
      <c r="E221" s="170">
        <v>0</v>
      </c>
      <c r="F221" s="170">
        <v>0</v>
      </c>
      <c r="G221" s="170">
        <v>0</v>
      </c>
      <c r="H221" s="170">
        <v>0</v>
      </c>
      <c r="I221" s="170">
        <v>0</v>
      </c>
      <c r="J221" s="170">
        <v>0</v>
      </c>
      <c r="K221" s="133"/>
      <c r="L221" s="148"/>
      <c r="M221" s="148"/>
      <c r="N221" s="148"/>
      <c r="O221" s="178"/>
      <c r="P221" s="178"/>
      <c r="Q221" s="178"/>
      <c r="R221" s="178"/>
      <c r="S221" s="178"/>
      <c r="T221" s="178"/>
      <c r="U221" s="178"/>
    </row>
    <row r="222" spans="1:21" ht="15" customHeight="1" thickBot="1" x14ac:dyDescent="0.25">
      <c r="A222" s="558">
        <v>3746</v>
      </c>
      <c r="B222" s="520"/>
      <c r="C222" s="601" t="s">
        <v>335</v>
      </c>
      <c r="D222" s="171" t="s">
        <v>34</v>
      </c>
      <c r="E222" s="171" t="s">
        <v>34</v>
      </c>
      <c r="F222" s="171">
        <v>40</v>
      </c>
      <c r="G222" s="171">
        <v>46</v>
      </c>
      <c r="H222" s="171">
        <v>25</v>
      </c>
      <c r="I222" s="171" t="s">
        <v>434</v>
      </c>
      <c r="J222" s="171" t="s">
        <v>394</v>
      </c>
      <c r="K222" s="133"/>
      <c r="L222" s="148"/>
      <c r="M222" s="148"/>
      <c r="N222" s="148"/>
      <c r="O222" s="178"/>
      <c r="P222" s="178"/>
      <c r="Q222" s="178"/>
      <c r="R222" s="178"/>
      <c r="S222" s="178"/>
      <c r="T222" s="178"/>
      <c r="U222" s="178"/>
    </row>
    <row r="223" spans="1:21" ht="15" customHeight="1" thickTop="1" x14ac:dyDescent="0.2">
      <c r="A223" s="557">
        <v>0</v>
      </c>
      <c r="B223" s="520"/>
      <c r="C223" s="600">
        <v>0</v>
      </c>
      <c r="D223" s="170">
        <v>0</v>
      </c>
      <c r="E223" s="170">
        <v>0</v>
      </c>
      <c r="F223" s="170">
        <v>0</v>
      </c>
      <c r="G223" s="170">
        <v>0</v>
      </c>
      <c r="H223" s="170">
        <v>0</v>
      </c>
      <c r="I223" s="170">
        <v>0</v>
      </c>
      <c r="J223" s="170">
        <v>0</v>
      </c>
      <c r="K223" s="133"/>
      <c r="L223" s="148"/>
      <c r="M223" s="148"/>
      <c r="N223" s="148"/>
      <c r="O223" s="178"/>
      <c r="P223" s="178"/>
      <c r="Q223" s="178"/>
      <c r="R223" s="178"/>
      <c r="S223" s="178"/>
      <c r="T223" s="178"/>
      <c r="U223" s="178"/>
    </row>
    <row r="224" spans="1:21" ht="15" customHeight="1" thickBot="1" x14ac:dyDescent="0.25">
      <c r="A224" s="558">
        <v>2978</v>
      </c>
      <c r="B224" s="520"/>
      <c r="C224" s="601" t="s">
        <v>336</v>
      </c>
      <c r="D224" s="171" t="s">
        <v>249</v>
      </c>
      <c r="E224" s="171" t="s">
        <v>34</v>
      </c>
      <c r="F224" s="171" t="s">
        <v>34</v>
      </c>
      <c r="G224" s="171" t="s">
        <v>34</v>
      </c>
      <c r="H224" s="171" t="s">
        <v>249</v>
      </c>
      <c r="I224" s="171" t="s">
        <v>435</v>
      </c>
      <c r="J224" s="171" t="s">
        <v>397</v>
      </c>
      <c r="K224" s="133"/>
      <c r="L224" s="148"/>
      <c r="M224" s="148"/>
      <c r="N224" s="148"/>
      <c r="O224" s="178"/>
      <c r="P224" s="178"/>
      <c r="Q224" s="178"/>
      <c r="R224" s="178"/>
      <c r="S224" s="178"/>
      <c r="T224" s="178"/>
      <c r="U224" s="178"/>
    </row>
    <row r="225" spans="1:21" ht="15" customHeight="1" thickTop="1" x14ac:dyDescent="0.2">
      <c r="A225" s="557">
        <v>0</v>
      </c>
      <c r="B225" s="520"/>
      <c r="C225" s="600">
        <v>0</v>
      </c>
      <c r="D225" s="170">
        <v>0</v>
      </c>
      <c r="E225" s="170">
        <v>0</v>
      </c>
      <c r="F225" s="170">
        <v>0</v>
      </c>
      <c r="G225" s="170">
        <v>0</v>
      </c>
      <c r="H225" s="170">
        <v>0</v>
      </c>
      <c r="I225" s="170">
        <v>0</v>
      </c>
      <c r="J225" s="170">
        <v>0</v>
      </c>
      <c r="K225" s="148"/>
      <c r="L225" s="148"/>
      <c r="M225" s="148"/>
      <c r="N225" s="148"/>
      <c r="O225" s="178"/>
      <c r="P225" s="178"/>
      <c r="Q225" s="178"/>
      <c r="R225" s="178"/>
      <c r="S225" s="178"/>
      <c r="T225" s="178"/>
      <c r="U225" s="178"/>
    </row>
    <row r="226" spans="1:21" ht="15" customHeight="1" thickBot="1" x14ac:dyDescent="0.25">
      <c r="A226" s="558">
        <v>2954</v>
      </c>
      <c r="B226" s="520"/>
      <c r="C226" s="601" t="s">
        <v>337</v>
      </c>
      <c r="D226" s="171">
        <v>16</v>
      </c>
      <c r="E226" s="171">
        <v>11</v>
      </c>
      <c r="F226" s="171">
        <v>8</v>
      </c>
      <c r="G226" s="171" t="s">
        <v>34</v>
      </c>
      <c r="H226" s="171" t="s">
        <v>34</v>
      </c>
      <c r="I226" s="171" t="s">
        <v>416</v>
      </c>
      <c r="J226" s="171" t="s">
        <v>34</v>
      </c>
      <c r="K226" s="148"/>
      <c r="L226" s="148"/>
      <c r="M226" s="148"/>
      <c r="N226" s="148"/>
      <c r="O226" s="178"/>
      <c r="P226" s="178"/>
      <c r="Q226" s="178"/>
      <c r="R226" s="178"/>
      <c r="S226" s="178"/>
      <c r="T226" s="178"/>
      <c r="U226" s="178"/>
    </row>
    <row r="227" spans="1:21" ht="15" customHeight="1" thickTop="1" x14ac:dyDescent="0.2">
      <c r="A227" s="557">
        <v>0</v>
      </c>
      <c r="B227" s="520"/>
      <c r="C227" s="600">
        <v>0</v>
      </c>
      <c r="D227" s="170">
        <v>0</v>
      </c>
      <c r="E227" s="170">
        <v>0</v>
      </c>
      <c r="F227" s="170">
        <v>0</v>
      </c>
      <c r="G227" s="170">
        <v>0</v>
      </c>
      <c r="H227" s="170">
        <v>0</v>
      </c>
      <c r="I227" s="170">
        <v>0</v>
      </c>
      <c r="J227" s="170">
        <v>0</v>
      </c>
      <c r="K227" s="148"/>
      <c r="L227" s="148"/>
      <c r="M227" s="148"/>
      <c r="N227" s="148"/>
      <c r="O227" s="178"/>
      <c r="P227" s="178"/>
      <c r="Q227" s="178"/>
      <c r="R227" s="178"/>
      <c r="S227" s="178"/>
      <c r="T227" s="178"/>
      <c r="U227" s="178"/>
    </row>
    <row r="228" spans="1:21" ht="15" customHeight="1" thickBot="1" x14ac:dyDescent="0.25">
      <c r="A228" s="558">
        <v>3025</v>
      </c>
      <c r="B228" s="520"/>
      <c r="C228" s="601" t="s">
        <v>338</v>
      </c>
      <c r="D228" s="171" t="s">
        <v>76</v>
      </c>
      <c r="E228" s="171">
        <v>36</v>
      </c>
      <c r="F228" s="171">
        <v>26</v>
      </c>
      <c r="G228" s="171">
        <v>13</v>
      </c>
      <c r="H228" s="171">
        <v>9</v>
      </c>
      <c r="I228" s="171" t="s">
        <v>34</v>
      </c>
      <c r="J228" s="171" t="s">
        <v>34</v>
      </c>
      <c r="K228" s="148"/>
      <c r="L228" s="148"/>
      <c r="M228" s="148"/>
      <c r="N228" s="148"/>
      <c r="O228" s="178"/>
      <c r="P228" s="178"/>
      <c r="Q228" s="178"/>
      <c r="R228" s="178"/>
      <c r="S228" s="178"/>
      <c r="T228" s="178"/>
      <c r="U228" s="178"/>
    </row>
    <row r="229" spans="1:21" ht="15" customHeight="1" thickTop="1" x14ac:dyDescent="0.2">
      <c r="A229" s="557">
        <v>0</v>
      </c>
      <c r="B229" s="520"/>
      <c r="C229" s="600">
        <v>0</v>
      </c>
      <c r="D229" s="170">
        <v>0</v>
      </c>
      <c r="E229" s="170">
        <v>0</v>
      </c>
      <c r="F229" s="170">
        <v>0</v>
      </c>
      <c r="G229" s="170">
        <v>0</v>
      </c>
      <c r="H229" s="170">
        <v>0</v>
      </c>
      <c r="I229" s="170">
        <v>0</v>
      </c>
      <c r="J229" s="170">
        <v>0</v>
      </c>
      <c r="K229" s="148"/>
      <c r="L229" s="148"/>
      <c r="M229" s="148"/>
      <c r="N229" s="148"/>
      <c r="O229" s="178"/>
      <c r="P229" s="178"/>
      <c r="Q229" s="178"/>
      <c r="R229" s="178"/>
      <c r="S229" s="178"/>
      <c r="T229" s="178"/>
      <c r="U229" s="178"/>
    </row>
    <row r="230" spans="1:21" ht="15" customHeight="1" thickBot="1" x14ac:dyDescent="0.25">
      <c r="A230" s="558">
        <v>3664</v>
      </c>
      <c r="B230" s="520"/>
      <c r="C230" s="601" t="s">
        <v>339</v>
      </c>
      <c r="D230" s="171" t="s">
        <v>76</v>
      </c>
      <c r="E230" s="171" t="s">
        <v>34</v>
      </c>
      <c r="F230" s="171" t="s">
        <v>34</v>
      </c>
      <c r="G230" s="171" t="s">
        <v>34</v>
      </c>
      <c r="H230" s="171">
        <v>10</v>
      </c>
      <c r="I230" s="171" t="s">
        <v>436</v>
      </c>
      <c r="J230" s="171" t="s">
        <v>437</v>
      </c>
      <c r="K230" s="148"/>
      <c r="L230" s="148"/>
      <c r="M230" s="148"/>
      <c r="N230" s="148"/>
      <c r="O230" s="178"/>
      <c r="P230" s="178"/>
      <c r="Q230" s="178"/>
      <c r="R230" s="178"/>
      <c r="S230" s="178"/>
      <c r="T230" s="178"/>
      <c r="U230" s="178"/>
    </row>
    <row r="231" spans="1:21" ht="15" customHeight="1" thickTop="1" x14ac:dyDescent="0.2">
      <c r="A231" s="557">
        <v>0</v>
      </c>
      <c r="B231" s="520"/>
      <c r="C231" s="600">
        <v>0</v>
      </c>
      <c r="D231" s="170">
        <v>0</v>
      </c>
      <c r="E231" s="170">
        <v>0</v>
      </c>
      <c r="F231" s="170">
        <v>0</v>
      </c>
      <c r="G231" s="170">
        <v>0</v>
      </c>
      <c r="H231" s="170">
        <v>0</v>
      </c>
      <c r="I231" s="170">
        <v>0</v>
      </c>
      <c r="J231" s="170">
        <v>0</v>
      </c>
      <c r="K231" s="182"/>
      <c r="L231" s="148"/>
      <c r="M231" s="148"/>
      <c r="N231" s="148"/>
      <c r="O231" s="178"/>
      <c r="P231" s="178"/>
      <c r="Q231" s="178"/>
      <c r="R231" s="178"/>
      <c r="S231" s="178"/>
      <c r="T231" s="178"/>
      <c r="U231" s="178"/>
    </row>
    <row r="232" spans="1:21" ht="15" customHeight="1" thickBot="1" x14ac:dyDescent="0.25">
      <c r="A232" s="558">
        <v>2979</v>
      </c>
      <c r="B232" s="520"/>
      <c r="C232" s="601" t="s">
        <v>340</v>
      </c>
      <c r="D232" s="171" t="s">
        <v>34</v>
      </c>
      <c r="E232" s="171">
        <v>31</v>
      </c>
      <c r="F232" s="171" t="s">
        <v>76</v>
      </c>
      <c r="G232" s="171" t="s">
        <v>76</v>
      </c>
      <c r="H232" s="171" t="s">
        <v>76</v>
      </c>
      <c r="I232" s="171" t="s">
        <v>76</v>
      </c>
      <c r="J232" s="171" t="s">
        <v>34</v>
      </c>
      <c r="K232" s="182"/>
      <c r="L232" s="148"/>
      <c r="M232" s="148"/>
      <c r="N232" s="148"/>
      <c r="O232" s="178"/>
      <c r="P232" s="178"/>
      <c r="Q232" s="178"/>
      <c r="R232" s="178"/>
      <c r="S232" s="178"/>
      <c r="T232" s="178"/>
      <c r="U232" s="178"/>
    </row>
    <row r="233" spans="1:21" ht="15" customHeight="1" thickTop="1" x14ac:dyDescent="0.2">
      <c r="A233" s="557">
        <v>0</v>
      </c>
      <c r="B233" s="520"/>
      <c r="C233" s="600">
        <v>0</v>
      </c>
      <c r="D233" s="170">
        <v>0</v>
      </c>
      <c r="E233" s="170">
        <v>0</v>
      </c>
      <c r="F233" s="170">
        <v>0</v>
      </c>
      <c r="G233" s="170">
        <v>0</v>
      </c>
      <c r="H233" s="170">
        <v>0</v>
      </c>
      <c r="I233" s="170">
        <v>0</v>
      </c>
      <c r="J233" s="170">
        <v>0</v>
      </c>
      <c r="K233" s="182"/>
      <c r="L233" s="148"/>
      <c r="M233" s="148"/>
      <c r="N233" s="148"/>
      <c r="O233" s="178"/>
      <c r="P233" s="178"/>
      <c r="Q233" s="178"/>
      <c r="R233" s="178"/>
      <c r="S233" s="178"/>
      <c r="T233" s="178"/>
      <c r="U233" s="178"/>
    </row>
    <row r="234" spans="1:21" ht="15.75" customHeight="1" thickBot="1" x14ac:dyDescent="0.25">
      <c r="A234" s="558">
        <v>2054</v>
      </c>
      <c r="B234" s="520"/>
      <c r="C234" s="601" t="s">
        <v>341</v>
      </c>
      <c r="D234" s="171" t="s">
        <v>34</v>
      </c>
      <c r="E234" s="171" t="s">
        <v>34</v>
      </c>
      <c r="F234" s="171" t="s">
        <v>34</v>
      </c>
      <c r="G234" s="171" t="s">
        <v>438</v>
      </c>
      <c r="H234" s="171" t="s">
        <v>438</v>
      </c>
      <c r="I234" s="171" t="s">
        <v>34</v>
      </c>
      <c r="J234" s="171" t="s">
        <v>34</v>
      </c>
      <c r="K234" s="182"/>
      <c r="L234" s="148"/>
      <c r="M234" s="148"/>
      <c r="N234" s="148"/>
      <c r="O234" s="178"/>
      <c r="P234" s="178"/>
      <c r="Q234" s="178"/>
      <c r="R234" s="178"/>
      <c r="S234" s="178"/>
      <c r="T234" s="178"/>
      <c r="U234" s="178"/>
    </row>
    <row r="235" spans="1:21" ht="15" customHeight="1" thickTop="1" x14ac:dyDescent="0.2">
      <c r="A235" s="557">
        <v>0</v>
      </c>
      <c r="B235" s="520"/>
      <c r="C235" s="600">
        <v>0</v>
      </c>
      <c r="D235" s="170">
        <v>0</v>
      </c>
      <c r="E235" s="170">
        <v>0</v>
      </c>
      <c r="F235" s="170">
        <v>0</v>
      </c>
      <c r="G235" s="170">
        <v>0</v>
      </c>
      <c r="H235" s="170">
        <v>0</v>
      </c>
      <c r="I235" s="170">
        <v>0</v>
      </c>
      <c r="J235" s="170">
        <v>0</v>
      </c>
      <c r="K235" s="148"/>
      <c r="L235" s="148"/>
      <c r="M235" s="148"/>
      <c r="N235" s="148"/>
      <c r="O235" s="178"/>
      <c r="P235" s="178"/>
      <c r="Q235" s="178"/>
      <c r="R235" s="178"/>
      <c r="S235" s="178"/>
      <c r="T235" s="178"/>
      <c r="U235" s="178"/>
    </row>
    <row r="236" spans="1:21" ht="15" customHeight="1" thickBot="1" x14ac:dyDescent="0.25">
      <c r="A236" s="558">
        <v>219</v>
      </c>
      <c r="B236" s="520"/>
      <c r="C236" s="601" t="s">
        <v>342</v>
      </c>
      <c r="D236" s="171" t="s">
        <v>76</v>
      </c>
      <c r="E236" s="171">
        <v>3</v>
      </c>
      <c r="F236" s="171" t="s">
        <v>34</v>
      </c>
      <c r="G236" s="171" t="s">
        <v>34</v>
      </c>
      <c r="H236" s="171" t="s">
        <v>34</v>
      </c>
      <c r="I236" s="171" t="s">
        <v>247</v>
      </c>
      <c r="J236" s="171" t="s">
        <v>247</v>
      </c>
      <c r="K236" s="148"/>
      <c r="L236" s="148"/>
      <c r="M236" s="148"/>
      <c r="N236" s="148"/>
      <c r="O236" s="178"/>
      <c r="P236" s="178"/>
      <c r="Q236" s="178"/>
      <c r="R236" s="178"/>
      <c r="S236" s="178"/>
      <c r="T236" s="178"/>
      <c r="U236" s="178"/>
    </row>
    <row r="237" spans="1:21" ht="15" customHeight="1" thickTop="1" x14ac:dyDescent="0.2">
      <c r="A237" s="557">
        <v>0</v>
      </c>
      <c r="B237" s="520"/>
      <c r="C237" s="600">
        <v>0</v>
      </c>
      <c r="D237" s="170">
        <v>0</v>
      </c>
      <c r="E237" s="170">
        <v>0</v>
      </c>
      <c r="F237" s="170">
        <v>0</v>
      </c>
      <c r="G237" s="170">
        <v>0</v>
      </c>
      <c r="H237" s="170">
        <v>0</v>
      </c>
      <c r="I237" s="170">
        <v>0</v>
      </c>
      <c r="J237" s="170">
        <v>0</v>
      </c>
      <c r="K237" s="148"/>
      <c r="L237" s="148"/>
      <c r="M237" s="148"/>
      <c r="N237" s="148"/>
      <c r="O237" s="178"/>
      <c r="P237" s="178"/>
      <c r="Q237" s="178"/>
      <c r="R237" s="178"/>
      <c r="S237" s="178"/>
      <c r="T237" s="178"/>
      <c r="U237" s="178"/>
    </row>
    <row r="238" spans="1:21" ht="15" customHeight="1" thickBot="1" x14ac:dyDescent="0.25">
      <c r="A238" s="558">
        <v>1255</v>
      </c>
      <c r="B238" s="520"/>
      <c r="C238" s="601" t="s">
        <v>343</v>
      </c>
      <c r="D238" s="171" t="s">
        <v>76</v>
      </c>
      <c r="E238" s="171">
        <v>15</v>
      </c>
      <c r="F238" s="171">
        <v>14</v>
      </c>
      <c r="G238" s="171">
        <v>57</v>
      </c>
      <c r="H238" s="171" t="s">
        <v>34</v>
      </c>
      <c r="I238" s="171" t="s">
        <v>34</v>
      </c>
      <c r="J238" s="171" t="s">
        <v>34</v>
      </c>
      <c r="K238" s="148"/>
      <c r="L238" s="148"/>
      <c r="M238" s="148"/>
      <c r="N238" s="148"/>
      <c r="O238" s="178"/>
      <c r="P238" s="178"/>
      <c r="Q238" s="178"/>
      <c r="R238" s="178"/>
      <c r="S238" s="178"/>
      <c r="T238" s="178"/>
      <c r="U238" s="178"/>
    </row>
    <row r="239" spans="1:21" ht="15" customHeight="1" thickTop="1" x14ac:dyDescent="0.2">
      <c r="A239" s="557">
        <v>0</v>
      </c>
      <c r="B239" s="520"/>
      <c r="C239" s="600">
        <v>0</v>
      </c>
      <c r="D239" s="170">
        <v>0</v>
      </c>
      <c r="E239" s="170">
        <v>0</v>
      </c>
      <c r="F239" s="170">
        <v>0</v>
      </c>
      <c r="G239" s="170">
        <v>0</v>
      </c>
      <c r="H239" s="170">
        <v>0</v>
      </c>
      <c r="I239" s="170">
        <v>0</v>
      </c>
      <c r="J239" s="170">
        <v>0</v>
      </c>
      <c r="K239" s="148"/>
      <c r="L239" s="148"/>
      <c r="M239" s="148"/>
      <c r="N239" s="148"/>
      <c r="O239" s="148"/>
      <c r="P239" s="148"/>
      <c r="Q239" s="148"/>
      <c r="R239" s="148"/>
      <c r="S239" s="148"/>
      <c r="T239" s="148"/>
      <c r="U239" s="148"/>
    </row>
    <row r="240" spans="1:21" ht="15" customHeight="1" thickBot="1" x14ac:dyDescent="0.25">
      <c r="A240" s="558">
        <v>2172</v>
      </c>
      <c r="B240" s="520"/>
      <c r="C240" s="601" t="s">
        <v>344</v>
      </c>
      <c r="D240" s="171" t="s">
        <v>76</v>
      </c>
      <c r="E240" s="171">
        <v>18</v>
      </c>
      <c r="F240" s="171">
        <v>12</v>
      </c>
      <c r="G240" s="171" t="s">
        <v>34</v>
      </c>
      <c r="H240" s="171" t="s">
        <v>34</v>
      </c>
      <c r="I240" s="171" t="s">
        <v>34</v>
      </c>
      <c r="J240" s="171" t="s">
        <v>34</v>
      </c>
      <c r="K240" s="148"/>
      <c r="L240" s="148"/>
      <c r="M240" s="148"/>
      <c r="N240" s="148"/>
      <c r="O240" s="148"/>
      <c r="P240" s="148"/>
      <c r="Q240" s="148"/>
      <c r="R240" s="148"/>
      <c r="S240" s="148"/>
      <c r="T240" s="148"/>
      <c r="U240" s="148"/>
    </row>
    <row r="241" spans="1:10" ht="15" customHeight="1" thickTop="1" x14ac:dyDescent="0.2">
      <c r="A241" s="557">
        <v>0</v>
      </c>
      <c r="B241" s="520"/>
      <c r="C241" s="600">
        <v>0</v>
      </c>
      <c r="D241" s="64">
        <v>0</v>
      </c>
      <c r="E241" s="64">
        <v>0</v>
      </c>
      <c r="F241" s="64">
        <v>0</v>
      </c>
      <c r="G241" s="64">
        <v>0</v>
      </c>
      <c r="H241" s="64">
        <v>0</v>
      </c>
      <c r="I241" s="64">
        <v>0</v>
      </c>
      <c r="J241" s="64">
        <v>0</v>
      </c>
    </row>
    <row r="242" spans="1:10" ht="15" customHeight="1" thickBot="1" x14ac:dyDescent="0.25">
      <c r="A242" s="558">
        <v>2043</v>
      </c>
      <c r="B242" s="520"/>
      <c r="C242" s="601" t="s">
        <v>345</v>
      </c>
      <c r="D242" s="66" t="s">
        <v>34</v>
      </c>
      <c r="E242" s="66" t="s">
        <v>34</v>
      </c>
      <c r="F242" s="66">
        <v>43</v>
      </c>
      <c r="G242" s="66">
        <v>35</v>
      </c>
      <c r="H242" s="66">
        <v>30</v>
      </c>
      <c r="I242" s="66" t="s">
        <v>418</v>
      </c>
      <c r="J242" s="66" t="s">
        <v>236</v>
      </c>
    </row>
    <row r="243" spans="1:10" ht="15" customHeight="1" thickTop="1" x14ac:dyDescent="0.2">
      <c r="A243" s="557">
        <v>0</v>
      </c>
      <c r="B243" s="520"/>
      <c r="C243" s="600">
        <v>0</v>
      </c>
      <c r="D243" s="170">
        <v>0</v>
      </c>
      <c r="E243" s="170">
        <v>0</v>
      </c>
      <c r="F243" s="170">
        <v>0</v>
      </c>
      <c r="G243" s="170">
        <v>0</v>
      </c>
      <c r="H243" s="170">
        <v>0</v>
      </c>
      <c r="I243" s="170">
        <v>0</v>
      </c>
      <c r="J243" s="170">
        <v>0</v>
      </c>
    </row>
    <row r="244" spans="1:10" ht="15" customHeight="1" thickBot="1" x14ac:dyDescent="0.25">
      <c r="A244" s="558">
        <v>3360</v>
      </c>
      <c r="B244" s="520"/>
      <c r="C244" s="601" t="s">
        <v>346</v>
      </c>
      <c r="D244" s="171" t="s">
        <v>76</v>
      </c>
      <c r="E244" s="171" t="s">
        <v>34</v>
      </c>
      <c r="F244" s="171" t="s">
        <v>34</v>
      </c>
      <c r="G244" s="171" t="s">
        <v>34</v>
      </c>
      <c r="H244" s="171">
        <v>55</v>
      </c>
      <c r="I244" s="171" t="s">
        <v>433</v>
      </c>
      <c r="J244" s="171" t="s">
        <v>419</v>
      </c>
    </row>
    <row r="245" spans="1:10" ht="15" customHeight="1" thickTop="1" x14ac:dyDescent="0.2">
      <c r="A245" s="137"/>
      <c r="B245" s="137"/>
      <c r="C245" s="138"/>
      <c r="D245" s="179" t="s">
        <v>26</v>
      </c>
      <c r="E245" s="179" t="s">
        <v>27</v>
      </c>
      <c r="F245" s="179" t="s">
        <v>28</v>
      </c>
      <c r="G245" s="179" t="s">
        <v>115</v>
      </c>
      <c r="H245" s="179" t="s">
        <v>30</v>
      </c>
      <c r="I245" s="179" t="s">
        <v>116</v>
      </c>
      <c r="J245" s="180" t="s">
        <v>32</v>
      </c>
    </row>
    <row r="246" spans="1:10" ht="15" customHeight="1" thickBot="1" x14ac:dyDescent="0.25">
      <c r="A246" s="141" t="s">
        <v>35</v>
      </c>
      <c r="B246" s="142"/>
      <c r="C246" s="143" t="s">
        <v>33</v>
      </c>
      <c r="D246" s="144">
        <f>DATE(YEAR(FECHA!$C$3),MONTH(FECHA!$C$3),DAY(FECHA!$C$3))</f>
        <v>45908</v>
      </c>
      <c r="E246" s="144">
        <f>D246+1</f>
        <v>45909</v>
      </c>
      <c r="F246" s="144">
        <f t="shared" ref="F246" si="11">E246+1</f>
        <v>45910</v>
      </c>
      <c r="G246" s="144">
        <f t="shared" ref="G246" si="12">F246+1</f>
        <v>45911</v>
      </c>
      <c r="H246" s="144">
        <f t="shared" ref="H246" si="13">G246+1</f>
        <v>45912</v>
      </c>
      <c r="I246" s="144">
        <f t="shared" ref="I246" si="14">H246+1</f>
        <v>45913</v>
      </c>
      <c r="J246" s="144">
        <f t="shared" ref="J246" si="15">I246+1</f>
        <v>45914</v>
      </c>
    </row>
    <row r="247" spans="1:10" ht="15" customHeight="1" thickTop="1" x14ac:dyDescent="0.2">
      <c r="A247" s="524">
        <v>0</v>
      </c>
      <c r="B247" s="524"/>
      <c r="C247" s="525">
        <v>0</v>
      </c>
      <c r="D247" s="64">
        <v>0</v>
      </c>
      <c r="E247" s="64">
        <v>0</v>
      </c>
      <c r="F247" s="64">
        <v>0</v>
      </c>
      <c r="G247" s="64">
        <v>0</v>
      </c>
      <c r="H247" s="64">
        <v>0</v>
      </c>
      <c r="I247" s="64">
        <v>0</v>
      </c>
      <c r="J247" s="64">
        <v>0</v>
      </c>
    </row>
    <row r="248" spans="1:10" ht="15" customHeight="1" x14ac:dyDescent="0.2">
      <c r="A248" s="506">
        <v>2087</v>
      </c>
      <c r="B248" s="506"/>
      <c r="C248" s="507" t="s">
        <v>347</v>
      </c>
      <c r="D248" s="66">
        <v>53</v>
      </c>
      <c r="E248" s="66">
        <v>12</v>
      </c>
      <c r="F248" s="66">
        <v>7</v>
      </c>
      <c r="G248" s="66" t="s">
        <v>34</v>
      </c>
      <c r="H248" s="66" t="s">
        <v>34</v>
      </c>
      <c r="I248" s="66" t="s">
        <v>34</v>
      </c>
      <c r="J248" s="66" t="s">
        <v>239</v>
      </c>
    </row>
    <row r="249" spans="1:10" ht="15" customHeight="1" x14ac:dyDescent="0.2">
      <c r="A249" s="152">
        <v>0</v>
      </c>
      <c r="B249" s="152"/>
      <c r="C249" s="158">
        <v>0</v>
      </c>
      <c r="D249" s="64">
        <v>0</v>
      </c>
      <c r="E249" s="64">
        <v>0</v>
      </c>
      <c r="F249" s="64">
        <v>0</v>
      </c>
      <c r="G249" s="64">
        <v>0</v>
      </c>
      <c r="H249" s="64">
        <v>0</v>
      </c>
      <c r="I249" s="64">
        <v>0</v>
      </c>
      <c r="J249" s="64">
        <v>0</v>
      </c>
    </row>
    <row r="250" spans="1:10" ht="15" customHeight="1" x14ac:dyDescent="0.2">
      <c r="A250" s="154">
        <v>3210</v>
      </c>
      <c r="B250" s="154"/>
      <c r="C250" s="159" t="s">
        <v>348</v>
      </c>
      <c r="D250" s="66" t="s">
        <v>76</v>
      </c>
      <c r="E250" s="66">
        <v>32</v>
      </c>
      <c r="F250" s="66">
        <v>35</v>
      </c>
      <c r="G250" s="66">
        <v>60</v>
      </c>
      <c r="H250" s="66">
        <v>41</v>
      </c>
      <c r="I250" s="66" t="s">
        <v>34</v>
      </c>
      <c r="J250" s="66" t="s">
        <v>34</v>
      </c>
    </row>
    <row r="251" spans="1:10" ht="15" customHeight="1" x14ac:dyDescent="0.2">
      <c r="A251" s="152">
        <v>0</v>
      </c>
      <c r="B251" s="152"/>
      <c r="C251" s="482">
        <v>0</v>
      </c>
      <c r="D251" s="64">
        <v>0</v>
      </c>
      <c r="E251" s="64">
        <v>0</v>
      </c>
      <c r="F251" s="64">
        <v>0</v>
      </c>
      <c r="G251" s="64">
        <v>0</v>
      </c>
      <c r="H251" s="64">
        <v>0</v>
      </c>
      <c r="I251" s="64">
        <v>0</v>
      </c>
      <c r="J251" s="64">
        <v>0</v>
      </c>
    </row>
    <row r="252" spans="1:10" ht="15" customHeight="1" x14ac:dyDescent="0.2">
      <c r="A252" s="154">
        <v>2384</v>
      </c>
      <c r="B252" s="154"/>
      <c r="C252" s="159" t="s">
        <v>349</v>
      </c>
      <c r="D252" s="66" t="s">
        <v>76</v>
      </c>
      <c r="E252" s="66" t="s">
        <v>249</v>
      </c>
      <c r="F252" s="66" t="s">
        <v>249</v>
      </c>
      <c r="G252" s="66" t="s">
        <v>249</v>
      </c>
      <c r="H252" s="66" t="s">
        <v>34</v>
      </c>
      <c r="I252" s="66" t="s">
        <v>34</v>
      </c>
      <c r="J252" s="66" t="s">
        <v>424</v>
      </c>
    </row>
    <row r="253" spans="1:10" ht="15" customHeight="1" x14ac:dyDescent="0.2">
      <c r="A253" s="152">
        <v>0</v>
      </c>
      <c r="B253" s="152"/>
      <c r="C253" s="153">
        <v>0</v>
      </c>
      <c r="D253" s="64">
        <v>0</v>
      </c>
      <c r="E253" s="64">
        <v>0</v>
      </c>
      <c r="F253" s="64">
        <v>0</v>
      </c>
      <c r="G253" s="64">
        <v>0</v>
      </c>
      <c r="H253" s="64">
        <v>0</v>
      </c>
      <c r="I253" s="64">
        <v>0</v>
      </c>
      <c r="J253" s="64">
        <v>0</v>
      </c>
    </row>
    <row r="254" spans="1:10" ht="15" customHeight="1" x14ac:dyDescent="0.2">
      <c r="A254" s="154">
        <v>2387</v>
      </c>
      <c r="B254" s="154"/>
      <c r="C254" s="159" t="s">
        <v>350</v>
      </c>
      <c r="D254" s="66" t="s">
        <v>34</v>
      </c>
      <c r="E254" s="66" t="s">
        <v>249</v>
      </c>
      <c r="F254" s="66" t="s">
        <v>249</v>
      </c>
      <c r="G254" s="66" t="s">
        <v>249</v>
      </c>
      <c r="H254" s="66" t="s">
        <v>249</v>
      </c>
      <c r="I254" s="66" t="s">
        <v>428</v>
      </c>
      <c r="J254" s="66" t="s">
        <v>410</v>
      </c>
    </row>
    <row r="255" spans="1:10" ht="15" customHeight="1" x14ac:dyDescent="0.2">
      <c r="A255" s="152">
        <v>0</v>
      </c>
      <c r="B255" s="152"/>
      <c r="C255" s="153">
        <v>0</v>
      </c>
      <c r="D255" s="64">
        <v>0</v>
      </c>
      <c r="E255" s="64">
        <v>0</v>
      </c>
      <c r="F255" s="64">
        <v>0</v>
      </c>
      <c r="G255" s="64">
        <v>0</v>
      </c>
      <c r="H255" s="64">
        <v>0</v>
      </c>
      <c r="I255" s="64">
        <v>0</v>
      </c>
      <c r="J255" s="64">
        <v>0</v>
      </c>
    </row>
    <row r="256" spans="1:10" ht="15" customHeight="1" x14ac:dyDescent="0.2">
      <c r="A256" s="154">
        <v>2347</v>
      </c>
      <c r="B256" s="154"/>
      <c r="C256" s="159" t="s">
        <v>351</v>
      </c>
      <c r="D256" s="66" t="s">
        <v>34</v>
      </c>
      <c r="E256" s="66" t="s">
        <v>34</v>
      </c>
      <c r="F256" s="66" t="s">
        <v>34</v>
      </c>
      <c r="G256" s="66" t="s">
        <v>77</v>
      </c>
      <c r="H256" s="66" t="s">
        <v>77</v>
      </c>
      <c r="I256" s="66" t="s">
        <v>77</v>
      </c>
      <c r="J256" s="66" t="s">
        <v>77</v>
      </c>
    </row>
    <row r="257" spans="1:16" ht="15" customHeight="1" x14ac:dyDescent="0.2">
      <c r="A257" s="152">
        <v>0</v>
      </c>
      <c r="B257" s="152"/>
      <c r="C257" s="153">
        <v>0</v>
      </c>
      <c r="D257" s="170">
        <v>0</v>
      </c>
      <c r="E257" s="170">
        <v>0</v>
      </c>
      <c r="F257" s="170">
        <v>0</v>
      </c>
      <c r="G257" s="170">
        <v>0</v>
      </c>
      <c r="H257" s="170">
        <v>0</v>
      </c>
      <c r="I257" s="170">
        <v>0</v>
      </c>
      <c r="J257" s="170">
        <v>0</v>
      </c>
      <c r="K257" s="148"/>
      <c r="L257" s="148"/>
      <c r="M257" s="148"/>
      <c r="N257" s="148"/>
      <c r="O257" s="148"/>
      <c r="P257" s="148"/>
    </row>
    <row r="258" spans="1:16" ht="15" customHeight="1" x14ac:dyDescent="0.2">
      <c r="A258" s="154">
        <v>2050</v>
      </c>
      <c r="B258" s="152"/>
      <c r="C258" s="183" t="s">
        <v>352</v>
      </c>
      <c r="D258" s="171" t="s">
        <v>76</v>
      </c>
      <c r="E258" s="171" t="s">
        <v>34</v>
      </c>
      <c r="F258" s="171" t="s">
        <v>34</v>
      </c>
      <c r="G258" s="171" t="s">
        <v>34</v>
      </c>
      <c r="H258" s="171" t="s">
        <v>34</v>
      </c>
      <c r="I258" s="171" t="s">
        <v>425</v>
      </c>
      <c r="J258" s="171" t="s">
        <v>439</v>
      </c>
      <c r="K258" s="148"/>
      <c r="L258" s="148"/>
      <c r="M258" s="148"/>
      <c r="N258" s="148"/>
      <c r="O258" s="148"/>
      <c r="P258" s="148"/>
    </row>
    <row r="259" spans="1:16" ht="15" customHeight="1" x14ac:dyDescent="0.2">
      <c r="A259" s="483">
        <v>0</v>
      </c>
      <c r="B259" s="152"/>
      <c r="C259" s="482">
        <v>0</v>
      </c>
      <c r="D259" s="174">
        <v>0</v>
      </c>
      <c r="E259" s="174">
        <v>0</v>
      </c>
      <c r="F259" s="174">
        <v>0</v>
      </c>
      <c r="G259" s="174">
        <v>0</v>
      </c>
      <c r="H259" s="174">
        <v>0</v>
      </c>
      <c r="I259" s="174">
        <v>0</v>
      </c>
      <c r="J259" s="174">
        <v>0</v>
      </c>
    </row>
    <row r="260" spans="1:16" ht="15" customHeight="1" x14ac:dyDescent="0.2">
      <c r="A260" s="152">
        <v>2141</v>
      </c>
      <c r="B260" s="152"/>
      <c r="C260" s="153" t="s">
        <v>353</v>
      </c>
      <c r="D260" s="174">
        <v>49</v>
      </c>
      <c r="E260" s="174">
        <v>26</v>
      </c>
      <c r="F260" s="174">
        <v>18</v>
      </c>
      <c r="G260" s="174">
        <v>8</v>
      </c>
      <c r="H260" s="174" t="s">
        <v>34</v>
      </c>
      <c r="I260" s="174" t="s">
        <v>34</v>
      </c>
      <c r="J260" s="174" t="s">
        <v>34</v>
      </c>
    </row>
    <row r="261" spans="1:16" ht="15" customHeight="1" x14ac:dyDescent="0.2">
      <c r="A261" s="483">
        <v>0</v>
      </c>
      <c r="B261" s="491"/>
      <c r="C261" s="158">
        <v>0</v>
      </c>
      <c r="D261" s="170">
        <v>0</v>
      </c>
      <c r="E261" s="170">
        <v>0</v>
      </c>
      <c r="F261" s="170">
        <v>0</v>
      </c>
      <c r="G261" s="170">
        <v>0</v>
      </c>
      <c r="H261" s="170">
        <v>0</v>
      </c>
      <c r="I261" s="170">
        <v>0</v>
      </c>
      <c r="J261" s="170">
        <v>0</v>
      </c>
    </row>
    <row r="262" spans="1:16" ht="15" customHeight="1" x14ac:dyDescent="0.2">
      <c r="A262" s="492">
        <v>3173</v>
      </c>
      <c r="B262" s="493"/>
      <c r="C262" s="153" t="s">
        <v>354</v>
      </c>
      <c r="D262" s="171" t="s">
        <v>76</v>
      </c>
      <c r="E262" s="171">
        <v>34</v>
      </c>
      <c r="F262" s="171">
        <v>27</v>
      </c>
      <c r="G262" s="171" t="s">
        <v>440</v>
      </c>
      <c r="H262" s="171">
        <v>24</v>
      </c>
      <c r="I262" s="171" t="s">
        <v>242</v>
      </c>
      <c r="J262" s="171" t="s">
        <v>34</v>
      </c>
    </row>
    <row r="263" spans="1:16" ht="15" customHeight="1" x14ac:dyDescent="0.2">
      <c r="A263" s="483">
        <v>0</v>
      </c>
      <c r="B263" s="483"/>
      <c r="C263" s="158">
        <v>0</v>
      </c>
      <c r="D263" s="170">
        <v>0</v>
      </c>
      <c r="E263" s="170">
        <v>0</v>
      </c>
      <c r="F263" s="170">
        <v>0</v>
      </c>
      <c r="G263" s="170">
        <v>0</v>
      </c>
      <c r="H263" s="170">
        <v>0</v>
      </c>
      <c r="I263" s="170">
        <v>0</v>
      </c>
      <c r="J263" s="170">
        <v>0</v>
      </c>
    </row>
    <row r="264" spans="1:16" ht="15" customHeight="1" x14ac:dyDescent="0.2">
      <c r="A264" s="152">
        <v>3187</v>
      </c>
      <c r="B264" s="152"/>
      <c r="C264" s="153" t="s">
        <v>355</v>
      </c>
      <c r="D264" s="171">
        <v>7</v>
      </c>
      <c r="E264" s="171" t="s">
        <v>34</v>
      </c>
      <c r="F264" s="171">
        <v>1</v>
      </c>
      <c r="G264" s="171">
        <v>16</v>
      </c>
      <c r="H264" s="171">
        <v>28</v>
      </c>
      <c r="I264" s="171" t="s">
        <v>236</v>
      </c>
      <c r="J264" s="171" t="s">
        <v>441</v>
      </c>
    </row>
    <row r="265" spans="1:16" ht="15" customHeight="1" x14ac:dyDescent="0.2">
      <c r="A265" s="470">
        <v>0</v>
      </c>
      <c r="B265" s="471"/>
      <c r="C265" s="472">
        <v>0</v>
      </c>
      <c r="D265" s="170">
        <v>0</v>
      </c>
      <c r="E265" s="170">
        <v>0</v>
      </c>
      <c r="F265" s="170">
        <v>0</v>
      </c>
      <c r="G265" s="170">
        <v>0</v>
      </c>
      <c r="H265" s="170">
        <v>0</v>
      </c>
      <c r="I265" s="170">
        <v>0</v>
      </c>
      <c r="J265" s="170">
        <v>0</v>
      </c>
      <c r="K265" s="148"/>
    </row>
    <row r="266" spans="1:16" ht="15" customHeight="1" x14ac:dyDescent="0.2">
      <c r="A266" s="473">
        <v>2591</v>
      </c>
      <c r="B266" s="474"/>
      <c r="C266" s="475" t="s">
        <v>356</v>
      </c>
      <c r="D266" s="171" t="s">
        <v>76</v>
      </c>
      <c r="E266" s="171" t="s">
        <v>34</v>
      </c>
      <c r="F266" s="171" t="s">
        <v>34</v>
      </c>
      <c r="G266" s="171" t="s">
        <v>34</v>
      </c>
      <c r="H266" s="171" t="s">
        <v>34</v>
      </c>
      <c r="I266" s="171" t="s">
        <v>401</v>
      </c>
      <c r="J266" s="171" t="s">
        <v>429</v>
      </c>
      <c r="K266" s="148"/>
    </row>
    <row r="267" spans="1:16" ht="15" customHeight="1" x14ac:dyDescent="0.2">
      <c r="A267" s="470">
        <v>0</v>
      </c>
      <c r="B267" s="471"/>
      <c r="C267" s="472">
        <v>0</v>
      </c>
      <c r="D267" s="170">
        <v>0</v>
      </c>
      <c r="E267" s="170">
        <v>0</v>
      </c>
      <c r="F267" s="170">
        <v>0</v>
      </c>
      <c r="G267" s="170">
        <v>0</v>
      </c>
      <c r="H267" s="170">
        <v>0</v>
      </c>
      <c r="I267" s="170">
        <v>0</v>
      </c>
      <c r="J267" s="170">
        <v>0</v>
      </c>
      <c r="K267" s="148"/>
    </row>
    <row r="268" spans="1:16" ht="15" customHeight="1" x14ac:dyDescent="0.2">
      <c r="A268" s="473">
        <v>2379</v>
      </c>
      <c r="B268" s="474"/>
      <c r="C268" s="475" t="s">
        <v>357</v>
      </c>
      <c r="D268" s="171" t="s">
        <v>76</v>
      </c>
      <c r="E268" s="171">
        <v>55</v>
      </c>
      <c r="F268" s="171">
        <v>31</v>
      </c>
      <c r="G268" s="171" t="s">
        <v>34</v>
      </c>
      <c r="H268" s="171" t="s">
        <v>34</v>
      </c>
      <c r="I268" s="171" t="s">
        <v>34</v>
      </c>
      <c r="J268" s="171" t="s">
        <v>399</v>
      </c>
      <c r="K268" s="148"/>
    </row>
    <row r="269" spans="1:16" ht="15" customHeight="1" x14ac:dyDescent="0.2">
      <c r="A269" s="152">
        <v>0</v>
      </c>
      <c r="B269" s="152"/>
      <c r="C269" s="158">
        <v>0</v>
      </c>
      <c r="D269" s="64">
        <v>0</v>
      </c>
      <c r="E269" s="64">
        <v>0</v>
      </c>
      <c r="F269" s="64">
        <v>0</v>
      </c>
      <c r="G269" s="64">
        <v>0</v>
      </c>
      <c r="H269" s="64">
        <v>0</v>
      </c>
      <c r="I269" s="64">
        <v>0</v>
      </c>
      <c r="J269" s="64">
        <v>0</v>
      </c>
      <c r="K269" s="148"/>
    </row>
    <row r="270" spans="1:16" ht="15" customHeight="1" x14ac:dyDescent="0.2">
      <c r="A270" s="154">
        <v>3176</v>
      </c>
      <c r="B270" s="154"/>
      <c r="C270" s="159" t="s">
        <v>358</v>
      </c>
      <c r="D270" s="66" t="s">
        <v>34</v>
      </c>
      <c r="E270" s="66" t="s">
        <v>76</v>
      </c>
      <c r="F270" s="66" t="s">
        <v>76</v>
      </c>
      <c r="G270" s="66" t="s">
        <v>76</v>
      </c>
      <c r="H270" s="66" t="s">
        <v>76</v>
      </c>
      <c r="I270" s="66" t="s">
        <v>34</v>
      </c>
      <c r="J270" s="66" t="s">
        <v>34</v>
      </c>
      <c r="K270" s="182"/>
    </row>
    <row r="271" spans="1:16" ht="15" customHeight="1" x14ac:dyDescent="0.2">
      <c r="A271" s="470">
        <v>0</v>
      </c>
      <c r="B271" s="152"/>
      <c r="C271" s="472">
        <v>0</v>
      </c>
      <c r="D271" s="64">
        <v>0</v>
      </c>
      <c r="E271" s="64">
        <v>0</v>
      </c>
      <c r="F271" s="64">
        <v>0</v>
      </c>
      <c r="G271" s="64">
        <v>0</v>
      </c>
      <c r="H271" s="64">
        <v>0</v>
      </c>
      <c r="I271" s="64">
        <v>0</v>
      </c>
      <c r="J271" s="64">
        <v>0</v>
      </c>
      <c r="K271" s="182"/>
    </row>
    <row r="272" spans="1:16" ht="15" customHeight="1" x14ac:dyDescent="0.2">
      <c r="A272" s="473">
        <v>2733</v>
      </c>
      <c r="B272" s="154"/>
      <c r="C272" s="475" t="s">
        <v>359</v>
      </c>
      <c r="D272" s="66" t="s">
        <v>34</v>
      </c>
      <c r="E272" s="66" t="s">
        <v>251</v>
      </c>
      <c r="F272" s="66" t="s">
        <v>251</v>
      </c>
      <c r="G272" s="66" t="s">
        <v>251</v>
      </c>
      <c r="H272" s="66" t="s">
        <v>251</v>
      </c>
      <c r="I272" s="66" t="s">
        <v>251</v>
      </c>
      <c r="J272" s="66" t="s">
        <v>251</v>
      </c>
      <c r="K272" s="182"/>
    </row>
    <row r="273" spans="1:11" ht="15" customHeight="1" x14ac:dyDescent="0.2">
      <c r="A273" s="483">
        <v>0</v>
      </c>
      <c r="B273" s="152"/>
      <c r="C273" s="158">
        <v>0</v>
      </c>
      <c r="D273" s="64">
        <v>0</v>
      </c>
      <c r="E273" s="64">
        <v>0</v>
      </c>
      <c r="F273" s="64">
        <v>0</v>
      </c>
      <c r="G273" s="64">
        <v>0</v>
      </c>
      <c r="H273" s="64">
        <v>0</v>
      </c>
      <c r="I273" s="64">
        <v>0</v>
      </c>
      <c r="J273" s="64">
        <v>0</v>
      </c>
      <c r="K273" s="182"/>
    </row>
    <row r="274" spans="1:11" ht="15" customHeight="1" x14ac:dyDescent="0.2">
      <c r="A274" s="152">
        <v>2240</v>
      </c>
      <c r="B274" s="154"/>
      <c r="C274" s="153" t="s">
        <v>360</v>
      </c>
      <c r="D274" s="66" t="s">
        <v>34</v>
      </c>
      <c r="E274" s="66" t="s">
        <v>34</v>
      </c>
      <c r="F274" s="66" t="s">
        <v>34</v>
      </c>
      <c r="G274" s="66" t="s">
        <v>77</v>
      </c>
      <c r="H274" s="66" t="s">
        <v>77</v>
      </c>
      <c r="I274" s="66" t="s">
        <v>77</v>
      </c>
      <c r="J274" s="66" t="s">
        <v>77</v>
      </c>
      <c r="K274" s="182"/>
    </row>
    <row r="275" spans="1:11" ht="15" customHeight="1" x14ac:dyDescent="0.2">
      <c r="A275" s="470">
        <v>0</v>
      </c>
      <c r="B275" s="471"/>
      <c r="C275" s="472">
        <v>0</v>
      </c>
      <c r="D275" s="64">
        <v>0</v>
      </c>
      <c r="E275" s="64">
        <v>0</v>
      </c>
      <c r="F275" s="64">
        <v>0</v>
      </c>
      <c r="G275" s="64">
        <v>0</v>
      </c>
      <c r="H275" s="64">
        <v>0</v>
      </c>
      <c r="I275" s="64">
        <v>0</v>
      </c>
      <c r="J275" s="64">
        <v>0</v>
      </c>
      <c r="K275" s="182"/>
    </row>
    <row r="276" spans="1:11" ht="15" customHeight="1" x14ac:dyDescent="0.2">
      <c r="A276" s="152">
        <v>714</v>
      </c>
      <c r="B276" s="152"/>
      <c r="C276" s="153" t="s">
        <v>361</v>
      </c>
      <c r="D276" s="66" t="s">
        <v>76</v>
      </c>
      <c r="E276" s="66" t="s">
        <v>34</v>
      </c>
      <c r="F276" s="66" t="s">
        <v>34</v>
      </c>
      <c r="G276" s="66" t="s">
        <v>34</v>
      </c>
      <c r="H276" s="66" t="s">
        <v>34</v>
      </c>
      <c r="I276" s="66" t="s">
        <v>432</v>
      </c>
      <c r="J276" s="66" t="s">
        <v>427</v>
      </c>
      <c r="K276" s="182"/>
    </row>
    <row r="277" spans="1:11" ht="15" customHeight="1" x14ac:dyDescent="0.2">
      <c r="A277" s="152">
        <v>0</v>
      </c>
      <c r="B277" s="152"/>
      <c r="C277" s="158">
        <v>0</v>
      </c>
      <c r="D277" s="64">
        <v>0</v>
      </c>
      <c r="E277" s="64">
        <v>0</v>
      </c>
      <c r="F277" s="64">
        <v>0</v>
      </c>
      <c r="G277" s="64">
        <v>0</v>
      </c>
      <c r="H277" s="64">
        <v>0</v>
      </c>
      <c r="I277" s="64">
        <v>0</v>
      </c>
      <c r="J277" s="64">
        <v>0</v>
      </c>
      <c r="K277" s="182"/>
    </row>
    <row r="278" spans="1:11" ht="15" customHeight="1" x14ac:dyDescent="0.2">
      <c r="A278" s="154">
        <v>2951</v>
      </c>
      <c r="B278" s="152"/>
      <c r="C278" s="183" t="s">
        <v>362</v>
      </c>
      <c r="D278" s="66" t="s">
        <v>76</v>
      </c>
      <c r="E278" s="66">
        <v>22</v>
      </c>
      <c r="F278" s="66">
        <v>50</v>
      </c>
      <c r="G278" s="66">
        <v>6</v>
      </c>
      <c r="H278" s="66" t="s">
        <v>34</v>
      </c>
      <c r="I278" s="66" t="s">
        <v>34</v>
      </c>
      <c r="J278" s="66" t="s">
        <v>34</v>
      </c>
      <c r="K278" s="182"/>
    </row>
    <row r="279" spans="1:11" ht="13.5" customHeight="1" x14ac:dyDescent="0.2">
      <c r="A279" s="152">
        <v>0</v>
      </c>
      <c r="B279" s="152"/>
      <c r="C279" s="153">
        <v>0</v>
      </c>
      <c r="D279" s="64">
        <v>0</v>
      </c>
      <c r="E279" s="64">
        <v>0</v>
      </c>
      <c r="F279" s="64">
        <v>0</v>
      </c>
      <c r="G279" s="64">
        <v>0</v>
      </c>
      <c r="H279" s="64">
        <v>0</v>
      </c>
      <c r="I279" s="64">
        <v>0</v>
      </c>
      <c r="J279" s="64">
        <v>0</v>
      </c>
      <c r="K279" s="182"/>
    </row>
    <row r="280" spans="1:11" ht="13.5" customHeight="1" x14ac:dyDescent="0.2">
      <c r="A280" s="152">
        <v>721</v>
      </c>
      <c r="B280" s="152"/>
      <c r="C280" s="153" t="s">
        <v>363</v>
      </c>
      <c r="D280" s="66" t="s">
        <v>76</v>
      </c>
      <c r="E280" s="66" t="s">
        <v>249</v>
      </c>
      <c r="F280" s="66" t="s">
        <v>249</v>
      </c>
      <c r="G280" s="66" t="s">
        <v>249</v>
      </c>
      <c r="H280" s="66" t="s">
        <v>249</v>
      </c>
      <c r="I280" s="66" t="s">
        <v>421</v>
      </c>
      <c r="J280" s="66" t="s">
        <v>34</v>
      </c>
      <c r="K280" s="182"/>
    </row>
    <row r="281" spans="1:11" ht="13.5" customHeight="1" x14ac:dyDescent="0.2">
      <c r="A281" s="152">
        <v>0</v>
      </c>
      <c r="B281" s="152"/>
      <c r="C281" s="158">
        <v>0</v>
      </c>
      <c r="D281" s="174">
        <v>0</v>
      </c>
      <c r="E281" s="174">
        <v>0</v>
      </c>
      <c r="F281" s="174">
        <v>0</v>
      </c>
      <c r="G281" s="64">
        <v>0</v>
      </c>
      <c r="H281" s="64">
        <v>0</v>
      </c>
      <c r="I281" s="64">
        <v>0</v>
      </c>
      <c r="J281" s="64">
        <v>0</v>
      </c>
      <c r="K281" s="182"/>
    </row>
    <row r="282" spans="1:11" ht="13.5" customHeight="1" thickBot="1" x14ac:dyDescent="0.25">
      <c r="A282" s="154">
        <v>368</v>
      </c>
      <c r="B282" s="518"/>
      <c r="C282" s="183" t="s">
        <v>364</v>
      </c>
      <c r="D282" s="171" t="s">
        <v>34</v>
      </c>
      <c r="E282" s="171" t="s">
        <v>34</v>
      </c>
      <c r="F282" s="171">
        <v>41</v>
      </c>
      <c r="G282" s="66">
        <v>34</v>
      </c>
      <c r="H282" s="66">
        <v>54</v>
      </c>
      <c r="I282" s="66" t="s">
        <v>414</v>
      </c>
      <c r="J282" s="66" t="s">
        <v>248</v>
      </c>
      <c r="K282" s="182"/>
    </row>
    <row r="283" spans="1:11" ht="13.5" customHeight="1" x14ac:dyDescent="0.2">
      <c r="A283" s="152">
        <v>0</v>
      </c>
      <c r="B283" s="152"/>
      <c r="C283" s="158">
        <v>0</v>
      </c>
      <c r="D283" s="174" t="s">
        <v>442</v>
      </c>
      <c r="E283" s="174">
        <v>0</v>
      </c>
      <c r="F283" s="174">
        <v>0</v>
      </c>
      <c r="G283" s="174">
        <v>0</v>
      </c>
      <c r="H283" s="174">
        <v>0</v>
      </c>
      <c r="I283" s="174">
        <v>0</v>
      </c>
      <c r="J283" s="174">
        <v>0</v>
      </c>
      <c r="K283" s="182"/>
    </row>
    <row r="284" spans="1:11" ht="13.5" customHeight="1" thickBot="1" x14ac:dyDescent="0.25">
      <c r="A284" s="154">
        <v>2246</v>
      </c>
      <c r="B284" s="518"/>
      <c r="C284" s="183" t="s">
        <v>365</v>
      </c>
      <c r="D284" s="174">
        <v>5</v>
      </c>
      <c r="E284" s="174" t="s">
        <v>34</v>
      </c>
      <c r="F284" s="174" t="s">
        <v>34</v>
      </c>
      <c r="G284" s="174">
        <v>40</v>
      </c>
      <c r="H284" s="174">
        <v>34</v>
      </c>
      <c r="I284" s="174" t="s">
        <v>443</v>
      </c>
      <c r="J284" s="174" t="s">
        <v>404</v>
      </c>
      <c r="K284" s="182"/>
    </row>
    <row r="285" spans="1:11" ht="15" customHeight="1" x14ac:dyDescent="0.2">
      <c r="A285" s="152">
        <v>0</v>
      </c>
      <c r="B285" s="152"/>
      <c r="C285" s="153">
        <v>0</v>
      </c>
      <c r="D285" s="149">
        <v>0</v>
      </c>
      <c r="E285" s="149">
        <v>0</v>
      </c>
      <c r="F285" s="149">
        <v>0</v>
      </c>
      <c r="G285" s="149">
        <v>0</v>
      </c>
      <c r="H285" s="149">
        <v>0</v>
      </c>
      <c r="I285" s="149">
        <v>0</v>
      </c>
      <c r="J285" s="149">
        <v>0</v>
      </c>
      <c r="K285" s="148"/>
    </row>
    <row r="286" spans="1:11" ht="15" customHeight="1" x14ac:dyDescent="0.2">
      <c r="A286" s="154">
        <v>2726</v>
      </c>
      <c r="B286" s="154"/>
      <c r="C286" s="183" t="s">
        <v>366</v>
      </c>
      <c r="D286" s="186">
        <v>60</v>
      </c>
      <c r="E286" s="186">
        <v>48</v>
      </c>
      <c r="F286" s="186">
        <v>47</v>
      </c>
      <c r="G286" s="186" t="s">
        <v>34</v>
      </c>
      <c r="H286" s="186" t="s">
        <v>34</v>
      </c>
      <c r="I286" s="186" t="s">
        <v>34</v>
      </c>
      <c r="J286" s="186" t="s">
        <v>445</v>
      </c>
      <c r="K286" s="148"/>
    </row>
    <row r="287" spans="1:11" ht="15" customHeight="1" x14ac:dyDescent="0.2">
      <c r="A287" s="519">
        <v>0</v>
      </c>
      <c r="B287" s="520"/>
      <c r="C287" s="521">
        <v>0</v>
      </c>
      <c r="D287" s="149">
        <v>0</v>
      </c>
      <c r="E287" s="149">
        <v>0</v>
      </c>
      <c r="F287" s="149">
        <v>0</v>
      </c>
      <c r="G287" s="149">
        <v>0</v>
      </c>
      <c r="H287" s="170">
        <v>0</v>
      </c>
      <c r="I287" s="170">
        <v>0</v>
      </c>
      <c r="J287" s="170">
        <v>0</v>
      </c>
      <c r="K287" s="148"/>
    </row>
    <row r="288" spans="1:11" ht="15" customHeight="1" x14ac:dyDescent="0.2">
      <c r="A288" s="522">
        <v>1548</v>
      </c>
      <c r="B288" s="520"/>
      <c r="C288" s="523" t="s">
        <v>367</v>
      </c>
      <c r="D288" s="151">
        <v>37</v>
      </c>
      <c r="E288" s="151">
        <v>27</v>
      </c>
      <c r="F288" s="151">
        <v>15</v>
      </c>
      <c r="G288" s="151">
        <v>50</v>
      </c>
      <c r="H288" s="171">
        <v>3</v>
      </c>
      <c r="I288" s="171" t="s">
        <v>34</v>
      </c>
      <c r="J288" s="171" t="s">
        <v>34</v>
      </c>
      <c r="K288" s="148"/>
    </row>
    <row r="289" spans="1:29" ht="15" customHeight="1" x14ac:dyDescent="0.2">
      <c r="A289" s="519">
        <v>0</v>
      </c>
      <c r="B289" s="520"/>
      <c r="C289" s="521">
        <v>0</v>
      </c>
      <c r="D289" s="516">
        <v>0</v>
      </c>
      <c r="E289" s="149">
        <v>0</v>
      </c>
      <c r="F289" s="149">
        <v>0</v>
      </c>
      <c r="G289" s="149">
        <v>0</v>
      </c>
      <c r="H289" s="170">
        <v>0</v>
      </c>
      <c r="I289" s="170">
        <v>0</v>
      </c>
      <c r="J289" s="170">
        <v>0</v>
      </c>
      <c r="K289" s="148"/>
      <c r="M289" s="423"/>
      <c r="N289" s="423"/>
      <c r="O289" s="423"/>
      <c r="P289" s="423"/>
      <c r="Q289" s="423"/>
      <c r="R289" s="423"/>
      <c r="S289" s="423"/>
      <c r="T289" s="423"/>
      <c r="U289" s="423"/>
      <c r="V289" s="423"/>
      <c r="W289" s="423"/>
      <c r="X289" s="423"/>
      <c r="Y289" s="423"/>
      <c r="Z289" s="423"/>
      <c r="AA289" s="423"/>
      <c r="AB289" s="423"/>
      <c r="AC289" s="423"/>
    </row>
    <row r="290" spans="1:29" ht="15" customHeight="1" x14ac:dyDescent="0.2">
      <c r="A290" s="522">
        <v>1067</v>
      </c>
      <c r="B290" s="520"/>
      <c r="C290" s="523" t="s">
        <v>368</v>
      </c>
      <c r="D290" s="171">
        <v>36</v>
      </c>
      <c r="E290" s="151">
        <v>60</v>
      </c>
      <c r="F290" s="151">
        <v>30</v>
      </c>
      <c r="G290" s="151">
        <v>21</v>
      </c>
      <c r="H290" s="171">
        <v>12</v>
      </c>
      <c r="I290" s="171" t="s">
        <v>413</v>
      </c>
      <c r="J290" s="171" t="s">
        <v>34</v>
      </c>
      <c r="K290" s="148"/>
      <c r="M290" s="423"/>
      <c r="N290" s="477"/>
      <c r="O290" s="477"/>
      <c r="P290" s="478"/>
      <c r="Q290" s="479"/>
      <c r="R290" s="479"/>
      <c r="S290" s="479"/>
      <c r="T290" s="479"/>
      <c r="U290" s="479"/>
      <c r="V290" s="479"/>
      <c r="W290" s="479"/>
      <c r="X290" s="423"/>
      <c r="Y290" s="423"/>
      <c r="Z290" s="423"/>
      <c r="AA290" s="423"/>
      <c r="AB290" s="423"/>
      <c r="AC290" s="423"/>
    </row>
    <row r="291" spans="1:29" ht="15" customHeight="1" x14ac:dyDescent="0.2">
      <c r="A291" s="519">
        <v>0</v>
      </c>
      <c r="B291" s="520"/>
      <c r="C291" s="521">
        <v>0</v>
      </c>
      <c r="D291" s="149">
        <v>0</v>
      </c>
      <c r="E291" s="149">
        <v>0</v>
      </c>
      <c r="F291" s="149">
        <v>0</v>
      </c>
      <c r="G291" s="149">
        <v>0</v>
      </c>
      <c r="H291" s="149">
        <v>0</v>
      </c>
      <c r="I291" s="149">
        <v>0</v>
      </c>
      <c r="J291" s="149">
        <v>0</v>
      </c>
      <c r="K291" s="148"/>
      <c r="M291" s="423"/>
      <c r="N291" s="477"/>
      <c r="O291" s="477"/>
      <c r="P291" s="478"/>
      <c r="Q291" s="479"/>
      <c r="R291" s="479"/>
      <c r="S291" s="479"/>
      <c r="T291" s="479"/>
      <c r="U291" s="479"/>
      <c r="V291" s="479"/>
      <c r="W291" s="479"/>
      <c r="X291" s="423"/>
      <c r="Y291" s="423"/>
      <c r="Z291" s="423"/>
      <c r="AA291" s="423"/>
      <c r="AB291" s="423"/>
      <c r="AC291" s="423"/>
    </row>
    <row r="292" spans="1:29" ht="15" customHeight="1" x14ac:dyDescent="0.2">
      <c r="A292" s="522">
        <v>3126</v>
      </c>
      <c r="B292" s="520"/>
      <c r="C292" s="523" t="s">
        <v>369</v>
      </c>
      <c r="D292" s="151" t="s">
        <v>34</v>
      </c>
      <c r="E292" s="151">
        <v>13</v>
      </c>
      <c r="F292" s="151">
        <v>59</v>
      </c>
      <c r="G292" s="151">
        <v>3</v>
      </c>
      <c r="H292" s="151">
        <v>20</v>
      </c>
      <c r="I292" s="151" t="s">
        <v>431</v>
      </c>
      <c r="J292" s="151" t="s">
        <v>409</v>
      </c>
      <c r="K292" s="148"/>
      <c r="M292" s="423"/>
      <c r="N292" s="423"/>
      <c r="O292" s="423"/>
      <c r="P292" s="423"/>
      <c r="Q292" s="423"/>
      <c r="R292" s="423"/>
      <c r="S292" s="423"/>
      <c r="T292" s="423"/>
      <c r="U292" s="423"/>
      <c r="V292" s="423"/>
      <c r="W292" s="423"/>
      <c r="X292" s="423"/>
      <c r="Y292" s="423"/>
      <c r="Z292" s="423"/>
      <c r="AA292" s="423"/>
      <c r="AB292" s="423"/>
      <c r="AC292" s="423"/>
    </row>
    <row r="293" spans="1:29" ht="15" customHeight="1" x14ac:dyDescent="0.2">
      <c r="A293" s="519">
        <v>0</v>
      </c>
      <c r="B293" s="520"/>
      <c r="C293" s="521">
        <v>0</v>
      </c>
      <c r="D293" s="149">
        <v>0</v>
      </c>
      <c r="E293" s="149">
        <v>0</v>
      </c>
      <c r="F293" s="149">
        <v>0</v>
      </c>
      <c r="G293" s="149">
        <v>0</v>
      </c>
      <c r="H293" s="149">
        <v>0</v>
      </c>
      <c r="I293" s="149">
        <v>0</v>
      </c>
      <c r="J293" s="149">
        <v>0</v>
      </c>
      <c r="K293" s="148"/>
      <c r="M293" s="423"/>
      <c r="N293" s="423"/>
      <c r="O293" s="423"/>
      <c r="P293" s="423"/>
      <c r="Q293" s="423"/>
      <c r="R293" s="423"/>
      <c r="S293" s="423"/>
      <c r="T293" s="423"/>
      <c r="U293" s="423"/>
      <c r="V293" s="423"/>
      <c r="W293" s="423"/>
      <c r="X293" s="423"/>
      <c r="Y293" s="423"/>
      <c r="Z293" s="423"/>
      <c r="AA293" s="423"/>
      <c r="AB293" s="423"/>
      <c r="AC293" s="423"/>
    </row>
    <row r="294" spans="1:29" ht="15" customHeight="1" x14ac:dyDescent="0.2">
      <c r="A294" s="522">
        <v>3663</v>
      </c>
      <c r="B294" s="520"/>
      <c r="C294" s="523" t="s">
        <v>370</v>
      </c>
      <c r="D294" s="151">
        <v>2</v>
      </c>
      <c r="E294" s="151" t="s">
        <v>34</v>
      </c>
      <c r="F294" s="151">
        <v>29</v>
      </c>
      <c r="G294" s="151" t="s">
        <v>34</v>
      </c>
      <c r="H294" s="151" t="s">
        <v>34</v>
      </c>
      <c r="I294" s="151" t="s">
        <v>34</v>
      </c>
      <c r="J294" s="151" t="s">
        <v>34</v>
      </c>
      <c r="K294" s="148"/>
    </row>
    <row r="295" spans="1:29" ht="15" customHeight="1" x14ac:dyDescent="0.2">
      <c r="A295" s="483">
        <v>0</v>
      </c>
      <c r="B295" s="152"/>
      <c r="C295" s="158">
        <v>0</v>
      </c>
      <c r="D295" s="149">
        <v>0</v>
      </c>
      <c r="E295" s="149">
        <v>0</v>
      </c>
      <c r="F295" s="149">
        <v>0</v>
      </c>
      <c r="G295" s="149">
        <v>0</v>
      </c>
      <c r="H295" s="149">
        <v>0</v>
      </c>
      <c r="I295" s="149">
        <v>0</v>
      </c>
      <c r="J295" s="149">
        <v>0</v>
      </c>
      <c r="K295" s="148"/>
    </row>
    <row r="296" spans="1:29" ht="15" customHeight="1" x14ac:dyDescent="0.2">
      <c r="A296" s="154">
        <v>3742</v>
      </c>
      <c r="B296" s="154"/>
      <c r="C296" s="159" t="s">
        <v>371</v>
      </c>
      <c r="D296" s="151">
        <v>40</v>
      </c>
      <c r="E296" s="151" t="s">
        <v>76</v>
      </c>
      <c r="F296" s="151" t="s">
        <v>76</v>
      </c>
      <c r="G296" s="151" t="s">
        <v>76</v>
      </c>
      <c r="H296" s="151" t="s">
        <v>76</v>
      </c>
      <c r="I296" s="151" t="s">
        <v>76</v>
      </c>
      <c r="J296" s="151" t="s">
        <v>34</v>
      </c>
      <c r="K296" s="148"/>
    </row>
    <row r="297" spans="1:29" ht="15" customHeight="1" x14ac:dyDescent="0.2">
      <c r="A297" s="483">
        <v>0</v>
      </c>
      <c r="B297" s="152"/>
      <c r="C297" s="158">
        <v>0</v>
      </c>
      <c r="D297" s="149">
        <v>0</v>
      </c>
      <c r="E297" s="149">
        <v>0</v>
      </c>
      <c r="F297" s="149">
        <v>0</v>
      </c>
      <c r="G297" s="149">
        <v>0</v>
      </c>
      <c r="H297" s="149">
        <v>0</v>
      </c>
      <c r="I297" s="149">
        <v>0</v>
      </c>
      <c r="J297" s="149">
        <v>0</v>
      </c>
    </row>
    <row r="298" spans="1:29" ht="15" customHeight="1" x14ac:dyDescent="0.2">
      <c r="A298" s="154">
        <v>3873</v>
      </c>
      <c r="B298" s="154"/>
      <c r="C298" s="159" t="s">
        <v>372</v>
      </c>
      <c r="D298" s="151" t="s">
        <v>34</v>
      </c>
      <c r="E298" s="151" t="s">
        <v>77</v>
      </c>
      <c r="F298" s="151" t="s">
        <v>77</v>
      </c>
      <c r="G298" s="151" t="s">
        <v>34</v>
      </c>
      <c r="H298" s="151" t="s">
        <v>34</v>
      </c>
      <c r="I298" s="151" t="s">
        <v>77</v>
      </c>
      <c r="J298" s="151" t="s">
        <v>34</v>
      </c>
    </row>
    <row r="299" spans="1:29" ht="15" customHeight="1" x14ac:dyDescent="0.2">
      <c r="A299" s="483">
        <v>0</v>
      </c>
      <c r="B299" s="483"/>
      <c r="C299" s="158">
        <v>0</v>
      </c>
      <c r="D299" s="149">
        <v>0</v>
      </c>
      <c r="E299" s="170">
        <v>0</v>
      </c>
      <c r="F299" s="170">
        <v>0</v>
      </c>
      <c r="G299" s="170">
        <v>0</v>
      </c>
      <c r="H299" s="170">
        <v>0</v>
      </c>
      <c r="I299" s="149">
        <v>0</v>
      </c>
      <c r="J299" s="149">
        <v>0</v>
      </c>
      <c r="K299" s="148"/>
    </row>
    <row r="300" spans="1:29" ht="15" customHeight="1" x14ac:dyDescent="0.2">
      <c r="A300" s="154">
        <v>3228</v>
      </c>
      <c r="B300" s="154"/>
      <c r="C300" s="183" t="s">
        <v>373</v>
      </c>
      <c r="D300" s="151">
        <v>57</v>
      </c>
      <c r="E300" s="171">
        <v>19</v>
      </c>
      <c r="F300" s="171" t="s">
        <v>440</v>
      </c>
      <c r="G300" s="171">
        <v>7</v>
      </c>
      <c r="H300" s="171" t="s">
        <v>34</v>
      </c>
      <c r="I300" s="151" t="s">
        <v>34</v>
      </c>
      <c r="J300" s="151" t="s">
        <v>34</v>
      </c>
      <c r="K300" s="148"/>
    </row>
    <row r="301" spans="1:29" ht="15" customHeight="1" x14ac:dyDescent="0.2">
      <c r="A301" s="519">
        <v>0</v>
      </c>
      <c r="B301" s="520"/>
      <c r="C301" s="521">
        <v>0</v>
      </c>
      <c r="D301" s="149">
        <v>0</v>
      </c>
      <c r="E301" s="149">
        <v>0</v>
      </c>
      <c r="F301" s="149">
        <v>0</v>
      </c>
      <c r="G301" s="149">
        <v>0</v>
      </c>
      <c r="H301" s="149">
        <v>0</v>
      </c>
      <c r="I301" s="149">
        <v>0</v>
      </c>
      <c r="J301" s="149">
        <v>0</v>
      </c>
    </row>
    <row r="302" spans="1:29" ht="15" customHeight="1" x14ac:dyDescent="0.2">
      <c r="A302" s="522">
        <v>3383</v>
      </c>
      <c r="B302" s="520"/>
      <c r="C302" s="523" t="s">
        <v>374</v>
      </c>
      <c r="D302" s="151">
        <v>47</v>
      </c>
      <c r="E302" s="151" t="s">
        <v>34</v>
      </c>
      <c r="F302" s="151" t="s">
        <v>34</v>
      </c>
      <c r="G302" s="151" t="s">
        <v>34</v>
      </c>
      <c r="H302" s="151">
        <v>32</v>
      </c>
      <c r="I302" s="151" t="s">
        <v>439</v>
      </c>
      <c r="J302" s="151" t="s">
        <v>407</v>
      </c>
    </row>
    <row r="303" spans="1:29" ht="15" customHeight="1" x14ac:dyDescent="0.2">
      <c r="A303" s="519">
        <v>0</v>
      </c>
      <c r="B303" s="520"/>
      <c r="C303" s="521">
        <v>0</v>
      </c>
      <c r="D303" s="516">
        <v>0</v>
      </c>
      <c r="E303" s="149">
        <v>0</v>
      </c>
      <c r="F303" s="149">
        <v>0</v>
      </c>
      <c r="G303" s="149">
        <v>0</v>
      </c>
      <c r="H303" s="149">
        <v>0</v>
      </c>
      <c r="I303" s="149">
        <v>0</v>
      </c>
      <c r="J303" s="149">
        <v>0</v>
      </c>
    </row>
    <row r="304" spans="1:29" ht="15" customHeight="1" x14ac:dyDescent="0.2">
      <c r="A304" s="522">
        <v>3426</v>
      </c>
      <c r="B304" s="520"/>
      <c r="C304" s="523" t="s">
        <v>375</v>
      </c>
      <c r="D304" s="171" t="s">
        <v>34</v>
      </c>
      <c r="E304" s="151">
        <v>45</v>
      </c>
      <c r="F304" s="151">
        <v>36</v>
      </c>
      <c r="G304" s="151">
        <v>31</v>
      </c>
      <c r="H304" s="151">
        <v>58</v>
      </c>
      <c r="I304" s="151" t="s">
        <v>446</v>
      </c>
      <c r="J304" s="151" t="s">
        <v>446</v>
      </c>
    </row>
    <row r="305" spans="1:13" ht="15" customHeight="1" x14ac:dyDescent="0.2">
      <c r="A305" s="152">
        <v>0</v>
      </c>
      <c r="B305" s="152"/>
      <c r="C305" s="153">
        <v>0</v>
      </c>
      <c r="D305" s="186">
        <v>0</v>
      </c>
      <c r="E305" s="186">
        <v>0</v>
      </c>
      <c r="F305" s="186">
        <v>0</v>
      </c>
      <c r="G305" s="186">
        <v>0</v>
      </c>
      <c r="H305" s="186">
        <v>0</v>
      </c>
      <c r="I305" s="186">
        <v>0</v>
      </c>
      <c r="J305" s="186">
        <v>0</v>
      </c>
    </row>
    <row r="306" spans="1:13" ht="15" customHeight="1" x14ac:dyDescent="0.2">
      <c r="A306" s="154">
        <v>3658</v>
      </c>
      <c r="B306" s="154"/>
      <c r="C306" s="159" t="s">
        <v>376</v>
      </c>
      <c r="D306" s="151" t="s">
        <v>76</v>
      </c>
      <c r="E306" s="151" t="s">
        <v>76</v>
      </c>
      <c r="F306" s="151" t="s">
        <v>34</v>
      </c>
      <c r="G306" s="151" t="s">
        <v>34</v>
      </c>
      <c r="H306" s="151">
        <v>1</v>
      </c>
      <c r="I306" s="151" t="s">
        <v>76</v>
      </c>
      <c r="J306" s="151" t="s">
        <v>76</v>
      </c>
    </row>
    <row r="307" spans="1:13" ht="15" customHeight="1" x14ac:dyDescent="0.2">
      <c r="A307" s="152">
        <v>0</v>
      </c>
      <c r="B307" s="152"/>
      <c r="C307" s="158">
        <v>0</v>
      </c>
      <c r="D307" s="170">
        <v>0</v>
      </c>
      <c r="E307" s="170">
        <v>0</v>
      </c>
      <c r="F307" s="170">
        <v>0</v>
      </c>
      <c r="G307" s="170">
        <v>0</v>
      </c>
      <c r="H307" s="170">
        <v>0</v>
      </c>
      <c r="I307" s="149">
        <v>0</v>
      </c>
      <c r="J307" s="149">
        <v>0</v>
      </c>
      <c r="M307" s="187"/>
    </row>
    <row r="308" spans="1:13" ht="15" customHeight="1" x14ac:dyDescent="0.2">
      <c r="A308" s="154">
        <v>3794</v>
      </c>
      <c r="B308" s="154"/>
      <c r="C308" s="159" t="s">
        <v>377</v>
      </c>
      <c r="D308" s="171" t="s">
        <v>34</v>
      </c>
      <c r="E308" s="171">
        <v>6</v>
      </c>
      <c r="F308" s="171" t="s">
        <v>34</v>
      </c>
      <c r="G308" s="171" t="s">
        <v>34</v>
      </c>
      <c r="H308" s="171" t="s">
        <v>34</v>
      </c>
      <c r="I308" s="151" t="s">
        <v>76</v>
      </c>
      <c r="J308" s="151" t="s">
        <v>76</v>
      </c>
      <c r="M308" s="187"/>
    </row>
    <row r="309" spans="1:13" ht="15" customHeight="1" x14ac:dyDescent="0.2">
      <c r="A309" s="152">
        <v>0</v>
      </c>
      <c r="B309" s="152"/>
      <c r="C309" s="158">
        <v>0</v>
      </c>
      <c r="D309" s="514">
        <v>0</v>
      </c>
      <c r="E309" s="514">
        <v>0</v>
      </c>
      <c r="F309" s="514">
        <v>0</v>
      </c>
      <c r="G309" s="514">
        <v>0</v>
      </c>
      <c r="H309" s="514">
        <v>0</v>
      </c>
      <c r="I309" s="514">
        <v>0</v>
      </c>
      <c r="J309" s="514">
        <v>0</v>
      </c>
      <c r="M309" s="187"/>
    </row>
    <row r="310" spans="1:13" ht="15" customHeight="1" x14ac:dyDescent="0.2">
      <c r="A310" s="154">
        <v>3203</v>
      </c>
      <c r="B310" s="154"/>
      <c r="C310" s="159" t="s">
        <v>378</v>
      </c>
      <c r="D310" s="515">
        <v>52</v>
      </c>
      <c r="E310" s="515" t="s">
        <v>34</v>
      </c>
      <c r="F310" s="515" t="s">
        <v>34</v>
      </c>
      <c r="G310" s="515" t="s">
        <v>34</v>
      </c>
      <c r="H310" s="515" t="s">
        <v>76</v>
      </c>
      <c r="I310" s="515" t="s">
        <v>76</v>
      </c>
      <c r="J310" s="515" t="s">
        <v>76</v>
      </c>
      <c r="M310" s="187"/>
    </row>
    <row r="311" spans="1:13" ht="15" customHeight="1" x14ac:dyDescent="0.2">
      <c r="A311" s="483">
        <v>0</v>
      </c>
      <c r="B311" s="152"/>
      <c r="C311" s="158">
        <v>0</v>
      </c>
      <c r="D311" s="186">
        <v>0</v>
      </c>
      <c r="E311" s="186">
        <v>0</v>
      </c>
      <c r="F311" s="186">
        <v>0</v>
      </c>
      <c r="G311" s="186">
        <v>0</v>
      </c>
      <c r="H311" s="186">
        <v>0</v>
      </c>
      <c r="I311" s="186">
        <v>0</v>
      </c>
      <c r="J311" s="186">
        <v>0</v>
      </c>
      <c r="M311" s="187"/>
    </row>
    <row r="312" spans="1:13" ht="15" customHeight="1" x14ac:dyDescent="0.2">
      <c r="A312" s="154">
        <v>3660</v>
      </c>
      <c r="B312" s="154"/>
      <c r="C312" s="159" t="s">
        <v>379</v>
      </c>
      <c r="D312" s="151">
        <v>4</v>
      </c>
      <c r="E312" s="151" t="s">
        <v>34</v>
      </c>
      <c r="F312" s="151" t="s">
        <v>34</v>
      </c>
      <c r="G312" s="151">
        <v>43</v>
      </c>
      <c r="H312" s="151" t="s">
        <v>34</v>
      </c>
      <c r="I312" s="151" t="s">
        <v>444</v>
      </c>
      <c r="J312" s="151" t="s">
        <v>435</v>
      </c>
      <c r="M312" s="187"/>
    </row>
    <row r="313" spans="1:13" ht="15" customHeight="1" x14ac:dyDescent="0.2">
      <c r="A313" s="152">
        <v>0</v>
      </c>
      <c r="B313" s="152"/>
      <c r="C313" s="158">
        <v>0</v>
      </c>
      <c r="D313" s="170">
        <v>0</v>
      </c>
      <c r="E313" s="170">
        <v>0</v>
      </c>
      <c r="F313" s="170">
        <v>0</v>
      </c>
      <c r="G313" s="170">
        <v>0</v>
      </c>
      <c r="H313" s="170">
        <v>0</v>
      </c>
      <c r="I313" s="170">
        <v>0</v>
      </c>
      <c r="J313" s="170">
        <v>0</v>
      </c>
      <c r="M313" s="187"/>
    </row>
    <row r="314" spans="1:13" ht="15" customHeight="1" x14ac:dyDescent="0.2">
      <c r="A314" s="154">
        <v>3127</v>
      </c>
      <c r="B314" s="154"/>
      <c r="C314" s="159" t="s">
        <v>380</v>
      </c>
      <c r="D314" s="171" t="s">
        <v>34</v>
      </c>
      <c r="E314" s="171" t="s">
        <v>34</v>
      </c>
      <c r="F314" s="171">
        <v>45</v>
      </c>
      <c r="G314" s="171">
        <v>54</v>
      </c>
      <c r="H314" s="171">
        <v>26</v>
      </c>
      <c r="I314" s="171" t="s">
        <v>240</v>
      </c>
      <c r="J314" s="171" t="s">
        <v>436</v>
      </c>
    </row>
    <row r="315" spans="1:13" ht="15" customHeight="1" x14ac:dyDescent="0.2">
      <c r="A315" s="483">
        <v>0</v>
      </c>
      <c r="B315" s="152"/>
      <c r="C315" s="559">
        <v>0</v>
      </c>
      <c r="D315" s="514">
        <v>0</v>
      </c>
      <c r="E315" s="514">
        <v>0</v>
      </c>
      <c r="F315" s="514">
        <v>0</v>
      </c>
      <c r="G315" s="514">
        <v>0</v>
      </c>
      <c r="H315" s="514">
        <v>0</v>
      </c>
      <c r="I315" s="514">
        <v>0</v>
      </c>
      <c r="J315" s="514">
        <v>0</v>
      </c>
    </row>
    <row r="316" spans="1:13" ht="15" customHeight="1" x14ac:dyDescent="0.2">
      <c r="A316" s="154">
        <v>3797</v>
      </c>
      <c r="B316" s="154"/>
      <c r="C316" s="159" t="s">
        <v>381</v>
      </c>
      <c r="D316" s="515">
        <v>24</v>
      </c>
      <c r="E316" s="515">
        <v>59</v>
      </c>
      <c r="F316" s="515">
        <v>24</v>
      </c>
      <c r="G316" s="515">
        <v>52</v>
      </c>
      <c r="H316" s="515">
        <v>6</v>
      </c>
      <c r="I316" s="515" t="s">
        <v>34</v>
      </c>
      <c r="J316" s="515" t="s">
        <v>34</v>
      </c>
    </row>
    <row r="317" spans="1:13" ht="15" customHeight="1" x14ac:dyDescent="0.2">
      <c r="A317" s="152">
        <v>0</v>
      </c>
      <c r="B317" s="152"/>
      <c r="C317" s="158">
        <v>0</v>
      </c>
      <c r="D317" s="170">
        <v>0</v>
      </c>
      <c r="E317" s="170">
        <v>0</v>
      </c>
      <c r="F317" s="170">
        <v>0</v>
      </c>
      <c r="G317" s="170">
        <v>0</v>
      </c>
      <c r="H317" s="170">
        <v>0</v>
      </c>
      <c r="I317" s="170">
        <v>0</v>
      </c>
      <c r="J317" s="170">
        <v>0</v>
      </c>
    </row>
    <row r="318" spans="1:13" ht="15" customHeight="1" thickBot="1" x14ac:dyDescent="0.25">
      <c r="A318" s="154">
        <v>3760</v>
      </c>
      <c r="B318" s="154"/>
      <c r="C318" s="159" t="s">
        <v>382</v>
      </c>
      <c r="D318" s="171" t="s">
        <v>34</v>
      </c>
      <c r="E318" s="171" t="s">
        <v>34</v>
      </c>
      <c r="F318" s="171" t="s">
        <v>34</v>
      </c>
      <c r="G318" s="171">
        <v>45</v>
      </c>
      <c r="H318" s="171">
        <v>53</v>
      </c>
      <c r="I318" s="171" t="s">
        <v>34</v>
      </c>
      <c r="J318" s="171" t="s">
        <v>34</v>
      </c>
    </row>
    <row r="319" spans="1:13" ht="15" customHeight="1" thickTop="1" x14ac:dyDescent="0.2">
      <c r="A319" s="137"/>
      <c r="B319" s="137"/>
      <c r="C319" s="138"/>
      <c r="D319" s="179" t="s">
        <v>26</v>
      </c>
      <c r="E319" s="179" t="s">
        <v>27</v>
      </c>
      <c r="F319" s="179" t="s">
        <v>28</v>
      </c>
      <c r="G319" s="179" t="s">
        <v>115</v>
      </c>
      <c r="H319" s="179" t="s">
        <v>30</v>
      </c>
      <c r="I319" s="179" t="s">
        <v>116</v>
      </c>
      <c r="J319" s="180" t="s">
        <v>32</v>
      </c>
    </row>
    <row r="320" spans="1:13" ht="15" customHeight="1" thickBot="1" x14ac:dyDescent="0.25">
      <c r="A320" s="141" t="s">
        <v>35</v>
      </c>
      <c r="B320" s="142"/>
      <c r="C320" s="143" t="s">
        <v>33</v>
      </c>
      <c r="D320" s="144">
        <f>DATE(YEAR(FECHA!$C$3),MONTH(FECHA!$C$3),DAY(FECHA!$C$3))</f>
        <v>45908</v>
      </c>
      <c r="E320" s="144">
        <f>D320+1</f>
        <v>45909</v>
      </c>
      <c r="F320" s="144">
        <f t="shared" ref="F320" si="16">E320+1</f>
        <v>45910</v>
      </c>
      <c r="G320" s="144">
        <f t="shared" ref="G320" si="17">F320+1</f>
        <v>45911</v>
      </c>
      <c r="H320" s="144">
        <f t="shared" ref="H320" si="18">G320+1</f>
        <v>45912</v>
      </c>
      <c r="I320" s="144">
        <f t="shared" ref="I320" si="19">H320+1</f>
        <v>45913</v>
      </c>
      <c r="J320" s="144">
        <f t="shared" ref="J320" si="20">I320+1</f>
        <v>45914</v>
      </c>
    </row>
    <row r="321" spans="1:10" ht="18" customHeight="1" thickTop="1" x14ac:dyDescent="0.2">
      <c r="A321" s="152">
        <v>0</v>
      </c>
      <c r="B321" s="152"/>
      <c r="C321" s="153">
        <v>0</v>
      </c>
      <c r="D321" s="149">
        <v>0</v>
      </c>
      <c r="E321" s="149">
        <v>0</v>
      </c>
      <c r="F321" s="149">
        <v>0</v>
      </c>
      <c r="G321" s="149">
        <v>0</v>
      </c>
      <c r="H321" s="149">
        <v>0</v>
      </c>
      <c r="I321" s="149">
        <v>0</v>
      </c>
      <c r="J321" s="149">
        <v>0</v>
      </c>
    </row>
    <row r="322" spans="1:10" ht="15" customHeight="1" x14ac:dyDescent="0.2">
      <c r="A322" s="154">
        <v>3876</v>
      </c>
      <c r="B322" s="154"/>
      <c r="C322" s="159" t="s">
        <v>383</v>
      </c>
      <c r="D322" s="151">
        <v>31</v>
      </c>
      <c r="E322" s="151" t="s">
        <v>34</v>
      </c>
      <c r="F322" s="151" t="s">
        <v>34</v>
      </c>
      <c r="G322" s="151" t="s">
        <v>34</v>
      </c>
      <c r="H322" s="151">
        <v>45</v>
      </c>
      <c r="I322" s="151" t="s">
        <v>420</v>
      </c>
      <c r="J322" s="151" t="s">
        <v>443</v>
      </c>
    </row>
    <row r="323" spans="1:10" ht="15" customHeight="1" x14ac:dyDescent="0.2">
      <c r="A323" s="483">
        <v>0</v>
      </c>
      <c r="B323" s="152"/>
      <c r="C323" s="158">
        <v>0</v>
      </c>
      <c r="D323" s="149">
        <v>0</v>
      </c>
      <c r="E323" s="149">
        <v>0</v>
      </c>
      <c r="F323" s="149">
        <v>0</v>
      </c>
      <c r="G323" s="149">
        <v>0</v>
      </c>
      <c r="H323" s="149">
        <v>0</v>
      </c>
      <c r="I323" s="149">
        <v>0</v>
      </c>
      <c r="J323" s="149">
        <v>0</v>
      </c>
    </row>
    <row r="324" spans="1:10" ht="15" customHeight="1" x14ac:dyDescent="0.2">
      <c r="A324" s="154">
        <v>3791</v>
      </c>
      <c r="B324" s="154"/>
      <c r="C324" s="159" t="s">
        <v>384</v>
      </c>
      <c r="D324" s="151" t="s">
        <v>34</v>
      </c>
      <c r="E324" s="151">
        <v>46</v>
      </c>
      <c r="F324" s="151">
        <v>48</v>
      </c>
      <c r="G324" s="151">
        <v>27</v>
      </c>
      <c r="H324" s="151">
        <v>46</v>
      </c>
      <c r="I324" s="151" t="s">
        <v>445</v>
      </c>
      <c r="J324" s="151" t="s">
        <v>76</v>
      </c>
    </row>
    <row r="325" spans="1:10" ht="15" customHeight="1" x14ac:dyDescent="0.2">
      <c r="A325" s="483">
        <v>0</v>
      </c>
      <c r="B325" s="152"/>
      <c r="C325" s="158">
        <v>0</v>
      </c>
      <c r="D325" s="186">
        <v>0</v>
      </c>
      <c r="E325" s="186">
        <v>0</v>
      </c>
      <c r="F325" s="186">
        <v>0</v>
      </c>
      <c r="G325" s="186">
        <v>0</v>
      </c>
      <c r="H325" s="186">
        <v>0</v>
      </c>
      <c r="I325" s="186">
        <v>0</v>
      </c>
      <c r="J325" s="186">
        <v>0</v>
      </c>
    </row>
    <row r="326" spans="1:10" ht="18" x14ac:dyDescent="0.2">
      <c r="A326" s="154">
        <v>3875</v>
      </c>
      <c r="B326" s="154"/>
      <c r="C326" s="159" t="s">
        <v>385</v>
      </c>
      <c r="D326" s="151">
        <v>35</v>
      </c>
      <c r="E326" s="151" t="s">
        <v>76</v>
      </c>
      <c r="F326" s="151" t="s">
        <v>76</v>
      </c>
      <c r="G326" s="151" t="s">
        <v>34</v>
      </c>
      <c r="H326" s="151" t="s">
        <v>34</v>
      </c>
      <c r="I326" s="151" t="s">
        <v>34</v>
      </c>
      <c r="J326" s="151" t="s">
        <v>76</v>
      </c>
    </row>
    <row r="327" spans="1:10" ht="18" x14ac:dyDescent="0.2">
      <c r="A327" s="483">
        <v>0</v>
      </c>
      <c r="B327" s="152"/>
      <c r="C327" s="158">
        <v>0</v>
      </c>
      <c r="D327" s="149">
        <v>0</v>
      </c>
      <c r="E327" s="149">
        <v>0</v>
      </c>
      <c r="F327" s="149">
        <v>0</v>
      </c>
      <c r="G327" s="149">
        <v>0</v>
      </c>
      <c r="H327" s="149">
        <v>0</v>
      </c>
      <c r="I327" s="149">
        <v>0</v>
      </c>
      <c r="J327" s="149">
        <v>0</v>
      </c>
    </row>
    <row r="328" spans="1:10" ht="18" x14ac:dyDescent="0.2">
      <c r="A328" s="154">
        <v>3381</v>
      </c>
      <c r="B328" s="154"/>
      <c r="C328" s="159" t="s">
        <v>386</v>
      </c>
      <c r="D328" s="151" t="s">
        <v>34</v>
      </c>
      <c r="E328" s="151">
        <v>43</v>
      </c>
      <c r="F328" s="151">
        <v>32</v>
      </c>
      <c r="G328" s="151">
        <v>53</v>
      </c>
      <c r="H328" s="151">
        <v>18</v>
      </c>
      <c r="I328" s="151" t="s">
        <v>441</v>
      </c>
      <c r="J328" s="151" t="s">
        <v>238</v>
      </c>
    </row>
    <row r="329" spans="1:10" ht="18" x14ac:dyDescent="0.2">
      <c r="A329" s="483">
        <v>0</v>
      </c>
      <c r="B329" s="152"/>
      <c r="C329" s="158">
        <v>0</v>
      </c>
      <c r="D329" s="186">
        <v>0</v>
      </c>
      <c r="E329" s="186">
        <v>0</v>
      </c>
      <c r="F329" s="186">
        <v>0</v>
      </c>
      <c r="G329" s="186">
        <v>0</v>
      </c>
      <c r="H329" s="186">
        <v>0</v>
      </c>
      <c r="I329" s="186">
        <v>0</v>
      </c>
      <c r="J329" s="186">
        <v>0</v>
      </c>
    </row>
    <row r="330" spans="1:10" ht="18" x14ac:dyDescent="0.2">
      <c r="A330" s="154">
        <v>3740</v>
      </c>
      <c r="B330" s="154"/>
      <c r="C330" s="159" t="s">
        <v>387</v>
      </c>
      <c r="D330" s="151" t="s">
        <v>34</v>
      </c>
      <c r="E330" s="151" t="s">
        <v>34</v>
      </c>
      <c r="F330" s="151">
        <v>22</v>
      </c>
      <c r="G330" s="151">
        <v>11</v>
      </c>
      <c r="H330" s="151">
        <v>2</v>
      </c>
      <c r="I330" s="151" t="s">
        <v>437</v>
      </c>
      <c r="J330" s="151" t="s">
        <v>434</v>
      </c>
    </row>
    <row r="331" spans="1:10" ht="18" x14ac:dyDescent="0.2">
      <c r="A331" s="483">
        <v>0</v>
      </c>
      <c r="B331" s="152"/>
      <c r="C331" s="158">
        <v>0</v>
      </c>
      <c r="D331" s="149">
        <v>0</v>
      </c>
      <c r="E331" s="149">
        <v>0</v>
      </c>
      <c r="F331" s="149">
        <v>0</v>
      </c>
      <c r="G331" s="149">
        <v>0</v>
      </c>
      <c r="H331" s="149">
        <v>0</v>
      </c>
      <c r="I331" s="149">
        <v>0</v>
      </c>
      <c r="J331" s="149">
        <v>0</v>
      </c>
    </row>
    <row r="332" spans="1:10" ht="18" x14ac:dyDescent="0.2">
      <c r="A332" s="154">
        <v>3382</v>
      </c>
      <c r="B332" s="154"/>
      <c r="C332" s="159" t="s">
        <v>388</v>
      </c>
      <c r="D332" s="151">
        <v>13</v>
      </c>
      <c r="E332" s="151" t="s">
        <v>34</v>
      </c>
      <c r="F332" s="151">
        <v>16</v>
      </c>
      <c r="G332" s="151" t="s">
        <v>34</v>
      </c>
      <c r="H332" s="151">
        <v>17</v>
      </c>
      <c r="I332" s="151" t="s">
        <v>34</v>
      </c>
      <c r="J332" s="151" t="s">
        <v>34</v>
      </c>
    </row>
    <row r="333" spans="1:10" ht="18" x14ac:dyDescent="0.2">
      <c r="A333" s="483">
        <v>0</v>
      </c>
      <c r="B333" s="152"/>
      <c r="C333" s="158">
        <v>0</v>
      </c>
      <c r="D333" s="186">
        <v>0</v>
      </c>
      <c r="E333" s="186">
        <v>0</v>
      </c>
      <c r="F333" s="186">
        <v>0</v>
      </c>
      <c r="G333" s="186">
        <v>0</v>
      </c>
      <c r="H333" s="186">
        <v>0</v>
      </c>
      <c r="I333" s="186">
        <v>0</v>
      </c>
      <c r="J333" s="186">
        <v>0</v>
      </c>
    </row>
    <row r="334" spans="1:10" ht="18" x14ac:dyDescent="0.2">
      <c r="A334" s="154">
        <v>3209</v>
      </c>
      <c r="B334" s="154"/>
      <c r="C334" s="159" t="s">
        <v>389</v>
      </c>
      <c r="D334" s="151" t="s">
        <v>76</v>
      </c>
      <c r="E334" s="151">
        <v>35</v>
      </c>
      <c r="F334" s="151">
        <v>54</v>
      </c>
      <c r="G334" s="151">
        <v>24</v>
      </c>
      <c r="H334" s="151">
        <v>50</v>
      </c>
      <c r="I334" s="151" t="s">
        <v>34</v>
      </c>
      <c r="J334" s="151" t="s">
        <v>34</v>
      </c>
    </row>
    <row r="335" spans="1:10" ht="18" x14ac:dyDescent="0.2">
      <c r="A335" s="483">
        <v>0</v>
      </c>
      <c r="B335" s="152"/>
      <c r="C335" s="158">
        <v>0</v>
      </c>
      <c r="D335" s="149">
        <v>0</v>
      </c>
      <c r="E335" s="149">
        <v>0</v>
      </c>
      <c r="F335" s="149">
        <v>0</v>
      </c>
      <c r="G335" s="149">
        <v>0</v>
      </c>
      <c r="H335" s="149">
        <v>0</v>
      </c>
      <c r="I335" s="149">
        <v>0</v>
      </c>
      <c r="J335" s="149">
        <v>0</v>
      </c>
    </row>
    <row r="336" spans="1:10" ht="18" x14ac:dyDescent="0.2">
      <c r="A336" s="154">
        <v>3104</v>
      </c>
      <c r="B336" s="154"/>
      <c r="C336" s="159" t="s">
        <v>228</v>
      </c>
      <c r="D336" s="151">
        <v>54</v>
      </c>
      <c r="E336" s="151">
        <v>28</v>
      </c>
      <c r="F336" s="151" t="s">
        <v>34</v>
      </c>
      <c r="G336" s="151" t="s">
        <v>34</v>
      </c>
      <c r="H336" s="151" t="s">
        <v>34</v>
      </c>
      <c r="I336" s="151" t="s">
        <v>34</v>
      </c>
      <c r="J336" s="151" t="s">
        <v>34</v>
      </c>
    </row>
    <row r="337" spans="1:10" ht="18" x14ac:dyDescent="0.2">
      <c r="A337" s="483">
        <v>0</v>
      </c>
      <c r="B337" s="152"/>
      <c r="C337" s="158">
        <v>0</v>
      </c>
      <c r="D337" s="186">
        <v>0</v>
      </c>
      <c r="E337" s="186">
        <v>0</v>
      </c>
      <c r="F337" s="186">
        <v>0</v>
      </c>
      <c r="G337" s="186">
        <v>0</v>
      </c>
      <c r="H337" s="186">
        <v>0</v>
      </c>
      <c r="I337" s="186">
        <v>0</v>
      </c>
      <c r="J337" s="186">
        <v>0</v>
      </c>
    </row>
    <row r="338" spans="1:10" ht="18" x14ac:dyDescent="0.2">
      <c r="A338" s="154">
        <v>3900</v>
      </c>
      <c r="B338" s="154"/>
      <c r="C338" s="159" t="s">
        <v>390</v>
      </c>
      <c r="D338" s="151">
        <v>26</v>
      </c>
      <c r="E338" s="151" t="s">
        <v>34</v>
      </c>
      <c r="F338" s="151" t="s">
        <v>34</v>
      </c>
      <c r="G338" s="151" t="s">
        <v>34</v>
      </c>
      <c r="H338" s="151">
        <v>47</v>
      </c>
      <c r="I338" s="151" t="s">
        <v>408</v>
      </c>
      <c r="J338" s="151" t="s">
        <v>403</v>
      </c>
    </row>
    <row r="339" spans="1:10" ht="18" x14ac:dyDescent="0.2">
      <c r="A339" s="483">
        <v>0</v>
      </c>
      <c r="B339" s="152"/>
      <c r="C339" s="158">
        <v>0</v>
      </c>
      <c r="D339" s="149">
        <v>0</v>
      </c>
      <c r="E339" s="149">
        <v>0</v>
      </c>
      <c r="F339" s="149">
        <v>0</v>
      </c>
      <c r="G339" s="149">
        <v>0</v>
      </c>
      <c r="H339" s="149">
        <v>0</v>
      </c>
      <c r="I339" s="149">
        <v>0</v>
      </c>
      <c r="J339" s="149">
        <v>0</v>
      </c>
    </row>
    <row r="340" spans="1:10" ht="18" x14ac:dyDescent="0.2">
      <c r="A340" s="154">
        <v>3795</v>
      </c>
      <c r="B340" s="154"/>
      <c r="C340" s="159" t="s">
        <v>391</v>
      </c>
      <c r="D340" s="151">
        <v>38</v>
      </c>
      <c r="E340" s="151" t="s">
        <v>34</v>
      </c>
      <c r="F340" s="151">
        <v>55</v>
      </c>
      <c r="G340" s="151" t="s">
        <v>34</v>
      </c>
      <c r="H340" s="151" t="s">
        <v>34</v>
      </c>
      <c r="I340" s="151" t="s">
        <v>34</v>
      </c>
      <c r="J340" s="151" t="s">
        <v>34</v>
      </c>
    </row>
    <row r="341" spans="1:10" ht="18" x14ac:dyDescent="0.2">
      <c r="A341" s="483"/>
      <c r="B341" s="152"/>
      <c r="C341" s="158"/>
      <c r="D341" s="186">
        <v>0</v>
      </c>
      <c r="E341" s="186">
        <v>0</v>
      </c>
      <c r="F341" s="186">
        <v>0</v>
      </c>
      <c r="G341" s="186">
        <v>0</v>
      </c>
      <c r="H341" s="186">
        <v>0</v>
      </c>
      <c r="I341" s="186">
        <v>0</v>
      </c>
      <c r="J341" s="186">
        <v>0</v>
      </c>
    </row>
    <row r="342" spans="1:10" ht="18" x14ac:dyDescent="0.2">
      <c r="A342" s="154">
        <v>3385</v>
      </c>
      <c r="B342" s="154"/>
      <c r="C342" s="159" t="s">
        <v>450</v>
      </c>
      <c r="D342" s="151">
        <v>11</v>
      </c>
      <c r="E342" s="151">
        <v>5</v>
      </c>
      <c r="F342" s="151" t="s">
        <v>34</v>
      </c>
      <c r="G342" s="151" t="s">
        <v>34</v>
      </c>
      <c r="H342" s="151" t="s">
        <v>34</v>
      </c>
      <c r="I342" s="151" t="s">
        <v>34</v>
      </c>
      <c r="J342" s="151" t="s">
        <v>402</v>
      </c>
    </row>
    <row r="343" spans="1:10" ht="18" x14ac:dyDescent="0.2">
      <c r="A343" s="483"/>
      <c r="B343" s="152"/>
      <c r="C343" s="158"/>
      <c r="D343" s="149"/>
      <c r="E343" s="149"/>
      <c r="F343" s="149"/>
      <c r="G343" s="149"/>
      <c r="H343" s="149"/>
      <c r="I343" s="149"/>
      <c r="J343" s="149"/>
    </row>
    <row r="344" spans="1:10" ht="18" x14ac:dyDescent="0.2">
      <c r="A344" s="154"/>
      <c r="B344" s="154"/>
      <c r="C344" s="159"/>
      <c r="D344" s="151"/>
      <c r="E344" s="151"/>
      <c r="F344" s="151"/>
      <c r="G344" s="151"/>
      <c r="H344" s="151"/>
      <c r="I344" s="151"/>
      <c r="J344" s="151"/>
    </row>
    <row r="345" spans="1:10" ht="18" x14ac:dyDescent="0.2">
      <c r="A345" s="483"/>
      <c r="B345" s="152"/>
      <c r="C345" s="158"/>
      <c r="D345" s="186"/>
      <c r="E345" s="186"/>
      <c r="F345" s="186"/>
      <c r="G345" s="186"/>
      <c r="H345" s="186"/>
      <c r="I345" s="186"/>
      <c r="J345" s="186"/>
    </row>
    <row r="346" spans="1:10" ht="18" x14ac:dyDescent="0.2">
      <c r="A346" s="154"/>
      <c r="B346" s="154"/>
      <c r="C346" s="159"/>
      <c r="D346" s="151"/>
      <c r="E346" s="151"/>
      <c r="F346" s="151"/>
      <c r="G346" s="151"/>
      <c r="H346" s="151"/>
      <c r="I346" s="151"/>
      <c r="J346" s="151"/>
    </row>
    <row r="347" spans="1:10" ht="18" x14ac:dyDescent="0.2">
      <c r="A347" s="483"/>
      <c r="B347" s="152"/>
      <c r="C347" s="158"/>
      <c r="D347" s="149"/>
      <c r="E347" s="149"/>
      <c r="F347" s="149"/>
      <c r="G347" s="149"/>
      <c r="H347" s="149"/>
      <c r="I347" s="149"/>
      <c r="J347" s="149"/>
    </row>
    <row r="348" spans="1:10" ht="18" x14ac:dyDescent="0.2">
      <c r="A348" s="154"/>
      <c r="B348" s="154"/>
      <c r="C348" s="159"/>
      <c r="D348" s="151"/>
      <c r="E348" s="151"/>
      <c r="F348" s="151"/>
      <c r="G348" s="151"/>
      <c r="H348" s="151"/>
      <c r="I348" s="151"/>
      <c r="J348" s="151"/>
    </row>
    <row r="349" spans="1:10" ht="18" x14ac:dyDescent="0.2">
      <c r="A349" s="483"/>
      <c r="B349" s="152"/>
      <c r="C349" s="158"/>
      <c r="D349" s="186"/>
      <c r="E349" s="186"/>
      <c r="F349" s="186"/>
      <c r="G349" s="186"/>
      <c r="H349" s="186"/>
      <c r="I349" s="186"/>
      <c r="J349" s="186"/>
    </row>
    <row r="350" spans="1:10" ht="18" x14ac:dyDescent="0.2">
      <c r="A350" s="154"/>
      <c r="B350" s="154"/>
      <c r="C350" s="159"/>
      <c r="D350" s="185"/>
      <c r="E350" s="185"/>
      <c r="F350" s="185"/>
      <c r="G350" s="185"/>
      <c r="H350" s="185"/>
      <c r="I350" s="185"/>
      <c r="J350" s="185"/>
    </row>
    <row r="351" spans="1:10" ht="18" x14ac:dyDescent="0.2">
      <c r="A351" s="483"/>
      <c r="B351" s="152"/>
      <c r="C351" s="158"/>
      <c r="D351" s="149"/>
      <c r="E351" s="149"/>
      <c r="F351" s="149"/>
      <c r="G351" s="149"/>
      <c r="H351" s="149"/>
      <c r="I351" s="149"/>
      <c r="J351" s="149"/>
    </row>
    <row r="352" spans="1:10" ht="18" x14ac:dyDescent="0.2">
      <c r="A352" s="154"/>
      <c r="B352" s="154"/>
      <c r="C352" s="159"/>
      <c r="D352" s="151"/>
      <c r="E352" s="151"/>
      <c r="F352" s="151"/>
      <c r="G352" s="151"/>
      <c r="H352" s="151"/>
      <c r="I352" s="151"/>
      <c r="J352" s="151"/>
    </row>
    <row r="353" spans="1:10" ht="18" x14ac:dyDescent="0.2">
      <c r="A353" s="483"/>
      <c r="B353" s="152"/>
      <c r="C353" s="158"/>
      <c r="D353" s="184"/>
      <c r="E353" s="184"/>
      <c r="F353" s="184"/>
      <c r="G353" s="184"/>
      <c r="H353" s="184"/>
      <c r="I353" s="184"/>
      <c r="J353" s="184"/>
    </row>
    <row r="354" spans="1:10" ht="18" x14ac:dyDescent="0.2">
      <c r="A354" s="154"/>
      <c r="B354" s="154"/>
      <c r="C354" s="159"/>
      <c r="D354" s="185"/>
      <c r="E354" s="185"/>
      <c r="F354" s="185"/>
      <c r="G354" s="185"/>
      <c r="H354" s="185"/>
      <c r="I354" s="185"/>
      <c r="J354" s="185"/>
    </row>
    <row r="355" spans="1:10" ht="18" x14ac:dyDescent="0.2">
      <c r="A355" s="483"/>
      <c r="B355" s="152"/>
      <c r="C355" s="158"/>
      <c r="D355" s="149"/>
      <c r="E355" s="149"/>
      <c r="F355" s="149"/>
      <c r="G355" s="149"/>
      <c r="H355" s="149"/>
      <c r="I355" s="149"/>
      <c r="J355" s="149"/>
    </row>
    <row r="356" spans="1:10" ht="18" x14ac:dyDescent="0.2">
      <c r="A356" s="154"/>
      <c r="B356" s="154"/>
      <c r="C356" s="159"/>
      <c r="D356" s="151"/>
      <c r="E356" s="151"/>
      <c r="F356" s="151"/>
      <c r="G356" s="151"/>
      <c r="H356" s="151"/>
      <c r="I356" s="151"/>
      <c r="J356" s="151"/>
    </row>
    <row r="357" spans="1:10" ht="18" x14ac:dyDescent="0.2">
      <c r="A357" s="483"/>
      <c r="B357" s="152"/>
      <c r="C357" s="158"/>
      <c r="D357" s="184"/>
      <c r="E357" s="184"/>
      <c r="F357" s="184"/>
      <c r="G357" s="184"/>
      <c r="H357" s="184"/>
      <c r="I357" s="184"/>
      <c r="J357" s="184"/>
    </row>
    <row r="358" spans="1:10" ht="18" x14ac:dyDescent="0.2">
      <c r="A358" s="154"/>
      <c r="B358" s="154"/>
      <c r="C358" s="159"/>
      <c r="D358" s="185"/>
      <c r="E358" s="185"/>
      <c r="F358" s="185"/>
      <c r="G358" s="185"/>
      <c r="H358" s="185"/>
      <c r="I358" s="185"/>
      <c r="J358" s="185"/>
    </row>
    <row r="359" spans="1:10" ht="18" x14ac:dyDescent="0.2">
      <c r="A359" s="483"/>
      <c r="B359" s="152"/>
      <c r="C359" s="158"/>
      <c r="D359" s="149"/>
      <c r="E359" s="149"/>
      <c r="F359" s="149"/>
      <c r="G359" s="149"/>
      <c r="H359" s="149"/>
      <c r="I359" s="149"/>
      <c r="J359" s="149"/>
    </row>
    <row r="360" spans="1:10" ht="18" x14ac:dyDescent="0.2">
      <c r="A360" s="154"/>
      <c r="B360" s="154"/>
      <c r="C360" s="159"/>
      <c r="D360" s="151"/>
      <c r="E360" s="151"/>
      <c r="F360" s="151"/>
      <c r="G360" s="151"/>
      <c r="H360" s="151"/>
      <c r="I360" s="151"/>
      <c r="J360" s="151"/>
    </row>
    <row r="361" spans="1:10" ht="18" x14ac:dyDescent="0.2">
      <c r="A361" s="483"/>
      <c r="B361" s="152"/>
      <c r="C361" s="158"/>
      <c r="D361" s="184"/>
      <c r="E361" s="184"/>
      <c r="F361" s="184"/>
      <c r="G361" s="184"/>
      <c r="H361" s="184"/>
      <c r="I361" s="184"/>
      <c r="J361" s="184"/>
    </row>
    <row r="362" spans="1:10" ht="18" x14ac:dyDescent="0.2">
      <c r="A362" s="154"/>
      <c r="B362" s="154"/>
      <c r="C362" s="159"/>
      <c r="D362" s="185"/>
      <c r="E362" s="185"/>
      <c r="F362" s="185"/>
      <c r="G362" s="185"/>
      <c r="H362" s="185"/>
      <c r="I362" s="185"/>
      <c r="J362" s="185"/>
    </row>
    <row r="363" spans="1:10" ht="18" x14ac:dyDescent="0.2">
      <c r="A363" s="483"/>
      <c r="B363" s="152"/>
      <c r="C363" s="158"/>
      <c r="D363" s="149"/>
      <c r="E363" s="149"/>
      <c r="F363" s="149"/>
      <c r="G363" s="149"/>
      <c r="H363" s="149"/>
      <c r="I363" s="149"/>
      <c r="J363" s="149"/>
    </row>
    <row r="364" spans="1:10" ht="18" x14ac:dyDescent="0.2">
      <c r="A364" s="154"/>
      <c r="B364" s="154"/>
      <c r="C364" s="159"/>
      <c r="D364" s="151"/>
      <c r="E364" s="151"/>
      <c r="F364" s="151"/>
      <c r="G364" s="151"/>
      <c r="H364" s="151"/>
      <c r="I364" s="151"/>
      <c r="J364" s="151"/>
    </row>
    <row r="365" spans="1:10" ht="18" x14ac:dyDescent="0.2">
      <c r="A365" s="483"/>
      <c r="B365" s="152"/>
      <c r="C365" s="158"/>
      <c r="D365" s="184">
        <v>0</v>
      </c>
      <c r="E365" s="184">
        <v>0</v>
      </c>
      <c r="F365" s="184">
        <v>0</v>
      </c>
      <c r="G365" s="184">
        <v>0</v>
      </c>
      <c r="H365" s="184">
        <v>0</v>
      </c>
      <c r="I365" s="184">
        <v>0</v>
      </c>
      <c r="J365" s="184">
        <v>0</v>
      </c>
    </row>
    <row r="366" spans="1:10" ht="18" x14ac:dyDescent="0.2">
      <c r="A366" s="154"/>
      <c r="B366" s="154"/>
      <c r="C366" s="159"/>
      <c r="D366" s="185">
        <v>0</v>
      </c>
      <c r="E366" s="185">
        <v>0</v>
      </c>
      <c r="F366" s="185">
        <v>0</v>
      </c>
      <c r="G366" s="185">
        <v>0</v>
      </c>
      <c r="H366" s="185">
        <v>0</v>
      </c>
      <c r="I366" s="185">
        <v>0</v>
      </c>
      <c r="J366" s="185">
        <v>0</v>
      </c>
    </row>
    <row r="367" spans="1:10" ht="18" x14ac:dyDescent="0.2">
      <c r="A367" s="483"/>
      <c r="B367" s="152"/>
      <c r="C367" s="158"/>
      <c r="D367" s="149">
        <v>0</v>
      </c>
      <c r="E367" s="149">
        <v>0</v>
      </c>
      <c r="F367" s="149">
        <v>0</v>
      </c>
      <c r="G367" s="149">
        <v>0</v>
      </c>
      <c r="H367" s="149">
        <v>0</v>
      </c>
      <c r="I367" s="149">
        <v>0</v>
      </c>
      <c r="J367" s="149">
        <v>0</v>
      </c>
    </row>
    <row r="368" spans="1:10" ht="18" x14ac:dyDescent="0.2">
      <c r="A368" s="154"/>
      <c r="B368" s="154"/>
      <c r="C368" s="159"/>
      <c r="D368" s="151">
        <v>0</v>
      </c>
      <c r="E368" s="151">
        <v>0</v>
      </c>
      <c r="F368" s="151">
        <v>0</v>
      </c>
      <c r="G368" s="151">
        <v>0</v>
      </c>
      <c r="H368" s="151">
        <v>0</v>
      </c>
      <c r="I368" s="151">
        <v>0</v>
      </c>
      <c r="J368" s="151">
        <v>0</v>
      </c>
    </row>
    <row r="369" spans="1:10" ht="18" x14ac:dyDescent="0.2">
      <c r="A369" s="483"/>
      <c r="B369" s="152"/>
      <c r="C369" s="158"/>
      <c r="D369" s="184">
        <v>0</v>
      </c>
      <c r="E369" s="184">
        <v>0</v>
      </c>
      <c r="F369" s="184">
        <v>0</v>
      </c>
      <c r="G369" s="184">
        <v>0</v>
      </c>
      <c r="H369" s="184">
        <v>0</v>
      </c>
      <c r="I369" s="184">
        <v>0</v>
      </c>
      <c r="J369" s="184">
        <v>0</v>
      </c>
    </row>
    <row r="370" spans="1:10" ht="18" x14ac:dyDescent="0.2">
      <c r="A370" s="154"/>
      <c r="B370" s="154"/>
      <c r="C370" s="159"/>
      <c r="D370" s="185">
        <v>0</v>
      </c>
      <c r="E370" s="185">
        <v>0</v>
      </c>
      <c r="F370" s="185">
        <v>0</v>
      </c>
      <c r="G370" s="185">
        <v>0</v>
      </c>
      <c r="H370" s="185">
        <v>0</v>
      </c>
      <c r="I370" s="185">
        <v>0</v>
      </c>
      <c r="J370" s="185">
        <v>0</v>
      </c>
    </row>
    <row r="371" spans="1:10" ht="18" x14ac:dyDescent="0.2">
      <c r="A371" s="483"/>
      <c r="B371" s="152"/>
      <c r="C371" s="158"/>
      <c r="D371" s="149">
        <v>0</v>
      </c>
      <c r="E371" s="149">
        <v>0</v>
      </c>
      <c r="F371" s="149">
        <v>0</v>
      </c>
      <c r="G371" s="149">
        <v>0</v>
      </c>
      <c r="H371" s="149">
        <v>0</v>
      </c>
      <c r="I371" s="149">
        <v>0</v>
      </c>
      <c r="J371" s="149">
        <v>0</v>
      </c>
    </row>
    <row r="372" spans="1:10" ht="18" x14ac:dyDescent="0.2">
      <c r="A372" s="154"/>
      <c r="B372" s="154"/>
      <c r="C372" s="159"/>
      <c r="D372" s="151">
        <v>0</v>
      </c>
      <c r="E372" s="151">
        <v>0</v>
      </c>
      <c r="F372" s="151">
        <v>0</v>
      </c>
      <c r="G372" s="151">
        <v>0</v>
      </c>
      <c r="H372" s="151">
        <v>0</v>
      </c>
      <c r="I372" s="151">
        <v>0</v>
      </c>
      <c r="J372" s="151">
        <v>0</v>
      </c>
    </row>
    <row r="373" spans="1:10" ht="18" x14ac:dyDescent="0.2">
      <c r="A373" s="483"/>
      <c r="B373" s="152"/>
      <c r="C373" s="158"/>
      <c r="D373" s="184">
        <v>0</v>
      </c>
      <c r="E373" s="184">
        <v>0</v>
      </c>
      <c r="F373" s="184">
        <v>0</v>
      </c>
      <c r="G373" s="184">
        <v>0</v>
      </c>
      <c r="H373" s="184">
        <v>0</v>
      </c>
      <c r="I373" s="184">
        <v>0</v>
      </c>
      <c r="J373" s="184">
        <v>0</v>
      </c>
    </row>
    <row r="374" spans="1:10" ht="18" x14ac:dyDescent="0.2">
      <c r="A374" s="154"/>
      <c r="B374" s="154"/>
      <c r="C374" s="159"/>
      <c r="D374" s="185">
        <v>0</v>
      </c>
      <c r="E374" s="185">
        <v>0</v>
      </c>
      <c r="F374" s="185">
        <v>0</v>
      </c>
      <c r="G374" s="185">
        <v>0</v>
      </c>
      <c r="H374" s="185">
        <v>0</v>
      </c>
      <c r="I374" s="185">
        <v>0</v>
      </c>
      <c r="J374" s="185">
        <v>0</v>
      </c>
    </row>
    <row r="375" spans="1:10" ht="18" x14ac:dyDescent="0.2">
      <c r="A375" s="483"/>
      <c r="B375" s="152"/>
      <c r="C375" s="158"/>
      <c r="D375" s="184">
        <v>0</v>
      </c>
      <c r="E375" s="184">
        <v>0</v>
      </c>
      <c r="F375" s="184">
        <v>0</v>
      </c>
      <c r="G375" s="184">
        <v>0</v>
      </c>
      <c r="H375" s="184">
        <v>0</v>
      </c>
      <c r="I375" s="184">
        <v>0</v>
      </c>
      <c r="J375" s="184">
        <v>0</v>
      </c>
    </row>
    <row r="376" spans="1:10" ht="18" x14ac:dyDescent="0.2">
      <c r="A376" s="154"/>
      <c r="B376" s="154"/>
      <c r="C376" s="159"/>
      <c r="D376" s="185">
        <v>0</v>
      </c>
      <c r="E376" s="185">
        <v>0</v>
      </c>
      <c r="F376" s="185">
        <v>0</v>
      </c>
      <c r="G376" s="185">
        <v>0</v>
      </c>
      <c r="H376" s="185">
        <v>0</v>
      </c>
      <c r="I376" s="185">
        <v>0</v>
      </c>
      <c r="J376" s="185">
        <v>0</v>
      </c>
    </row>
    <row r="377" spans="1:10" ht="18" x14ac:dyDescent="0.2">
      <c r="A377" s="483"/>
      <c r="B377" s="152"/>
      <c r="C377" s="158"/>
      <c r="D377" s="184">
        <v>0</v>
      </c>
      <c r="E377" s="184">
        <v>0</v>
      </c>
      <c r="F377" s="184">
        <v>0</v>
      </c>
      <c r="G377" s="184">
        <v>0</v>
      </c>
      <c r="H377" s="184">
        <v>0</v>
      </c>
      <c r="I377" s="184">
        <v>0</v>
      </c>
      <c r="J377" s="184">
        <v>0</v>
      </c>
    </row>
    <row r="378" spans="1:10" ht="18" x14ac:dyDescent="0.2">
      <c r="A378" s="154"/>
      <c r="B378" s="154"/>
      <c r="C378" s="159"/>
      <c r="D378" s="185">
        <v>0</v>
      </c>
      <c r="E378" s="185">
        <v>0</v>
      </c>
      <c r="F378" s="185">
        <v>0</v>
      </c>
      <c r="G378" s="185">
        <v>0</v>
      </c>
      <c r="H378" s="185">
        <v>0</v>
      </c>
      <c r="I378" s="185">
        <v>0</v>
      </c>
      <c r="J378" s="185">
        <v>0</v>
      </c>
    </row>
    <row r="379" spans="1:10" ht="18" x14ac:dyDescent="0.2">
      <c r="A379" s="483"/>
      <c r="B379" s="152"/>
      <c r="C379" s="158"/>
      <c r="D379" s="184">
        <v>0</v>
      </c>
      <c r="E379" s="184">
        <v>0</v>
      </c>
      <c r="F379" s="184">
        <v>0</v>
      </c>
      <c r="G379" s="184">
        <v>0</v>
      </c>
      <c r="H379" s="184">
        <v>0</v>
      </c>
      <c r="I379" s="184">
        <v>0</v>
      </c>
      <c r="J379" s="184">
        <v>0</v>
      </c>
    </row>
    <row r="380" spans="1:10" ht="18" x14ac:dyDescent="0.2">
      <c r="A380" s="154"/>
      <c r="B380" s="154"/>
      <c r="C380" s="159"/>
      <c r="D380" s="185">
        <v>0</v>
      </c>
      <c r="E380" s="185">
        <v>0</v>
      </c>
      <c r="F380" s="185">
        <v>0</v>
      </c>
      <c r="G380" s="185">
        <v>0</v>
      </c>
      <c r="H380" s="185">
        <v>0</v>
      </c>
      <c r="I380" s="185">
        <v>0</v>
      </c>
      <c r="J380" s="185">
        <v>0</v>
      </c>
    </row>
    <row r="381" spans="1:10" ht="18" x14ac:dyDescent="0.2">
      <c r="A381" s="552"/>
      <c r="B381" s="152"/>
      <c r="C381" s="548"/>
      <c r="D381" s="184">
        <v>0</v>
      </c>
      <c r="E381" s="184">
        <v>0</v>
      </c>
      <c r="F381" s="184">
        <v>0</v>
      </c>
      <c r="G381" s="184">
        <v>0</v>
      </c>
      <c r="H381" s="184">
        <v>0</v>
      </c>
      <c r="I381" s="184">
        <v>0</v>
      </c>
      <c r="J381" s="184">
        <v>0</v>
      </c>
    </row>
    <row r="382" spans="1:10" ht="18.75" thickBot="1" x14ac:dyDescent="0.25">
      <c r="A382" s="218"/>
      <c r="B382" s="154"/>
      <c r="C382" s="549"/>
      <c r="D382" s="185">
        <v>0</v>
      </c>
      <c r="E382" s="185">
        <v>0</v>
      </c>
      <c r="F382" s="185">
        <v>0</v>
      </c>
      <c r="G382" s="185">
        <v>0</v>
      </c>
      <c r="H382" s="185">
        <v>0</v>
      </c>
      <c r="I382" s="185">
        <v>0</v>
      </c>
      <c r="J382" s="185">
        <v>0</v>
      </c>
    </row>
    <row r="383" spans="1:10" ht="19.5" thickTop="1" thickBot="1" x14ac:dyDescent="0.25">
      <c r="A383" s="218"/>
      <c r="B383" s="152"/>
      <c r="C383" s="620"/>
      <c r="D383" s="184">
        <v>0</v>
      </c>
      <c r="E383" s="184">
        <v>0</v>
      </c>
      <c r="F383" s="184">
        <v>0</v>
      </c>
      <c r="G383" s="184">
        <v>0</v>
      </c>
      <c r="H383" s="184">
        <v>0</v>
      </c>
      <c r="I383" s="184">
        <v>0</v>
      </c>
      <c r="J383" s="184">
        <v>0</v>
      </c>
    </row>
    <row r="384" spans="1:10" ht="19.5" thickTop="1" thickBot="1" x14ac:dyDescent="0.25">
      <c r="A384" s="218"/>
      <c r="B384" s="154"/>
      <c r="C384" s="641"/>
      <c r="D384" s="185">
        <v>0</v>
      </c>
      <c r="E384" s="185">
        <v>0</v>
      </c>
      <c r="F384" s="185">
        <v>0</v>
      </c>
      <c r="G384" s="185">
        <v>0</v>
      </c>
      <c r="H384" s="185">
        <v>0</v>
      </c>
      <c r="I384" s="185">
        <v>0</v>
      </c>
      <c r="J384" s="185">
        <v>0</v>
      </c>
    </row>
    <row r="385" spans="1:10" ht="19.5" thickTop="1" thickBot="1" x14ac:dyDescent="0.25">
      <c r="A385" s="218"/>
      <c r="B385" s="152"/>
      <c r="C385" s="620"/>
      <c r="D385" s="184">
        <v>0</v>
      </c>
      <c r="E385" s="184">
        <v>0</v>
      </c>
      <c r="F385" s="184">
        <v>0</v>
      </c>
      <c r="G385" s="184">
        <v>0</v>
      </c>
      <c r="H385" s="184">
        <v>0</v>
      </c>
      <c r="I385" s="184">
        <v>0</v>
      </c>
      <c r="J385" s="184">
        <v>0</v>
      </c>
    </row>
    <row r="386" spans="1:10" ht="19.5" thickTop="1" thickBot="1" x14ac:dyDescent="0.25">
      <c r="A386" s="218"/>
      <c r="B386" s="154"/>
      <c r="C386" s="641"/>
      <c r="D386" s="185">
        <v>0</v>
      </c>
      <c r="E386" s="185">
        <v>0</v>
      </c>
      <c r="F386" s="185">
        <v>0</v>
      </c>
      <c r="G386" s="185">
        <v>0</v>
      </c>
      <c r="H386" s="185">
        <v>0</v>
      </c>
      <c r="I386" s="185">
        <v>0</v>
      </c>
      <c r="J386" s="185">
        <v>0</v>
      </c>
    </row>
    <row r="387" spans="1:10" ht="18.75" thickTop="1" x14ac:dyDescent="0.2">
      <c r="A387" s="508">
        <v>0</v>
      </c>
      <c r="B387" s="508"/>
      <c r="C387" s="509">
        <v>660011488</v>
      </c>
      <c r="D387" s="510">
        <v>0</v>
      </c>
      <c r="E387" s="510">
        <v>0</v>
      </c>
      <c r="F387" s="510">
        <v>0</v>
      </c>
      <c r="G387" s="510">
        <v>0</v>
      </c>
      <c r="H387" s="510">
        <v>0</v>
      </c>
      <c r="I387" s="510">
        <v>0</v>
      </c>
      <c r="J387" s="510">
        <v>0</v>
      </c>
    </row>
    <row r="388" spans="1:10" ht="18" x14ac:dyDescent="0.2">
      <c r="A388" s="511">
        <v>0</v>
      </c>
      <c r="B388" s="511"/>
      <c r="C388" s="512" t="s">
        <v>118</v>
      </c>
      <c r="D388" s="513" t="s">
        <v>80</v>
      </c>
      <c r="E388" s="513" t="s">
        <v>80</v>
      </c>
      <c r="F388" s="513" t="s">
        <v>117</v>
      </c>
      <c r="G388" s="513" t="s">
        <v>117</v>
      </c>
      <c r="H388" s="513" t="s">
        <v>117</v>
      </c>
      <c r="I388" s="513" t="s">
        <v>34</v>
      </c>
      <c r="J388" s="513" t="s">
        <v>34</v>
      </c>
    </row>
    <row r="389" spans="1:10" ht="18" x14ac:dyDescent="0.2">
      <c r="A389" s="188">
        <v>0</v>
      </c>
      <c r="B389" s="188"/>
      <c r="C389" s="189">
        <v>0</v>
      </c>
      <c r="D389" s="190">
        <v>0</v>
      </c>
      <c r="E389" s="190">
        <v>0</v>
      </c>
      <c r="F389" s="190">
        <v>0</v>
      </c>
      <c r="G389" s="190">
        <v>0</v>
      </c>
      <c r="H389" s="190">
        <v>0</v>
      </c>
      <c r="I389" s="190">
        <v>0</v>
      </c>
      <c r="J389" s="190">
        <v>0</v>
      </c>
    </row>
    <row r="390" spans="1:10" ht="18" x14ac:dyDescent="0.2">
      <c r="A390" s="191">
        <v>0</v>
      </c>
      <c r="B390" s="191"/>
      <c r="C390" s="192">
        <v>0</v>
      </c>
      <c r="D390" s="193">
        <v>0</v>
      </c>
      <c r="E390" s="193">
        <v>0</v>
      </c>
      <c r="F390" s="193">
        <v>0</v>
      </c>
      <c r="G390" s="193">
        <v>0</v>
      </c>
      <c r="H390" s="193">
        <v>0</v>
      </c>
      <c r="I390" s="193">
        <v>0</v>
      </c>
      <c r="J390" s="193">
        <v>0</v>
      </c>
    </row>
    <row r="391" spans="1:10" x14ac:dyDescent="0.2">
      <c r="A391" s="135">
        <v>0</v>
      </c>
      <c r="C391" s="135">
        <v>0</v>
      </c>
      <c r="D391" s="135">
        <v>0</v>
      </c>
      <c r="E391" s="135">
        <v>0</v>
      </c>
      <c r="F391" s="135">
        <v>0</v>
      </c>
      <c r="G391" s="135">
        <v>0</v>
      </c>
      <c r="H391" s="135">
        <v>0</v>
      </c>
      <c r="I391" s="135">
        <v>0</v>
      </c>
      <c r="J391" s="135">
        <v>0</v>
      </c>
    </row>
    <row r="392" spans="1:10" x14ac:dyDescent="0.2">
      <c r="A392" s="135">
        <v>0</v>
      </c>
      <c r="C392" s="135">
        <v>0</v>
      </c>
      <c r="D392" s="135">
        <v>0</v>
      </c>
      <c r="E392" s="135">
        <v>0</v>
      </c>
      <c r="F392" s="135">
        <v>0</v>
      </c>
      <c r="G392" s="135">
        <v>0</v>
      </c>
      <c r="H392" s="135">
        <v>0</v>
      </c>
      <c r="I392" s="135">
        <v>0</v>
      </c>
      <c r="J392" s="135">
        <v>0</v>
      </c>
    </row>
    <row r="393" spans="1:10" x14ac:dyDescent="0.2">
      <c r="A393" s="135">
        <v>0</v>
      </c>
      <c r="C393" s="135">
        <v>0</v>
      </c>
      <c r="D393" s="135">
        <v>0</v>
      </c>
      <c r="E393" s="135">
        <v>0</v>
      </c>
      <c r="F393" s="135">
        <v>0</v>
      </c>
      <c r="G393" s="135">
        <v>0</v>
      </c>
      <c r="H393" s="135">
        <v>0</v>
      </c>
      <c r="I393" s="135">
        <v>0</v>
      </c>
      <c r="J393" s="135">
        <v>0</v>
      </c>
    </row>
    <row r="394" spans="1:10" x14ac:dyDescent="0.2">
      <c r="A394" s="135">
        <v>0</v>
      </c>
      <c r="C394" s="135">
        <v>0</v>
      </c>
      <c r="D394" s="135">
        <v>0</v>
      </c>
      <c r="E394" s="135">
        <v>0</v>
      </c>
      <c r="F394" s="135">
        <v>0</v>
      </c>
      <c r="G394" s="135">
        <v>0</v>
      </c>
      <c r="H394" s="135">
        <v>0</v>
      </c>
      <c r="I394" s="135">
        <v>0</v>
      </c>
      <c r="J394" s="135">
        <v>0</v>
      </c>
    </row>
    <row r="395" spans="1:10" x14ac:dyDescent="0.2">
      <c r="A395" s="135">
        <v>0</v>
      </c>
      <c r="C395" s="135">
        <v>0</v>
      </c>
      <c r="D395" s="135">
        <v>0</v>
      </c>
      <c r="E395" s="135">
        <v>0</v>
      </c>
      <c r="F395" s="135">
        <v>0</v>
      </c>
      <c r="G395" s="135">
        <v>0</v>
      </c>
      <c r="H395" s="135">
        <v>0</v>
      </c>
      <c r="I395" s="135">
        <v>0</v>
      </c>
      <c r="J395" s="135">
        <v>0</v>
      </c>
    </row>
    <row r="396" spans="1:10" x14ac:dyDescent="0.2">
      <c r="A396" s="135">
        <v>0</v>
      </c>
      <c r="C396" s="135">
        <v>0</v>
      </c>
      <c r="D396" s="135">
        <v>0</v>
      </c>
      <c r="E396" s="135">
        <v>0</v>
      </c>
      <c r="F396" s="135">
        <v>0</v>
      </c>
      <c r="G396" s="135">
        <v>0</v>
      </c>
      <c r="H396" s="135">
        <v>0</v>
      </c>
      <c r="I396" s="135">
        <v>0</v>
      </c>
      <c r="J396" s="135">
        <v>0</v>
      </c>
    </row>
    <row r="397" spans="1:10" x14ac:dyDescent="0.2">
      <c r="A397" s="135">
        <v>0</v>
      </c>
      <c r="C397" s="135">
        <v>0</v>
      </c>
      <c r="D397" s="135">
        <v>0</v>
      </c>
      <c r="E397" s="135">
        <v>0</v>
      </c>
      <c r="F397" s="135">
        <v>0</v>
      </c>
      <c r="G397" s="135">
        <v>0</v>
      </c>
      <c r="H397" s="135">
        <v>0</v>
      </c>
      <c r="I397" s="135">
        <v>0</v>
      </c>
      <c r="J397" s="135">
        <v>0</v>
      </c>
    </row>
    <row r="398" spans="1:10" x14ac:dyDescent="0.2">
      <c r="A398" s="135">
        <v>0</v>
      </c>
      <c r="C398" s="135">
        <v>0</v>
      </c>
      <c r="D398" s="135">
        <v>0</v>
      </c>
      <c r="E398" s="135">
        <v>0</v>
      </c>
      <c r="F398" s="135">
        <v>0</v>
      </c>
      <c r="G398" s="135">
        <v>0</v>
      </c>
      <c r="H398" s="135">
        <v>0</v>
      </c>
      <c r="I398" s="135">
        <v>0</v>
      </c>
      <c r="J398" s="135">
        <v>0</v>
      </c>
    </row>
    <row r="399" spans="1:10" x14ac:dyDescent="0.2">
      <c r="A399" s="135">
        <v>0</v>
      </c>
      <c r="C399" s="135">
        <v>0</v>
      </c>
      <c r="D399" s="135">
        <v>0</v>
      </c>
      <c r="E399" s="135">
        <v>0</v>
      </c>
      <c r="F399" s="135">
        <v>0</v>
      </c>
      <c r="G399" s="135">
        <v>0</v>
      </c>
      <c r="H399" s="135">
        <v>0</v>
      </c>
      <c r="I399" s="135">
        <v>0</v>
      </c>
      <c r="J399" s="135">
        <v>0</v>
      </c>
    </row>
    <row r="400" spans="1:10" x14ac:dyDescent="0.2">
      <c r="A400" s="135">
        <v>0</v>
      </c>
      <c r="C400" s="135">
        <v>0</v>
      </c>
      <c r="D400" s="135">
        <v>0</v>
      </c>
      <c r="E400" s="135">
        <v>0</v>
      </c>
      <c r="F400" s="135">
        <v>0</v>
      </c>
      <c r="G400" s="135">
        <v>0</v>
      </c>
      <c r="H400" s="135">
        <v>0</v>
      </c>
      <c r="I400" s="135">
        <v>0</v>
      </c>
      <c r="J400" s="135">
        <v>0</v>
      </c>
    </row>
    <row r="401" spans="1:10" x14ac:dyDescent="0.2">
      <c r="A401" s="135">
        <v>0</v>
      </c>
      <c r="C401" s="135">
        <v>0</v>
      </c>
      <c r="D401" s="135">
        <v>0</v>
      </c>
      <c r="E401" s="135">
        <v>0</v>
      </c>
      <c r="F401" s="135">
        <v>0</v>
      </c>
      <c r="G401" s="135">
        <v>0</v>
      </c>
      <c r="H401" s="135">
        <v>0</v>
      </c>
      <c r="I401" s="135">
        <v>0</v>
      </c>
      <c r="J401" s="135">
        <v>0</v>
      </c>
    </row>
    <row r="402" spans="1:10" x14ac:dyDescent="0.2">
      <c r="A402" s="135">
        <v>0</v>
      </c>
      <c r="C402" s="135">
        <v>0</v>
      </c>
      <c r="D402" s="135">
        <v>0</v>
      </c>
      <c r="E402" s="135">
        <v>0</v>
      </c>
      <c r="F402" s="135">
        <v>0</v>
      </c>
      <c r="G402" s="135">
        <v>0</v>
      </c>
      <c r="H402" s="135">
        <v>0</v>
      </c>
      <c r="I402" s="135">
        <v>0</v>
      </c>
      <c r="J402" s="135">
        <v>0</v>
      </c>
    </row>
    <row r="403" spans="1:10" x14ac:dyDescent="0.2">
      <c r="A403" s="135">
        <v>0</v>
      </c>
      <c r="C403" s="135">
        <v>0</v>
      </c>
      <c r="D403" s="135">
        <v>0</v>
      </c>
      <c r="E403" s="135">
        <v>0</v>
      </c>
      <c r="F403" s="135">
        <v>0</v>
      </c>
      <c r="G403" s="135">
        <v>0</v>
      </c>
      <c r="H403" s="135">
        <v>0</v>
      </c>
      <c r="I403" s="135">
        <v>0</v>
      </c>
      <c r="J403" s="135">
        <v>0</v>
      </c>
    </row>
    <row r="404" spans="1:10" x14ac:dyDescent="0.2">
      <c r="A404" s="135">
        <v>0</v>
      </c>
      <c r="C404" s="135">
        <v>0</v>
      </c>
      <c r="D404" s="135">
        <v>0</v>
      </c>
      <c r="E404" s="135">
        <v>0</v>
      </c>
      <c r="F404" s="135">
        <v>0</v>
      </c>
      <c r="G404" s="135">
        <v>0</v>
      </c>
      <c r="H404" s="135">
        <v>0</v>
      </c>
      <c r="I404" s="135">
        <v>0</v>
      </c>
      <c r="J404" s="135">
        <v>0</v>
      </c>
    </row>
    <row r="405" spans="1:10" x14ac:dyDescent="0.2">
      <c r="A405" s="135">
        <v>0</v>
      </c>
      <c r="C405" s="135">
        <v>0</v>
      </c>
      <c r="D405" s="135">
        <v>0</v>
      </c>
      <c r="E405" s="135">
        <v>0</v>
      </c>
      <c r="F405" s="135">
        <v>0</v>
      </c>
      <c r="G405" s="135">
        <v>0</v>
      </c>
      <c r="H405" s="135">
        <v>0</v>
      </c>
      <c r="I405" s="135">
        <v>0</v>
      </c>
      <c r="J405" s="135">
        <v>0</v>
      </c>
    </row>
    <row r="406" spans="1:10" x14ac:dyDescent="0.2">
      <c r="A406" s="135">
        <v>0</v>
      </c>
      <c r="C406" s="135">
        <v>0</v>
      </c>
      <c r="D406" s="135">
        <v>0</v>
      </c>
      <c r="E406" s="135">
        <v>0</v>
      </c>
      <c r="F406" s="135">
        <v>0</v>
      </c>
      <c r="G406" s="135">
        <v>0</v>
      </c>
      <c r="H406" s="135">
        <v>0</v>
      </c>
      <c r="I406" s="135">
        <v>0</v>
      </c>
      <c r="J406" s="135">
        <v>0</v>
      </c>
    </row>
    <row r="407" spans="1:10" x14ac:dyDescent="0.2">
      <c r="A407" s="135">
        <v>0</v>
      </c>
      <c r="C407" s="135">
        <v>0</v>
      </c>
      <c r="D407" s="135">
        <v>0</v>
      </c>
      <c r="E407" s="135">
        <v>0</v>
      </c>
      <c r="F407" s="135">
        <v>0</v>
      </c>
      <c r="G407" s="135">
        <v>0</v>
      </c>
      <c r="H407" s="135">
        <v>0</v>
      </c>
      <c r="I407" s="135">
        <v>0</v>
      </c>
      <c r="J407" s="135">
        <v>0</v>
      </c>
    </row>
    <row r="408" spans="1:10" x14ac:dyDescent="0.2">
      <c r="A408" s="135">
        <v>0</v>
      </c>
      <c r="C408" s="135">
        <v>0</v>
      </c>
      <c r="D408" s="135">
        <v>0</v>
      </c>
      <c r="E408" s="135">
        <v>0</v>
      </c>
      <c r="F408" s="135">
        <v>0</v>
      </c>
      <c r="G408" s="135">
        <v>0</v>
      </c>
      <c r="H408" s="135">
        <v>0</v>
      </c>
      <c r="I408" s="135">
        <v>0</v>
      </c>
      <c r="J408" s="135">
        <v>0</v>
      </c>
    </row>
    <row r="409" spans="1:10" x14ac:dyDescent="0.2">
      <c r="A409" s="135">
        <v>0</v>
      </c>
      <c r="C409" s="135">
        <v>0</v>
      </c>
      <c r="D409" s="135">
        <v>0</v>
      </c>
      <c r="E409" s="135">
        <v>0</v>
      </c>
      <c r="F409" s="135">
        <v>0</v>
      </c>
      <c r="G409" s="135">
        <v>0</v>
      </c>
      <c r="H409" s="135">
        <v>0</v>
      </c>
      <c r="I409" s="135">
        <v>0</v>
      </c>
      <c r="J409" s="135">
        <v>0</v>
      </c>
    </row>
    <row r="410" spans="1:10" x14ac:dyDescent="0.2">
      <c r="A410" s="135">
        <v>0</v>
      </c>
      <c r="C410" s="135">
        <v>0</v>
      </c>
      <c r="D410" s="135">
        <v>0</v>
      </c>
      <c r="E410" s="135">
        <v>0</v>
      </c>
      <c r="F410" s="135">
        <v>0</v>
      </c>
      <c r="G410" s="135">
        <v>0</v>
      </c>
      <c r="H410" s="135">
        <v>0</v>
      </c>
      <c r="I410" s="135">
        <v>0</v>
      </c>
      <c r="J410" s="135">
        <v>0</v>
      </c>
    </row>
    <row r="411" spans="1:10" x14ac:dyDescent="0.2">
      <c r="A411" s="135">
        <v>0</v>
      </c>
      <c r="C411" s="135">
        <v>0</v>
      </c>
      <c r="D411" s="135">
        <v>0</v>
      </c>
      <c r="E411" s="135">
        <v>0</v>
      </c>
      <c r="F411" s="135">
        <v>0</v>
      </c>
      <c r="G411" s="135">
        <v>0</v>
      </c>
      <c r="H411" s="135">
        <v>0</v>
      </c>
      <c r="I411" s="135">
        <v>0</v>
      </c>
      <c r="J411" s="135">
        <v>0</v>
      </c>
    </row>
    <row r="412" spans="1:10" x14ac:dyDescent="0.2">
      <c r="A412" s="135">
        <v>0</v>
      </c>
      <c r="C412" s="135">
        <v>0</v>
      </c>
      <c r="D412" s="135">
        <v>0</v>
      </c>
      <c r="E412" s="135">
        <v>0</v>
      </c>
      <c r="F412" s="135">
        <v>0</v>
      </c>
      <c r="G412" s="135">
        <v>0</v>
      </c>
      <c r="H412" s="135">
        <v>0</v>
      </c>
      <c r="I412" s="135">
        <v>0</v>
      </c>
      <c r="J412" s="135">
        <v>0</v>
      </c>
    </row>
    <row r="413" spans="1:10" x14ac:dyDescent="0.2">
      <c r="A413" s="135">
        <v>0</v>
      </c>
      <c r="C413" s="135">
        <v>0</v>
      </c>
      <c r="D413" s="135">
        <v>0</v>
      </c>
      <c r="E413" s="135">
        <v>0</v>
      </c>
      <c r="F413" s="135">
        <v>0</v>
      </c>
      <c r="G413" s="135">
        <v>0</v>
      </c>
      <c r="H413" s="135">
        <v>0</v>
      </c>
      <c r="I413" s="135">
        <v>0</v>
      </c>
      <c r="J413" s="135">
        <v>0</v>
      </c>
    </row>
    <row r="414" spans="1:10" x14ac:dyDescent="0.2">
      <c r="A414" s="135">
        <v>0</v>
      </c>
      <c r="C414" s="135">
        <v>0</v>
      </c>
      <c r="D414" s="135">
        <v>0</v>
      </c>
      <c r="E414" s="135">
        <v>0</v>
      </c>
      <c r="F414" s="135">
        <v>0</v>
      </c>
      <c r="G414" s="135">
        <v>0</v>
      </c>
      <c r="H414" s="135">
        <v>0</v>
      </c>
      <c r="I414" s="135">
        <v>0</v>
      </c>
      <c r="J414" s="135">
        <v>0</v>
      </c>
    </row>
    <row r="415" spans="1:10" x14ac:dyDescent="0.2">
      <c r="A415" s="135">
        <v>0</v>
      </c>
      <c r="C415" s="135">
        <v>0</v>
      </c>
      <c r="D415" s="135">
        <v>0</v>
      </c>
      <c r="E415" s="135">
        <v>0</v>
      </c>
      <c r="F415" s="135">
        <v>0</v>
      </c>
      <c r="G415" s="135">
        <v>0</v>
      </c>
      <c r="H415" s="135">
        <v>0</v>
      </c>
      <c r="I415" s="135">
        <v>0</v>
      </c>
      <c r="J415" s="135">
        <v>0</v>
      </c>
    </row>
    <row r="416" spans="1:10" x14ac:dyDescent="0.2">
      <c r="A416" s="135">
        <v>0</v>
      </c>
      <c r="C416" s="135">
        <v>0</v>
      </c>
      <c r="D416" s="135">
        <v>0</v>
      </c>
      <c r="E416" s="135">
        <v>0</v>
      </c>
      <c r="F416" s="135">
        <v>0</v>
      </c>
      <c r="G416" s="135">
        <v>0</v>
      </c>
      <c r="H416" s="135">
        <v>0</v>
      </c>
      <c r="I416" s="135">
        <v>0</v>
      </c>
      <c r="J416" s="135">
        <v>0</v>
      </c>
    </row>
    <row r="417" spans="1:10" x14ac:dyDescent="0.2">
      <c r="A417" s="135">
        <v>0</v>
      </c>
      <c r="C417" s="135">
        <v>0</v>
      </c>
      <c r="D417" s="135">
        <v>0</v>
      </c>
      <c r="E417" s="135">
        <v>0</v>
      </c>
      <c r="F417" s="135">
        <v>0</v>
      </c>
      <c r="G417" s="135">
        <v>0</v>
      </c>
      <c r="H417" s="135">
        <v>0</v>
      </c>
      <c r="I417" s="135">
        <v>0</v>
      </c>
      <c r="J417" s="135">
        <v>0</v>
      </c>
    </row>
    <row r="418" spans="1:10" x14ac:dyDescent="0.2">
      <c r="A418" s="135">
        <v>0</v>
      </c>
      <c r="C418" s="135">
        <v>0</v>
      </c>
      <c r="D418" s="135">
        <v>0</v>
      </c>
      <c r="E418" s="135">
        <v>0</v>
      </c>
      <c r="F418" s="135">
        <v>0</v>
      </c>
      <c r="G418" s="135">
        <v>0</v>
      </c>
      <c r="H418" s="135">
        <v>0</v>
      </c>
      <c r="I418" s="135">
        <v>0</v>
      </c>
      <c r="J418" s="135">
        <v>0</v>
      </c>
    </row>
  </sheetData>
  <mergeCells count="2">
    <mergeCell ref="A5:C5"/>
    <mergeCell ref="D5:J5"/>
  </mergeCells>
  <conditionalFormatting sqref="A28 C28 A88 C88 A90 C90 A92 C92 A94 C94 A96 C96 A98 C98">
    <cfRule type="expression" dxfId="930" priority="1" stopIfTrue="1">
      <formula>OR($Z28&gt;1,$AA28&gt;1,$AB28&gt;1,$AC28&gt;1,$AD28&gt;1,$AE28&gt;1,$AF28&gt;1)</formula>
    </cfRule>
  </conditionalFormatting>
  <conditionalFormatting sqref="A28:A98 C28:C98">
    <cfRule type="expression" dxfId="929" priority="60">
      <formula>OR(AND(AH28&lt;&gt;0,AH28&lt;sietehoras),AND(AI28&lt;&gt;0,AI28&lt;sietehoras),AND(AJ28&lt;&gt;0,AJ28&lt;sietehoras),AND(AK28&lt;&gt;0,AK28&lt;sietehoras),AND(AL28&lt;&gt;0,AL28&lt;sietehoras),AND(AM28&lt;&gt;0,AM28&lt;sietehoras),AND(AN28&lt;&gt;0,AN28&lt;sietehoras),AND(AO28&lt;&gt;0,AO28&lt;sietehoras))</formula>
    </cfRule>
  </conditionalFormatting>
  <conditionalFormatting sqref="A30">
    <cfRule type="expression" dxfId="928" priority="59">
      <formula>OR($Z30&gt;1,$AA30&gt;1,$AB30&gt;1,$AC30&gt;1,$AD30&gt;1,$AE30&gt;1,$AF30&gt;1)</formula>
    </cfRule>
  </conditionalFormatting>
  <conditionalFormatting sqref="A32">
    <cfRule type="expression" dxfId="927" priority="58">
      <formula>OR($Z32&gt;1,$AA32&gt;1,$AB32&gt;1,$AC32&gt;1,$AD32&gt;1,$AE32&gt;1,$AF32&gt;1)</formula>
    </cfRule>
  </conditionalFormatting>
  <conditionalFormatting sqref="A34">
    <cfRule type="expression" dxfId="926" priority="57">
      <formula>OR($Z34&gt;1,$AA34&gt;1,$AB34&gt;1,$AC34&gt;1,$AD34&gt;1,$AE34&gt;1,$AF34&gt;1)</formula>
    </cfRule>
  </conditionalFormatting>
  <conditionalFormatting sqref="A36">
    <cfRule type="expression" dxfId="925" priority="56">
      <formula>OR($Z36&gt;1,$AA36&gt;1,$AB36&gt;1,$AC36&gt;1,$AD36&gt;1,$AE36&gt;1,$AF36&gt;1)</formula>
    </cfRule>
  </conditionalFormatting>
  <conditionalFormatting sqref="A38">
    <cfRule type="expression" dxfId="924" priority="55">
      <formula>OR($Z38&gt;1,$AA38&gt;1,$AB38&gt;1,$AC38&gt;1,$AD38&gt;1,$AE38&gt;1,$AF38&gt;1)</formula>
    </cfRule>
  </conditionalFormatting>
  <conditionalFormatting sqref="A40">
    <cfRule type="expression" dxfId="923" priority="54">
      <formula>OR($Z40&gt;1,$AA40&gt;1,$AB40&gt;1,$AC40&gt;1,$AD40&gt;1,$AE40&gt;1,$AF40&gt;1)</formula>
    </cfRule>
  </conditionalFormatting>
  <conditionalFormatting sqref="A42">
    <cfRule type="expression" dxfId="922" priority="53">
      <formula>OR($Z42&gt;1,$AA42&gt;1,$AB42&gt;1,$AC42&gt;1,$AD42&gt;1,$AE42&gt;1,$AF42&gt;1)</formula>
    </cfRule>
  </conditionalFormatting>
  <conditionalFormatting sqref="A44">
    <cfRule type="expression" dxfId="921" priority="52">
      <formula>OR($Z44&gt;1,$AA44&gt;1,$AB44&gt;1,$AC44&gt;1,$AD44&gt;1,$AE44&gt;1,$AF44&gt;1)</formula>
    </cfRule>
  </conditionalFormatting>
  <conditionalFormatting sqref="A46">
    <cfRule type="expression" dxfId="920" priority="51">
      <formula>OR($Z46&gt;1,$AA46&gt;1,$AB46&gt;1,$AC46&gt;1,$AD46&gt;1,$AE46&gt;1,$AF46&gt;1)</formula>
    </cfRule>
  </conditionalFormatting>
  <conditionalFormatting sqref="A48">
    <cfRule type="expression" dxfId="919" priority="50">
      <formula>OR($Z48&gt;1,$AA48&gt;1,$AB48&gt;1,$AC48&gt;1,$AD48&gt;1,$AE48&gt;1,$AF48&gt;1)</formula>
    </cfRule>
  </conditionalFormatting>
  <conditionalFormatting sqref="A50">
    <cfRule type="expression" dxfId="918" priority="49">
      <formula>OR($Z50&gt;1,$AA50&gt;1,$AB50&gt;1,$AC50&gt;1,$AD50&gt;1,$AE50&gt;1,$AF50&gt;1)</formula>
    </cfRule>
  </conditionalFormatting>
  <conditionalFormatting sqref="A52">
    <cfRule type="expression" dxfId="917" priority="48">
      <formula>OR($Z52&gt;1,$AA52&gt;1,$AB52&gt;1,$AC52&gt;1,$AD52&gt;1,$AE52&gt;1,$AF52&gt;1)</formula>
    </cfRule>
  </conditionalFormatting>
  <conditionalFormatting sqref="A54">
    <cfRule type="expression" dxfId="916" priority="47">
      <formula>OR($Z54&gt;1,$AA54&gt;1,$AB54&gt;1,$AC54&gt;1,$AD54&gt;1,$AE54&gt;1,$AF54&gt;1)</formula>
    </cfRule>
  </conditionalFormatting>
  <conditionalFormatting sqref="A56">
    <cfRule type="expression" dxfId="915" priority="46">
      <formula>OR($Z56&gt;1,$AA56&gt;1,$AB56&gt;1,$AC56&gt;1,$AD56&gt;1,$AE56&gt;1,$AF56&gt;1)</formula>
    </cfRule>
  </conditionalFormatting>
  <conditionalFormatting sqref="A58">
    <cfRule type="expression" dxfId="914" priority="45">
      <formula>OR($Z58&gt;1,$AA58&gt;1,$AB58&gt;1,$AC58&gt;1,$AD58&gt;1,$AE58&gt;1,$AF58&gt;1)</formula>
    </cfRule>
  </conditionalFormatting>
  <conditionalFormatting sqref="A60">
    <cfRule type="expression" dxfId="913" priority="44">
      <formula>OR($Z60&gt;1,$AA60&gt;1,$AB60&gt;1,$AC60&gt;1,$AD60&gt;1,$AE60&gt;1,$AF60&gt;1)</formula>
    </cfRule>
  </conditionalFormatting>
  <conditionalFormatting sqref="A62">
    <cfRule type="expression" dxfId="912" priority="43">
      <formula>OR($Z62&gt;1,$AA62&gt;1,$AB62&gt;1,$AC62&gt;1,$AD62&gt;1,$AE62&gt;1,$AF62&gt;1)</formula>
    </cfRule>
  </conditionalFormatting>
  <conditionalFormatting sqref="A64">
    <cfRule type="expression" dxfId="911" priority="42">
      <formula>OR($Z64&gt;1,$AA64&gt;1,$AB64&gt;1,$AC64&gt;1,$AD64&gt;1,$AE64&gt;1,$AF64&gt;1)</formula>
    </cfRule>
  </conditionalFormatting>
  <conditionalFormatting sqref="A66">
    <cfRule type="expression" dxfId="910" priority="41">
      <formula>OR($Z66&gt;1,$AA66&gt;1,$AB66&gt;1,$AC66&gt;1,$AD66&gt;1,$AE66&gt;1,$AF66&gt;1)</formula>
    </cfRule>
  </conditionalFormatting>
  <conditionalFormatting sqref="A68">
    <cfRule type="expression" dxfId="909" priority="40">
      <formula>OR($Z68&gt;1,$AA68&gt;1,$AB68&gt;1,$AC68&gt;1,$AD68&gt;1,$AE68&gt;1,$AF68&gt;1)</formula>
    </cfRule>
  </conditionalFormatting>
  <conditionalFormatting sqref="A70">
    <cfRule type="expression" dxfId="908" priority="39">
      <formula>OR($Z70&gt;1,$AA70&gt;1,$AB70&gt;1,$AC70&gt;1,$AD70&gt;1,$AE70&gt;1,$AF70&gt;1)</formula>
    </cfRule>
  </conditionalFormatting>
  <conditionalFormatting sqref="A72">
    <cfRule type="expression" dxfId="907" priority="38">
      <formula>OR($Z72&gt;1,$AA72&gt;1,$AB72&gt;1,$AC72&gt;1,$AD72&gt;1,$AE72&gt;1,$AF72&gt;1)</formula>
    </cfRule>
  </conditionalFormatting>
  <conditionalFormatting sqref="A74">
    <cfRule type="expression" dxfId="906" priority="37">
      <formula>OR($Z74&gt;1,$AA74&gt;1,$AB74&gt;1,$AC74&gt;1,$AD74&gt;1,$AE74&gt;1,$AF74&gt;1)</formula>
    </cfRule>
  </conditionalFormatting>
  <conditionalFormatting sqref="A76">
    <cfRule type="expression" dxfId="905" priority="36">
      <formula>OR($Z76&gt;1,$AA76&gt;1,$AB76&gt;1,$AC76&gt;1,$AD76&gt;1,$AE76&gt;1,$AF76&gt;1)</formula>
    </cfRule>
  </conditionalFormatting>
  <conditionalFormatting sqref="A78">
    <cfRule type="expression" dxfId="904" priority="35">
      <formula>OR($Z78&gt;1,$AA78&gt;1,$AB78&gt;1,$AC78&gt;1,$AD78&gt;1,$AE78&gt;1,$AF78&gt;1)</formula>
    </cfRule>
  </conditionalFormatting>
  <conditionalFormatting sqref="A80">
    <cfRule type="expression" dxfId="903" priority="34">
      <formula>OR($Z80&gt;1,$AA80&gt;1,$AB80&gt;1,$AC80&gt;1,$AD80&gt;1,$AE80&gt;1,$AF80&gt;1)</formula>
    </cfRule>
  </conditionalFormatting>
  <conditionalFormatting sqref="A82">
    <cfRule type="expression" dxfId="902" priority="33">
      <formula>OR($Z82&gt;1,$AA82&gt;1,$AB82&gt;1,$AC82&gt;1,$AD82&gt;1,$AE82&gt;1,$AF82&gt;1)</formula>
    </cfRule>
  </conditionalFormatting>
  <conditionalFormatting sqref="A84">
    <cfRule type="expression" dxfId="901" priority="32">
      <formula>OR($Z84&gt;1,$AA84&gt;1,$AB84&gt;1,$AC84&gt;1,$AD84&gt;1,$AE84&gt;1,$AF84&gt;1)</formula>
    </cfRule>
  </conditionalFormatting>
  <conditionalFormatting sqref="A86">
    <cfRule type="expression" dxfId="900" priority="31">
      <formula>OR($Z86&gt;1,$AA86&gt;1,$AB86&gt;1,$AC86&gt;1,$AD86&gt;1,$AE86&gt;1,$AF86&gt;1)</formula>
    </cfRule>
  </conditionalFormatting>
  <conditionalFormatting sqref="A175:A244 C175:C244">
    <cfRule type="expression" dxfId="899" priority="168">
      <formula>OR(AND(AH175&lt;&gt;0,AH175&lt;sietehoras),AND(AI175&lt;&gt;0,AI175&lt;sietehoras),AND(AJ175&lt;&gt;0,AJ175&lt;sietehoras),AND(AK175&lt;&gt;0,AK175&lt;sietehoras),AND(AL175&lt;&gt;0,AL175&lt;sietehoras),AND(AM175&lt;&gt;0,AM175&lt;sietehoras),AND(AN175&lt;&gt;0,AN175&lt;sietehoras),AND(AO175&lt;&gt;0,AO175&lt;sietehoras))</formula>
    </cfRule>
  </conditionalFormatting>
  <conditionalFormatting sqref="A176 C176 A178 C178 A180 C180 A182 C182 A184 C184 A186 C186 A188 C188 A190 C190 A192 C192 A194 C194 A196 C196 A198 C198 A200 C200 A202 C202 A204 C204 A206 C206 A208 C208 A210 C210 A212 C212 A214 C214 A216 C216 A218 C218 A220 C220 A222 C222 A224 C224 A226 C226 A228 C228 A230 C230 A232 C232 A234 C234 A236 C236 A238 C238 A240 C240 A242 C242 A244 C244">
    <cfRule type="expression" dxfId="898" priority="167" stopIfTrue="1">
      <formula>OR($Z176&gt;1,$AA176&gt;1,$AB176&gt;1,$AC176&gt;1,$AD176&gt;1,$AE176&gt;1,$AF176&gt;1)</formula>
    </cfRule>
  </conditionalFormatting>
  <conditionalFormatting sqref="A287:A290 C287:C290">
    <cfRule type="expression" dxfId="897" priority="348">
      <formula>OR(AND(AH287&lt;&gt;0,AH287&lt;sietehoras),AND(AI287&lt;&gt;0,AI287&lt;sietehoras),AND(AJ287&lt;&gt;0,AJ287&lt;sietehoras),AND(AK287&lt;&gt;0,AK287&lt;sietehoras),AND(AL287&lt;&gt;0,AL287&lt;sietehoras),AND(AM287&lt;&gt;0,AM287&lt;sietehoras),AND(AN287&lt;&gt;0,AN287&lt;sietehoras),AND(AO287&lt;&gt;0,AO287&lt;sietehoras))</formula>
    </cfRule>
  </conditionalFormatting>
  <conditionalFormatting sqref="A288 C288 A290 C290">
    <cfRule type="expression" dxfId="896" priority="347" stopIfTrue="1">
      <formula>OR($Z288&gt;1,$AA288&gt;1,$AB288&gt;1,$AC288&gt;1,$AD288&gt;1,$AE288&gt;1,$AF288&gt;1)</formula>
    </cfRule>
  </conditionalFormatting>
  <conditionalFormatting sqref="A291:A294 C291:C294">
    <cfRule type="expression" dxfId="895" priority="229">
      <formula>OR(AND(AH291&lt;&gt;0,AH291&lt;sietehoras),AND(AI291&lt;&gt;0,AI291&lt;sietehoras),AND(AJ291&lt;&gt;0,AJ291&lt;sietehoras),AND(AK291&lt;&gt;0,AK291&lt;sietehoras),AND(AL291&lt;&gt;0,AL291&lt;sietehoras),AND(AM291&lt;&gt;0,AM291&lt;sietehoras),AND(AN291&lt;&gt;0,AN291&lt;sietehoras),AND(AO291&lt;&gt;0,AO291&lt;sietehoras))</formula>
    </cfRule>
  </conditionalFormatting>
  <conditionalFormatting sqref="A292 C292 A294 C294">
    <cfRule type="expression" dxfId="894" priority="228" stopIfTrue="1">
      <formula>OR($Z292&gt;1,$AA292&gt;1,$AB292&gt;1,$AC292&gt;1,$AD292&gt;1,$AE292&gt;1,$AF292&gt;1)</formula>
    </cfRule>
  </conditionalFormatting>
  <conditionalFormatting sqref="A301:A304 C301:C304">
    <cfRule type="expression" dxfId="893" priority="327">
      <formula>OR(AND(AH301&lt;&gt;0,AH301&lt;sietehoras),AND(AI301&lt;&gt;0,AI301&lt;sietehoras),AND(AJ301&lt;&gt;0,AJ301&lt;sietehoras),AND(AK301&lt;&gt;0,AK301&lt;sietehoras),AND(AL301&lt;&gt;0,AL301&lt;sietehoras),AND(AM301&lt;&gt;0,AM301&lt;sietehoras),AND(AN301&lt;&gt;0,AN301&lt;sietehoras),AND(AO301&lt;&gt;0,AO301&lt;sietehoras))</formula>
    </cfRule>
  </conditionalFormatting>
  <conditionalFormatting sqref="A302 C302 A304 C304">
    <cfRule type="expression" dxfId="892" priority="326" stopIfTrue="1">
      <formula>OR($Z302&gt;1,$AA302&gt;1,$AB302&gt;1,$AC302&gt;1,$AD302&gt;1,$AE302&gt;1,$AF302&gt;1)</formula>
    </cfRule>
  </conditionalFormatting>
  <conditionalFormatting sqref="A382">
    <cfRule type="containsText" dxfId="891" priority="102" operator="containsText" text="CUT">
      <formula>NOT(ISERROR(SEARCH("CUT",A382)))</formula>
    </cfRule>
    <cfRule type="containsText" dxfId="890" priority="103" operator="containsText" text="CI">
      <formula>NOT(ISERROR(SEARCH("CI",A382)))</formula>
    </cfRule>
    <cfRule type="cellIs" dxfId="889" priority="106" operator="equal">
      <formula>"CU1"</formula>
    </cfRule>
    <cfRule type="cellIs" dxfId="888" priority="105" operator="equal">
      <formula>"CU2"</formula>
    </cfRule>
    <cfRule type="containsText" dxfId="887" priority="104" operator="containsText" text="TR">
      <formula>NOT(ISERROR(SEARCH("TR",A382)))</formula>
    </cfRule>
  </conditionalFormatting>
  <conditionalFormatting sqref="A382:A386">
    <cfRule type="containsText" dxfId="886" priority="62" operator="containsText" text="PSIC">
      <formula>NOT(ISERROR(SEARCH("PSIC",A382)))</formula>
    </cfRule>
    <cfRule type="expression" dxfId="885" priority="63">
      <formula>OR(A382=21,A382=22,A382=23,A382=24,A382=25,A382=26,A382=27)</formula>
    </cfRule>
    <cfRule type="containsText" dxfId="884" priority="64" operator="containsText" text="REC">
      <formula>NOT(ISERROR(SEARCH("REC",A382)))</formula>
    </cfRule>
    <cfRule type="containsText" dxfId="883" priority="65" operator="containsText" text="CUM">
      <formula>NOT(ISERROR(SEARCH("CUM",A382)))</formula>
    </cfRule>
  </conditionalFormatting>
  <conditionalFormatting sqref="A383">
    <cfRule type="cellIs" dxfId="882" priority="88" operator="equal">
      <formula>"CU1"</formula>
    </cfRule>
    <cfRule type="cellIs" dxfId="881" priority="87" operator="equal">
      <formula>"CU2"</formula>
    </cfRule>
    <cfRule type="containsText" dxfId="880" priority="86" operator="containsText" text="TR">
      <formula>NOT(ISERROR(SEARCH("TR",A383)))</formula>
    </cfRule>
    <cfRule type="containsText" dxfId="879" priority="85" operator="containsText" text="CI">
      <formula>NOT(ISERROR(SEARCH("CI",A383)))</formula>
    </cfRule>
  </conditionalFormatting>
  <conditionalFormatting sqref="A383:A386">
    <cfRule type="containsText" dxfId="878" priority="66" operator="containsText" text="CUT">
      <formula>NOT(ISERROR(SEARCH("CUT",A383)))</formula>
    </cfRule>
  </conditionalFormatting>
  <conditionalFormatting sqref="A384">
    <cfRule type="containsText" dxfId="877" priority="94" operator="containsText" text="CI">
      <formula>NOT(ISERROR(SEARCH("CI",A384)))</formula>
    </cfRule>
    <cfRule type="cellIs" dxfId="876" priority="96" operator="equal">
      <formula>"CU2"</formula>
    </cfRule>
    <cfRule type="cellIs" dxfId="875" priority="97" operator="equal">
      <formula>"CU1"</formula>
    </cfRule>
    <cfRule type="containsText" dxfId="874" priority="95" operator="containsText" text="TR">
      <formula>NOT(ISERROR(SEARCH("TR",A384)))</formula>
    </cfRule>
  </conditionalFormatting>
  <conditionalFormatting sqref="A385">
    <cfRule type="cellIs" dxfId="873" priority="70" operator="equal">
      <formula>"CU1"</formula>
    </cfRule>
    <cfRule type="cellIs" dxfId="872" priority="69" operator="equal">
      <formula>"CU2"</formula>
    </cfRule>
  </conditionalFormatting>
  <conditionalFormatting sqref="A385:A386">
    <cfRule type="containsText" dxfId="871" priority="67" operator="containsText" text="CI">
      <formula>NOT(ISERROR(SEARCH("CI",A385)))</formula>
    </cfRule>
    <cfRule type="containsText" dxfId="870" priority="68" operator="containsText" text="TR">
      <formula>NOT(ISERROR(SEARCH("TR",A385)))</formula>
    </cfRule>
  </conditionalFormatting>
  <conditionalFormatting sqref="A386">
    <cfRule type="cellIs" dxfId="869" priority="78" operator="equal">
      <formula>"CU2"</formula>
    </cfRule>
    <cfRule type="cellIs" dxfId="868" priority="79" operator="equal">
      <formula>"CU1"</formula>
    </cfRule>
  </conditionalFormatting>
  <conditionalFormatting sqref="C30">
    <cfRule type="expression" dxfId="867" priority="30">
      <formula>OR($Z30&gt;1,$AA30&gt;1,$AB30&gt;1,$AC30&gt;1,$AD30&gt;1,$AE30&gt;1,$AF30&gt;1)</formula>
    </cfRule>
  </conditionalFormatting>
  <conditionalFormatting sqref="C32">
    <cfRule type="expression" dxfId="866" priority="29">
      <formula>OR($Z32&gt;1,$AA32&gt;1,$AB32&gt;1,$AC32&gt;1,$AD32&gt;1,$AE32&gt;1,$AF32&gt;1)</formula>
    </cfRule>
  </conditionalFormatting>
  <conditionalFormatting sqref="C34">
    <cfRule type="expression" dxfId="865" priority="28">
      <formula>OR($Z34&gt;1,$AA34&gt;1,$AB34&gt;1,$AC34&gt;1,$AD34&gt;1,$AE34&gt;1,$AF34&gt;1)</formula>
    </cfRule>
  </conditionalFormatting>
  <conditionalFormatting sqref="C36">
    <cfRule type="expression" dxfId="864" priority="27">
      <formula>OR($Z36&gt;1,$AA36&gt;1,$AB36&gt;1,$AC36&gt;1,$AD36&gt;1,$AE36&gt;1,$AF36&gt;1)</formula>
    </cfRule>
  </conditionalFormatting>
  <conditionalFormatting sqref="C38">
    <cfRule type="expression" dxfId="863" priority="26">
      <formula>OR($Z38&gt;1,$AA38&gt;1,$AB38&gt;1,$AC38&gt;1,$AD38&gt;1,$AE38&gt;1,$AF38&gt;1)</formula>
    </cfRule>
  </conditionalFormatting>
  <conditionalFormatting sqref="C40">
    <cfRule type="expression" dxfId="862" priority="25">
      <formula>OR($Z40&gt;1,$AA40&gt;1,$AB40&gt;1,$AC40&gt;1,$AD40&gt;1,$AE40&gt;1,$AF40&gt;1)</formula>
    </cfRule>
  </conditionalFormatting>
  <conditionalFormatting sqref="C42">
    <cfRule type="expression" dxfId="861" priority="24">
      <formula>OR($Z42&gt;1,$AA42&gt;1,$AB42&gt;1,$AC42&gt;1,$AD42&gt;1,$AE42&gt;1,$AF42&gt;1)</formula>
    </cfRule>
  </conditionalFormatting>
  <conditionalFormatting sqref="C44">
    <cfRule type="expression" dxfId="860" priority="23">
      <formula>OR($Z44&gt;1,$AA44&gt;1,$AB44&gt;1,$AC44&gt;1,$AD44&gt;1,$AE44&gt;1,$AF44&gt;1)</formula>
    </cfRule>
  </conditionalFormatting>
  <conditionalFormatting sqref="C46">
    <cfRule type="expression" dxfId="859" priority="22">
      <formula>OR($Z46&gt;1,$AA46&gt;1,$AB46&gt;1,$AC46&gt;1,$AD46&gt;1,$AE46&gt;1,$AF46&gt;1)</formula>
    </cfRule>
  </conditionalFormatting>
  <conditionalFormatting sqref="C48">
    <cfRule type="expression" dxfId="858" priority="21">
      <formula>OR($Z48&gt;1,$AA48&gt;1,$AB48&gt;1,$AC48&gt;1,$AD48&gt;1,$AE48&gt;1,$AF48&gt;1)</formula>
    </cfRule>
  </conditionalFormatting>
  <conditionalFormatting sqref="C50">
    <cfRule type="expression" dxfId="857" priority="20">
      <formula>OR($Z50&gt;1,$AA50&gt;1,$AB50&gt;1,$AC50&gt;1,$AD50&gt;1,$AE50&gt;1,$AF50&gt;1)</formula>
    </cfRule>
  </conditionalFormatting>
  <conditionalFormatting sqref="C52">
    <cfRule type="expression" dxfId="856" priority="19">
      <formula>OR($Z52&gt;1,$AA52&gt;1,$AB52&gt;1,$AC52&gt;1,$AD52&gt;1,$AE52&gt;1,$AF52&gt;1)</formula>
    </cfRule>
  </conditionalFormatting>
  <conditionalFormatting sqref="C54">
    <cfRule type="expression" dxfId="855" priority="18">
      <formula>OR($Z54&gt;1,$AA54&gt;1,$AB54&gt;1,$AC54&gt;1,$AD54&gt;1,$AE54&gt;1,$AF54&gt;1)</formula>
    </cfRule>
  </conditionalFormatting>
  <conditionalFormatting sqref="C56">
    <cfRule type="expression" dxfId="854" priority="17">
      <formula>OR($Z56&gt;1,$AA56&gt;1,$AB56&gt;1,$AC56&gt;1,$AD56&gt;1,$AE56&gt;1,$AF56&gt;1)</formula>
    </cfRule>
  </conditionalFormatting>
  <conditionalFormatting sqref="C58">
    <cfRule type="expression" dxfId="853" priority="16">
      <formula>OR($Z58&gt;1,$AA58&gt;1,$AB58&gt;1,$AC58&gt;1,$AD58&gt;1,$AE58&gt;1,$AF58&gt;1)</formula>
    </cfRule>
  </conditionalFormatting>
  <conditionalFormatting sqref="C60">
    <cfRule type="expression" dxfId="852" priority="15">
      <formula>OR($Z60&gt;1,$AA60&gt;1,$AB60&gt;1,$AC60&gt;1,$AD60&gt;1,$AE60&gt;1,$AF60&gt;1)</formula>
    </cfRule>
  </conditionalFormatting>
  <conditionalFormatting sqref="C62">
    <cfRule type="expression" dxfId="851" priority="14">
      <formula>OR($Z62&gt;1,$AA62&gt;1,$AB62&gt;1,$AC62&gt;1,$AD62&gt;1,$AE62&gt;1,$AF62&gt;1)</formula>
    </cfRule>
  </conditionalFormatting>
  <conditionalFormatting sqref="C64">
    <cfRule type="expression" dxfId="850" priority="13">
      <formula>OR($Z64&gt;1,$AA64&gt;1,$AB64&gt;1,$AC64&gt;1,$AD64&gt;1,$AE64&gt;1,$AF64&gt;1)</formula>
    </cfRule>
  </conditionalFormatting>
  <conditionalFormatting sqref="C66">
    <cfRule type="expression" dxfId="849" priority="12">
      <formula>OR($Z66&gt;1,$AA66&gt;1,$AB66&gt;1,$AC66&gt;1,$AD66&gt;1,$AE66&gt;1,$AF66&gt;1)</formula>
    </cfRule>
  </conditionalFormatting>
  <conditionalFormatting sqref="C68">
    <cfRule type="expression" dxfId="848" priority="11">
      <formula>OR($Z68&gt;1,$AA68&gt;1,$AB68&gt;1,$AC68&gt;1,$AD68&gt;1,$AE68&gt;1,$AF68&gt;1)</formula>
    </cfRule>
  </conditionalFormatting>
  <conditionalFormatting sqref="C70">
    <cfRule type="expression" dxfId="847" priority="10">
      <formula>OR($Z70&gt;1,$AA70&gt;1,$AB70&gt;1,$AC70&gt;1,$AD70&gt;1,$AE70&gt;1,$AF70&gt;1)</formula>
    </cfRule>
  </conditionalFormatting>
  <conditionalFormatting sqref="C72">
    <cfRule type="expression" dxfId="846" priority="9">
      <formula>OR($Z72&gt;1,$AA72&gt;1,$AB72&gt;1,$AC72&gt;1,$AD72&gt;1,$AE72&gt;1,$AF72&gt;1)</formula>
    </cfRule>
  </conditionalFormatting>
  <conditionalFormatting sqref="C74">
    <cfRule type="expression" dxfId="845" priority="8">
      <formula>OR($Z74&gt;1,$AA74&gt;1,$AB74&gt;1,$AC74&gt;1,$AD74&gt;1,$AE74&gt;1,$AF74&gt;1)</formula>
    </cfRule>
  </conditionalFormatting>
  <conditionalFormatting sqref="C76">
    <cfRule type="expression" dxfId="844" priority="7">
      <formula>OR($Z76&gt;1,$AA76&gt;1,$AB76&gt;1,$AC76&gt;1,$AD76&gt;1,$AE76&gt;1,$AF76&gt;1)</formula>
    </cfRule>
  </conditionalFormatting>
  <conditionalFormatting sqref="C78">
    <cfRule type="expression" dxfId="843" priority="6">
      <formula>OR($Z78&gt;1,$AA78&gt;1,$AB78&gt;1,$AC78&gt;1,$AD78&gt;1,$AE78&gt;1,$AF78&gt;1)</formula>
    </cfRule>
  </conditionalFormatting>
  <conditionalFormatting sqref="C80">
    <cfRule type="expression" dxfId="842" priority="5">
      <formula>OR($Z80&gt;1,$AA80&gt;1,$AB80&gt;1,$AC80&gt;1,$AD80&gt;1,$AE80&gt;1,$AF80&gt;1)</formula>
    </cfRule>
  </conditionalFormatting>
  <conditionalFormatting sqref="C82">
    <cfRule type="expression" dxfId="841" priority="4">
      <formula>OR($Z82&gt;1,$AA82&gt;1,$AB82&gt;1,$AC82&gt;1,$AD82&gt;1,$AE82&gt;1,$AF82&gt;1)</formula>
    </cfRule>
  </conditionalFormatting>
  <conditionalFormatting sqref="C84">
    <cfRule type="expression" dxfId="840" priority="3">
      <formula>OR($Z84&gt;1,$AA84&gt;1,$AB84&gt;1,$AC84&gt;1,$AD84&gt;1,$AE84&gt;1,$AF84&gt;1)</formula>
    </cfRule>
  </conditionalFormatting>
  <conditionalFormatting sqref="C86">
    <cfRule type="expression" dxfId="839" priority="2">
      <formula>OR($Z86&gt;1,$AA86&gt;1,$AB86&gt;1,$AC86&gt;1,$AD86&gt;1,$AE86&gt;1,$AF86&gt;1)</formula>
    </cfRule>
  </conditionalFormatting>
  <conditionalFormatting sqref="D255:D256">
    <cfRule type="cellIs" dxfId="838" priority="626" operator="equal">
      <formula>"CU1"</formula>
    </cfRule>
    <cfRule type="cellIs" dxfId="837" priority="625" operator="equal">
      <formula>"FO"</formula>
    </cfRule>
    <cfRule type="cellIs" dxfId="836" priority="624" operator="equal">
      <formula>"CU2"</formula>
    </cfRule>
  </conditionalFormatting>
  <conditionalFormatting sqref="D289:D290">
    <cfRule type="cellIs" dxfId="835" priority="1926" operator="equal">
      <formula>"CU1"</formula>
    </cfRule>
    <cfRule type="cellIs" dxfId="834" priority="1925" operator="equal">
      <formula>"FO"</formula>
    </cfRule>
    <cfRule type="cellIs" dxfId="833" priority="1924" operator="equal">
      <formula>"CU2"</formula>
    </cfRule>
  </conditionalFormatting>
  <conditionalFormatting sqref="D303">
    <cfRule type="cellIs" dxfId="832" priority="328" operator="equal">
      <formula>D304</formula>
    </cfRule>
  </conditionalFormatting>
  <conditionalFormatting sqref="D303:D304">
    <cfRule type="cellIs" dxfId="831" priority="333" operator="equal">
      <formula>"CU1"</formula>
    </cfRule>
    <cfRule type="cellIs" dxfId="830" priority="331" operator="equal">
      <formula>"CU2"</formula>
    </cfRule>
    <cfRule type="cellIs" dxfId="829" priority="332" operator="equal">
      <formula>"FO"</formula>
    </cfRule>
  </conditionalFormatting>
  <conditionalFormatting sqref="D310 F310:J310">
    <cfRule type="cellIs" dxfId="828" priority="292" operator="equal">
      <formula>"CU2T"</formula>
    </cfRule>
    <cfRule type="cellIs" dxfId="827" priority="293" operator="equal">
      <formula>"CU2M"</formula>
    </cfRule>
  </conditionalFormatting>
  <conditionalFormatting sqref="D312 F312:J312">
    <cfRule type="cellIs" dxfId="826" priority="362" operator="equal">
      <formula>"CU2T"</formula>
    </cfRule>
    <cfRule type="cellIs" dxfId="825" priority="363" operator="equal">
      <formula>"CU2M"</formula>
    </cfRule>
  </conditionalFormatting>
  <conditionalFormatting sqref="D316 F316:J316">
    <cfRule type="cellIs" dxfId="824" priority="260" operator="equal">
      <formula>"CU2M"</formula>
    </cfRule>
    <cfRule type="cellIs" dxfId="823" priority="259" operator="equal">
      <formula>"CU2T"</formula>
    </cfRule>
  </conditionalFormatting>
  <conditionalFormatting sqref="D27:E27 G27:J27 H287:J287 D289 H289:J289">
    <cfRule type="cellIs" dxfId="822" priority="1921" operator="equal">
      <formula>D28</formula>
    </cfRule>
  </conditionalFormatting>
  <conditionalFormatting sqref="D27:E27 G27:J27">
    <cfRule type="cellIs" dxfId="821" priority="1966" operator="equal">
      <formula>"REC"</formula>
    </cfRule>
  </conditionalFormatting>
  <conditionalFormatting sqref="D281:F282">
    <cfRule type="containsText" dxfId="820" priority="171" operator="containsText" text="FG">
      <formula>NOT(ISERROR(SEARCH("FG",D281)))</formula>
    </cfRule>
    <cfRule type="containsText" dxfId="819" priority="172" operator="containsText" text="FG">
      <formula>NOT(ISERROR(SEARCH("FG",D281)))</formula>
    </cfRule>
    <cfRule type="cellIs" dxfId="818" priority="175" operator="equal">
      <formula>"CU2"</formula>
    </cfRule>
    <cfRule type="cellIs" dxfId="817" priority="176" operator="equal">
      <formula>"FGL"</formula>
    </cfRule>
    <cfRule type="cellIs" dxfId="816" priority="177" operator="equal">
      <formula>"FO"</formula>
    </cfRule>
    <cfRule type="cellIs" dxfId="815" priority="178" operator="equal">
      <formula>"CU1"</formula>
    </cfRule>
  </conditionalFormatting>
  <conditionalFormatting sqref="D37:G38">
    <cfRule type="cellIs" dxfId="814" priority="1104" operator="equal">
      <formula>"CU1"</formula>
    </cfRule>
    <cfRule type="cellIs" dxfId="813" priority="1102" operator="equal">
      <formula>"CU2"</formula>
    </cfRule>
    <cfRule type="cellIs" dxfId="812" priority="1103" operator="equal">
      <formula>"FO"</formula>
    </cfRule>
  </conditionalFormatting>
  <conditionalFormatting sqref="D40:G42">
    <cfRule type="cellIs" dxfId="811" priority="992" operator="equal">
      <formula>"CU2"</formula>
    </cfRule>
    <cfRule type="cellIs" dxfId="810" priority="994" operator="equal">
      <formula>"CU1"</formula>
    </cfRule>
    <cfRule type="cellIs" dxfId="809" priority="993" operator="equal">
      <formula>"FO"</formula>
    </cfRule>
  </conditionalFormatting>
  <conditionalFormatting sqref="D45:G45 I45:J45">
    <cfRule type="cellIs" dxfId="808" priority="1111" operator="equal">
      <formula>D46</formula>
    </cfRule>
  </conditionalFormatting>
  <conditionalFormatting sqref="D47:G48">
    <cfRule type="cellIs" dxfId="807" priority="1072" operator="equal">
      <formula>"CU1"</formula>
    </cfRule>
    <cfRule type="cellIs" dxfId="806" priority="1070" operator="equal">
      <formula>"CU2"</formula>
    </cfRule>
    <cfRule type="cellIs" dxfId="805" priority="1071" operator="equal">
      <formula>"FO"</formula>
    </cfRule>
  </conditionalFormatting>
  <conditionalFormatting sqref="D121:G121">
    <cfRule type="cellIs" dxfId="804" priority="1309" operator="equal">
      <formula>D126</formula>
    </cfRule>
  </conditionalFormatting>
  <conditionalFormatting sqref="D122:G122">
    <cfRule type="cellIs" dxfId="803" priority="1308" operator="equal">
      <formula>D125</formula>
    </cfRule>
  </conditionalFormatting>
  <conditionalFormatting sqref="D249:G250">
    <cfRule type="cellIs" dxfId="802" priority="574" operator="equal">
      <formula>"CU1"</formula>
    </cfRule>
    <cfRule type="cellIs" dxfId="801" priority="572" operator="equal">
      <formula>"CU2"</formula>
    </cfRule>
    <cfRule type="cellIs" dxfId="800" priority="573" operator="equal">
      <formula>"FO"</formula>
    </cfRule>
  </conditionalFormatting>
  <conditionalFormatting sqref="D299:H299">
    <cfRule type="cellIs" dxfId="799" priority="375" operator="equal">
      <formula>D$28</formula>
    </cfRule>
  </conditionalFormatting>
  <conditionalFormatting sqref="D299:H300">
    <cfRule type="cellIs" dxfId="798" priority="381" operator="equal">
      <formula>"CU1"</formula>
    </cfRule>
    <cfRule type="cellIs" dxfId="797" priority="380" operator="equal">
      <formula>"FO"</formula>
    </cfRule>
    <cfRule type="cellIs" dxfId="796" priority="378" operator="equal">
      <formula>"CU2"</formula>
    </cfRule>
    <cfRule type="cellIs" dxfId="795" priority="377" operator="equal">
      <formula>"REC"</formula>
    </cfRule>
    <cfRule type="containsText" dxfId="794" priority="376" operator="containsText" text="REC">
      <formula>NOT(ISERROR(SEARCH("REC",D299)))</formula>
    </cfRule>
  </conditionalFormatting>
  <conditionalFormatting sqref="D300:H300">
    <cfRule type="cellIs" dxfId="793" priority="379" operator="equal">
      <formula>"FGL"</formula>
    </cfRule>
  </conditionalFormatting>
  <conditionalFormatting sqref="D305:H305">
    <cfRule type="cellIs" dxfId="792" priority="382" operator="equal">
      <formula>D$28</formula>
    </cfRule>
    <cfRule type="cellIs" dxfId="791" priority="305" operator="equal">
      <formula>D$28</formula>
    </cfRule>
  </conditionalFormatting>
  <conditionalFormatting sqref="D305:H306">
    <cfRule type="cellIs" dxfId="790" priority="388" operator="equal">
      <formula>"CU1"</formula>
    </cfRule>
    <cfRule type="cellIs" dxfId="789" priority="311" operator="equal">
      <formula>"CU1"</formula>
    </cfRule>
    <cfRule type="cellIs" dxfId="788" priority="310" operator="equal">
      <formula>"FO"</formula>
    </cfRule>
    <cfRule type="cellIs" dxfId="787" priority="309" operator="equal">
      <formula>"CU2"</formula>
    </cfRule>
    <cfRule type="cellIs" dxfId="786" priority="387" operator="equal">
      <formula>"FO"</formula>
    </cfRule>
    <cfRule type="cellIs" dxfId="785" priority="385" operator="equal">
      <formula>"CU2"</formula>
    </cfRule>
    <cfRule type="containsText" dxfId="784" priority="306" operator="containsText" text="REC">
      <formula>NOT(ISERROR(SEARCH("REC",D305)))</formula>
    </cfRule>
  </conditionalFormatting>
  <conditionalFormatting sqref="D305:H308">
    <cfRule type="cellIs" dxfId="783" priority="295" operator="equal">
      <formula>"REC"</formula>
    </cfRule>
    <cfRule type="containsText" dxfId="782" priority="383" operator="containsText" text="REC">
      <formula>NOT(ISERROR(SEARCH("REC",D305)))</formula>
    </cfRule>
  </conditionalFormatting>
  <conditionalFormatting sqref="D306:H306">
    <cfRule type="cellIs" dxfId="781" priority="386" operator="equal">
      <formula>"FGL"</formula>
    </cfRule>
    <cfRule type="cellIs" dxfId="780" priority="308" operator="equal">
      <formula>"FGL"</formula>
    </cfRule>
  </conditionalFormatting>
  <conditionalFormatting sqref="D307:H307">
    <cfRule type="cellIs" dxfId="779" priority="403" operator="equal">
      <formula>D$28</formula>
    </cfRule>
  </conditionalFormatting>
  <conditionalFormatting sqref="D307:H308">
    <cfRule type="cellIs" dxfId="778" priority="408" operator="equal">
      <formula>"FO"</formula>
    </cfRule>
    <cfRule type="cellIs" dxfId="777" priority="407" operator="equal">
      <formula>"CU2"</formula>
    </cfRule>
    <cfRule type="cellIs" dxfId="776" priority="409" operator="equal">
      <formula>"CU1"</formula>
    </cfRule>
  </conditionalFormatting>
  <conditionalFormatting sqref="D307:H310">
    <cfRule type="cellIs" dxfId="775" priority="304" operator="equal">
      <formula>"CU1"</formula>
    </cfRule>
    <cfRule type="cellIs" dxfId="774" priority="303" operator="equal">
      <formula>"CU2M"</formula>
    </cfRule>
    <cfRule type="cellIs" priority="302" operator="equal">
      <formula>"CU2T"</formula>
    </cfRule>
    <cfRule type="cellIs" dxfId="773" priority="301" operator="equal">
      <formula>"CU2T"</formula>
    </cfRule>
    <cfRule type="cellIs" dxfId="772" priority="300" operator="equal">
      <formula>"FO"</formula>
    </cfRule>
    <cfRule type="cellIs" dxfId="771" priority="298" operator="equal">
      <formula>"CU2"</formula>
    </cfRule>
    <cfRule type="cellIs" dxfId="770" priority="297" operator="equal">
      <formula>"C2M"</formula>
    </cfRule>
    <cfRule type="cellIs" dxfId="769" priority="296" operator="equal">
      <formula>"C2T"</formula>
    </cfRule>
  </conditionalFormatting>
  <conditionalFormatting sqref="D308:H308">
    <cfRule type="cellIs" dxfId="768" priority="406" operator="equal">
      <formula>"FGL"</formula>
    </cfRule>
    <cfRule type="cellIs" dxfId="767" priority="299" operator="equal">
      <formula>"FGL"</formula>
    </cfRule>
  </conditionalFormatting>
  <conditionalFormatting sqref="D310:H310">
    <cfRule type="cellIs" dxfId="766" priority="369" operator="equal">
      <formula>"FGL"</formula>
    </cfRule>
  </conditionalFormatting>
  <conditionalFormatting sqref="D4:J26">
    <cfRule type="cellIs" dxfId="765" priority="2008" operator="equal">
      <formula>"CU2M"</formula>
    </cfRule>
    <cfRule type="cellIs" dxfId="764" priority="2007" operator="equal">
      <formula>"CU2T"</formula>
    </cfRule>
  </conditionalFormatting>
  <conditionalFormatting sqref="D27:J386">
    <cfRule type="containsText" dxfId="763" priority="61" operator="containsText" text="PSIC">
      <formula>NOT(ISERROR(SEARCH("PSIC",D27)))</formula>
    </cfRule>
    <cfRule type="containsText" dxfId="762" priority="170" operator="containsText" text="CUT">
      <formula>NOT(ISERROR(SEARCH("CUT",D27)))</formula>
    </cfRule>
    <cfRule type="containsText" dxfId="761" priority="169" operator="containsText" text="CUM">
      <formula>NOT(ISERROR(SEARCH("CUM",D27)))</formula>
    </cfRule>
  </conditionalFormatting>
  <conditionalFormatting sqref="D28:J28 D373:J386 D27:E27 G27:J27">
    <cfRule type="containsText" dxfId="760" priority="1965" operator="containsText" text="REC">
      <formula>NOT(ISERROR(SEARCH("REC",D27)))</formula>
    </cfRule>
  </conditionalFormatting>
  <conditionalFormatting sqref="D28:J28">
    <cfRule type="cellIs" dxfId="759" priority="1264" operator="equal">
      <formula>"FGL"</formula>
    </cfRule>
  </conditionalFormatting>
  <conditionalFormatting sqref="D28:J30">
    <cfRule type="cellIs" dxfId="758" priority="1022" operator="equal">
      <formula>"CU2"</formula>
    </cfRule>
    <cfRule type="cellIs" dxfId="757" priority="1023" operator="equal">
      <formula>"FO"</formula>
    </cfRule>
    <cfRule type="cellIs" dxfId="756" priority="1024" operator="equal">
      <formula>"CU1"</formula>
    </cfRule>
  </conditionalFormatting>
  <conditionalFormatting sqref="D28:J53">
    <cfRule type="cellIs" dxfId="755" priority="918" operator="equal">
      <formula>"REC"</formula>
    </cfRule>
  </conditionalFormatting>
  <conditionalFormatting sqref="D29:J29">
    <cfRule type="cellIs" dxfId="754" priority="1019" operator="equal">
      <formula>D30</formula>
    </cfRule>
  </conditionalFormatting>
  <conditionalFormatting sqref="D29:J53">
    <cfRule type="containsText" dxfId="753" priority="917" operator="containsText" text="REC">
      <formula>NOT(ISERROR(SEARCH("REC",D29)))</formula>
    </cfRule>
  </conditionalFormatting>
  <conditionalFormatting sqref="D30:J30">
    <cfRule type="cellIs" dxfId="752" priority="1028" operator="equal">
      <formula>"FGL"</formula>
    </cfRule>
  </conditionalFormatting>
  <conditionalFormatting sqref="D31:J31">
    <cfRule type="cellIs" dxfId="751" priority="1246" operator="equal">
      <formula>D$28</formula>
    </cfRule>
  </conditionalFormatting>
  <conditionalFormatting sqref="D31:J32">
    <cfRule type="cellIs" dxfId="750" priority="1252" operator="equal">
      <formula>"CU1"</formula>
    </cfRule>
    <cfRule type="cellIs" dxfId="749" priority="1251" operator="equal">
      <formula>"FO"</formula>
    </cfRule>
    <cfRule type="cellIs" dxfId="748" priority="1249" operator="equal">
      <formula>"CU2"</formula>
    </cfRule>
  </conditionalFormatting>
  <conditionalFormatting sqref="D32:J32">
    <cfRule type="cellIs" dxfId="747" priority="1250" operator="equal">
      <formula>"FGL"</formula>
    </cfRule>
  </conditionalFormatting>
  <conditionalFormatting sqref="D33:J33">
    <cfRule type="cellIs" dxfId="746" priority="1031" operator="equal">
      <formula>D34</formula>
    </cfRule>
  </conditionalFormatting>
  <conditionalFormatting sqref="D33:J34">
    <cfRule type="cellIs" dxfId="745" priority="1034" operator="equal">
      <formula>"CU2"</formula>
    </cfRule>
    <cfRule type="cellIs" dxfId="744" priority="1035" operator="equal">
      <formula>"FO"</formula>
    </cfRule>
    <cfRule type="cellIs" dxfId="743" priority="1036" operator="equal">
      <formula>"CU1"</formula>
    </cfRule>
  </conditionalFormatting>
  <conditionalFormatting sqref="D34:J34">
    <cfRule type="cellIs" dxfId="742" priority="1040" operator="equal">
      <formula>"FGL"</formula>
    </cfRule>
  </conditionalFormatting>
  <conditionalFormatting sqref="D35:J35">
    <cfRule type="cellIs" dxfId="741" priority="1123" operator="equal">
      <formula>D36</formula>
    </cfRule>
  </conditionalFormatting>
  <conditionalFormatting sqref="D35:J36">
    <cfRule type="cellIs" dxfId="740" priority="1126" operator="equal">
      <formula>"CU2"</formula>
    </cfRule>
    <cfRule type="cellIs" dxfId="739" priority="1128" operator="equal">
      <formula>"CU1"</formula>
    </cfRule>
    <cfRule type="cellIs" dxfId="738" priority="1127" operator="equal">
      <formula>"FO"</formula>
    </cfRule>
  </conditionalFormatting>
  <conditionalFormatting sqref="D36:J36">
    <cfRule type="cellIs" dxfId="737" priority="1132" operator="equal">
      <formula>"FGL"</formula>
    </cfRule>
  </conditionalFormatting>
  <conditionalFormatting sqref="D37:J37">
    <cfRule type="cellIs" dxfId="736" priority="977" operator="equal">
      <formula>D38</formula>
    </cfRule>
  </conditionalFormatting>
  <conditionalFormatting sqref="D38:J38">
    <cfRule type="cellIs" dxfId="735" priority="986" operator="equal">
      <formula>"FGL"</formula>
    </cfRule>
  </conditionalFormatting>
  <conditionalFormatting sqref="D39:J39">
    <cfRule type="cellIs" dxfId="734" priority="935" operator="equal">
      <formula>D40</formula>
    </cfRule>
    <cfRule type="cellIs" dxfId="733" priority="938" operator="equal">
      <formula>"CU2"</formula>
    </cfRule>
    <cfRule type="cellIs" dxfId="732" priority="939" operator="equal">
      <formula>"FO"</formula>
    </cfRule>
    <cfRule type="cellIs" dxfId="731" priority="940" operator="equal">
      <formula>"CU1"</formula>
    </cfRule>
  </conditionalFormatting>
  <conditionalFormatting sqref="D40:J40">
    <cfRule type="cellIs" dxfId="730" priority="1004" operator="equal">
      <formula>"FGL"</formula>
    </cfRule>
  </conditionalFormatting>
  <conditionalFormatting sqref="D41:J41">
    <cfRule type="cellIs" dxfId="729" priority="957" operator="equal">
      <formula>D42</formula>
    </cfRule>
  </conditionalFormatting>
  <conditionalFormatting sqref="D42:J42">
    <cfRule type="cellIs" dxfId="728" priority="966" operator="equal">
      <formula>"FGL"</formula>
    </cfRule>
  </conditionalFormatting>
  <conditionalFormatting sqref="D43:J43">
    <cfRule type="cellIs" dxfId="727" priority="1043" operator="equal">
      <formula>D44</formula>
    </cfRule>
  </conditionalFormatting>
  <conditionalFormatting sqref="D43:J44">
    <cfRule type="cellIs" dxfId="726" priority="1046" operator="equal">
      <formula>"CU2"</formula>
    </cfRule>
    <cfRule type="cellIs" dxfId="725" priority="1047" operator="equal">
      <formula>"FO"</formula>
    </cfRule>
    <cfRule type="cellIs" dxfId="724" priority="1048" operator="equal">
      <formula>"CU1"</formula>
    </cfRule>
  </conditionalFormatting>
  <conditionalFormatting sqref="D44:J44">
    <cfRule type="cellIs" dxfId="723" priority="1052" operator="equal">
      <formula>"FGL"</formula>
    </cfRule>
  </conditionalFormatting>
  <conditionalFormatting sqref="D45:J46">
    <cfRule type="cellIs" dxfId="722" priority="1114" operator="equal">
      <formula>"CU2"</formula>
    </cfRule>
    <cfRule type="cellIs" dxfId="721" priority="1115" operator="equal">
      <formula>"FO"</formula>
    </cfRule>
    <cfRule type="cellIs" dxfId="720" priority="1116" operator="equal">
      <formula>"CU1"</formula>
    </cfRule>
  </conditionalFormatting>
  <conditionalFormatting sqref="D46:J46">
    <cfRule type="cellIs" dxfId="719" priority="1120" operator="equal">
      <formula>"FGL"</formula>
    </cfRule>
  </conditionalFormatting>
  <conditionalFormatting sqref="D47:J47">
    <cfRule type="cellIs" dxfId="718" priority="1067" operator="equal">
      <formula>D48</formula>
    </cfRule>
  </conditionalFormatting>
  <conditionalFormatting sqref="D48:J48">
    <cfRule type="cellIs" dxfId="717" priority="1076" operator="equal">
      <formula>"FGL"</formula>
    </cfRule>
  </conditionalFormatting>
  <conditionalFormatting sqref="D49:J49">
    <cfRule type="cellIs" dxfId="716" priority="916" operator="equal">
      <formula>D50</formula>
    </cfRule>
  </conditionalFormatting>
  <conditionalFormatting sqref="D49:J50">
    <cfRule type="cellIs" dxfId="715" priority="919" operator="equal">
      <formula>"CU2"</formula>
    </cfRule>
    <cfRule type="cellIs" dxfId="714" priority="920" operator="equal">
      <formula>"FO"</formula>
    </cfRule>
    <cfRule type="cellIs" dxfId="713" priority="921" operator="equal">
      <formula>"CU1"</formula>
    </cfRule>
  </conditionalFormatting>
  <conditionalFormatting sqref="D50:J50">
    <cfRule type="cellIs" dxfId="712" priority="925" operator="equal">
      <formula>"FGL"</formula>
    </cfRule>
  </conditionalFormatting>
  <conditionalFormatting sqref="D51:J51">
    <cfRule type="cellIs" dxfId="711" priority="941" operator="equal">
      <formula>D52</formula>
    </cfRule>
  </conditionalFormatting>
  <conditionalFormatting sqref="D51:J52">
    <cfRule type="cellIs" dxfId="710" priority="945" operator="equal">
      <formula>"CU2"</formula>
    </cfRule>
    <cfRule type="cellIs" dxfId="709" priority="947" operator="equal">
      <formula>"FO"</formula>
    </cfRule>
    <cfRule type="cellIs" dxfId="708" priority="948" operator="equal">
      <formula>"CU1"</formula>
    </cfRule>
  </conditionalFormatting>
  <conditionalFormatting sqref="D52:J52">
    <cfRule type="cellIs" dxfId="707" priority="946" operator="equal">
      <formula>"FGL"</formula>
    </cfRule>
  </conditionalFormatting>
  <conditionalFormatting sqref="D53:J53 I54:J54">
    <cfRule type="cellIs" dxfId="706" priority="931" operator="equal">
      <formula>"CU2"</formula>
    </cfRule>
    <cfRule type="cellIs" dxfId="705" priority="933" operator="equal">
      <formula>"FO"</formula>
    </cfRule>
    <cfRule type="cellIs" dxfId="704" priority="934" operator="equal">
      <formula>"CU1"</formula>
    </cfRule>
  </conditionalFormatting>
  <conditionalFormatting sqref="D53:J53">
    <cfRule type="cellIs" dxfId="703" priority="928" operator="equal">
      <formula>D54</formula>
    </cfRule>
  </conditionalFormatting>
  <conditionalFormatting sqref="D55:J55">
    <cfRule type="cellIs" dxfId="702" priority="1237" operator="equal">
      <formula>D56</formula>
    </cfRule>
  </conditionalFormatting>
  <conditionalFormatting sqref="D55:J56">
    <cfRule type="cellIs" dxfId="701" priority="1240" operator="equal">
      <formula>"CU2"</formula>
    </cfRule>
    <cfRule type="cellIs" dxfId="700" priority="1241" operator="equal">
      <formula>"FO"</formula>
    </cfRule>
    <cfRule type="cellIs" dxfId="699" priority="1242" operator="equal">
      <formula>"CU1"</formula>
    </cfRule>
  </conditionalFormatting>
  <conditionalFormatting sqref="D55:J98">
    <cfRule type="containsText" dxfId="698" priority="857" operator="containsText" text="REC">
      <formula>NOT(ISERROR(SEARCH("REC",D55)))</formula>
    </cfRule>
    <cfRule type="cellIs" dxfId="697" priority="858" operator="equal">
      <formula>"REC"</formula>
    </cfRule>
  </conditionalFormatting>
  <conditionalFormatting sqref="D56:J56 D60:J60 D62:J62 D68:J68 D70:J70 D72:J72 D76:J76 D78:J78 D80:J80 D82:J82 D84:J84 D86:J86 D88:J88 D90:J90 D92:J92 D94:J94 D96:J96 D98:J98">
    <cfRule type="cellIs" dxfId="696" priority="1256" operator="equal">
      <formula>"FGL"</formula>
    </cfRule>
  </conditionalFormatting>
  <conditionalFormatting sqref="D57:J57">
    <cfRule type="cellIs" dxfId="695" priority="1058" operator="equal">
      <formula>"CU2"</formula>
    </cfRule>
    <cfRule type="cellIs" dxfId="694" priority="1060" operator="equal">
      <formula>"CU1"</formula>
    </cfRule>
    <cfRule type="cellIs" dxfId="693" priority="1055" operator="equal">
      <formula>D58</formula>
    </cfRule>
    <cfRule type="cellIs" dxfId="692" priority="1059" operator="equal">
      <formula>"FO"</formula>
    </cfRule>
  </conditionalFormatting>
  <conditionalFormatting sqref="D58:J58">
    <cfRule type="cellIs" dxfId="691" priority="890" operator="equal">
      <formula>"FO"</formula>
    </cfRule>
    <cfRule type="cellIs" dxfId="690" priority="891" operator="equal">
      <formula>"CU1"</formula>
    </cfRule>
    <cfRule type="cellIs" dxfId="689" priority="888" operator="equal">
      <formula>"CU2"</formula>
    </cfRule>
    <cfRule type="cellIs" dxfId="688" priority="889" operator="equal">
      <formula>"FGL"</formula>
    </cfRule>
  </conditionalFormatting>
  <conditionalFormatting sqref="D59:J59">
    <cfRule type="cellIs" dxfId="687" priority="1231" operator="equal">
      <formula>D60</formula>
    </cfRule>
  </conditionalFormatting>
  <conditionalFormatting sqref="D59:J60">
    <cfRule type="cellIs" dxfId="686" priority="1236" operator="equal">
      <formula>"CU1"</formula>
    </cfRule>
    <cfRule type="cellIs" dxfId="685" priority="1235" operator="equal">
      <formula>"FO"</formula>
    </cfRule>
    <cfRule type="cellIs" dxfId="684" priority="1234" operator="equal">
      <formula>"CU2"</formula>
    </cfRule>
  </conditionalFormatting>
  <conditionalFormatting sqref="D61:J61">
    <cfRule type="cellIs" dxfId="683" priority="1225" operator="equal">
      <formula>D62</formula>
    </cfRule>
  </conditionalFormatting>
  <conditionalFormatting sqref="D61:J62">
    <cfRule type="cellIs" dxfId="682" priority="1230" operator="equal">
      <formula>"CU1"</formula>
    </cfRule>
    <cfRule type="cellIs" dxfId="681" priority="1228" operator="equal">
      <formula>"CU2"</formula>
    </cfRule>
    <cfRule type="cellIs" dxfId="680" priority="1229" operator="equal">
      <formula>"FO"</formula>
    </cfRule>
  </conditionalFormatting>
  <conditionalFormatting sqref="D63:J63">
    <cfRule type="cellIs" dxfId="679" priority="856" operator="equal">
      <formula>D64</formula>
    </cfRule>
  </conditionalFormatting>
  <conditionalFormatting sqref="D63:J64">
    <cfRule type="cellIs" dxfId="678" priority="859" operator="equal">
      <formula>"CU2"</formula>
    </cfRule>
    <cfRule type="cellIs" dxfId="677" priority="860" operator="equal">
      <formula>"FO"</formula>
    </cfRule>
    <cfRule type="cellIs" dxfId="676" priority="861" operator="equal">
      <formula>"CU1"</formula>
    </cfRule>
  </conditionalFormatting>
  <conditionalFormatting sqref="D64:J64">
    <cfRule type="cellIs" dxfId="675" priority="865" operator="equal">
      <formula>"FGL"</formula>
    </cfRule>
  </conditionalFormatting>
  <conditionalFormatting sqref="D65:J65">
    <cfRule type="cellIs" dxfId="674" priority="904" operator="equal">
      <formula>D66</formula>
    </cfRule>
  </conditionalFormatting>
  <conditionalFormatting sqref="D65:J66">
    <cfRule type="cellIs" dxfId="673" priority="909" operator="equal">
      <formula>"CU1"</formula>
    </cfRule>
    <cfRule type="cellIs" dxfId="672" priority="908" operator="equal">
      <formula>"FO"</formula>
    </cfRule>
    <cfRule type="cellIs" dxfId="671" priority="907" operator="equal">
      <formula>"CU2"</formula>
    </cfRule>
  </conditionalFormatting>
  <conditionalFormatting sqref="D66:J66">
    <cfRule type="cellIs" dxfId="670" priority="913" operator="equal">
      <formula>"FGL"</formula>
    </cfRule>
  </conditionalFormatting>
  <conditionalFormatting sqref="D67:J67">
    <cfRule type="cellIs" dxfId="669" priority="1219" operator="equal">
      <formula>D68</formula>
    </cfRule>
  </conditionalFormatting>
  <conditionalFormatting sqref="D67:J68">
    <cfRule type="cellIs" dxfId="668" priority="1224" operator="equal">
      <formula>"CU1"</formula>
    </cfRule>
    <cfRule type="cellIs" dxfId="667" priority="1223" operator="equal">
      <formula>"FO"</formula>
    </cfRule>
    <cfRule type="cellIs" dxfId="666" priority="1222" operator="equal">
      <formula>"CU2"</formula>
    </cfRule>
  </conditionalFormatting>
  <conditionalFormatting sqref="D69:J69">
    <cfRule type="cellIs" dxfId="665" priority="1213" operator="equal">
      <formula>D70</formula>
    </cfRule>
  </conditionalFormatting>
  <conditionalFormatting sqref="D69:J70">
    <cfRule type="cellIs" dxfId="664" priority="1216" operator="equal">
      <formula>"CU2"</formula>
    </cfRule>
    <cfRule type="cellIs" dxfId="663" priority="1217" operator="equal">
      <formula>"FO"</formula>
    </cfRule>
    <cfRule type="cellIs" dxfId="662" priority="1218" operator="equal">
      <formula>"CU1"</formula>
    </cfRule>
  </conditionalFormatting>
  <conditionalFormatting sqref="D71:J71">
    <cfRule type="cellIs" dxfId="661" priority="1207" operator="equal">
      <formula>D72</formula>
    </cfRule>
  </conditionalFormatting>
  <conditionalFormatting sqref="D71:J72">
    <cfRule type="cellIs" dxfId="660" priority="1211" operator="equal">
      <formula>"FO"</formula>
    </cfRule>
    <cfRule type="cellIs" dxfId="659" priority="1210" operator="equal">
      <formula>"CU2"</formula>
    </cfRule>
    <cfRule type="cellIs" dxfId="658" priority="1212" operator="equal">
      <formula>"CU1"</formula>
    </cfRule>
  </conditionalFormatting>
  <conditionalFormatting sqref="D73:J73">
    <cfRule type="cellIs" dxfId="657" priority="892" operator="equal">
      <formula>D74</formula>
    </cfRule>
  </conditionalFormatting>
  <conditionalFormatting sqref="D73:J74">
    <cfRule type="cellIs" dxfId="656" priority="895" operator="equal">
      <formula>"CU2"</formula>
    </cfRule>
    <cfRule type="cellIs" dxfId="655" priority="897" operator="equal">
      <formula>"CU1"</formula>
    </cfRule>
    <cfRule type="cellIs" dxfId="654" priority="896" operator="equal">
      <formula>"FO"</formula>
    </cfRule>
  </conditionalFormatting>
  <conditionalFormatting sqref="D74:J74">
    <cfRule type="cellIs" dxfId="653" priority="901" operator="equal">
      <formula>"FGL"</formula>
    </cfRule>
  </conditionalFormatting>
  <conditionalFormatting sqref="D75:J75">
    <cfRule type="cellIs" dxfId="652" priority="1201" operator="equal">
      <formula>D76</formula>
    </cfRule>
  </conditionalFormatting>
  <conditionalFormatting sqref="D75:J76">
    <cfRule type="cellIs" dxfId="651" priority="1206" operator="equal">
      <formula>"CU1"</formula>
    </cfRule>
    <cfRule type="cellIs" dxfId="650" priority="1205" operator="equal">
      <formula>"FO"</formula>
    </cfRule>
    <cfRule type="cellIs" dxfId="649" priority="1204" operator="equal">
      <formula>"CU2"</formula>
    </cfRule>
  </conditionalFormatting>
  <conditionalFormatting sqref="D77:J77">
    <cfRule type="cellIs" dxfId="648" priority="1195" operator="equal">
      <formula>D78</formula>
    </cfRule>
  </conditionalFormatting>
  <conditionalFormatting sqref="D77:J78">
    <cfRule type="cellIs" dxfId="647" priority="1198" operator="equal">
      <formula>"CU2"</formula>
    </cfRule>
    <cfRule type="cellIs" dxfId="646" priority="1200" operator="equal">
      <formula>"CU1"</formula>
    </cfRule>
    <cfRule type="cellIs" dxfId="645" priority="1199" operator="equal">
      <formula>"FO"</formula>
    </cfRule>
  </conditionalFormatting>
  <conditionalFormatting sqref="D79:J79">
    <cfRule type="cellIs" dxfId="644" priority="1189" operator="equal">
      <formula>D80</formula>
    </cfRule>
  </conditionalFormatting>
  <conditionalFormatting sqref="D79:J80">
    <cfRule type="cellIs" dxfId="643" priority="1192" operator="equal">
      <formula>"CU2"</formula>
    </cfRule>
    <cfRule type="cellIs" dxfId="642" priority="1194" operator="equal">
      <formula>"CU1"</formula>
    </cfRule>
    <cfRule type="cellIs" dxfId="641" priority="1193" operator="equal">
      <formula>"FO"</formula>
    </cfRule>
  </conditionalFormatting>
  <conditionalFormatting sqref="D81:J81">
    <cfRule type="cellIs" dxfId="640" priority="1183" operator="equal">
      <formula>D82</formula>
    </cfRule>
  </conditionalFormatting>
  <conditionalFormatting sqref="D81:J82">
    <cfRule type="cellIs" dxfId="639" priority="1186" operator="equal">
      <formula>"CU2"</formula>
    </cfRule>
    <cfRule type="cellIs" dxfId="638" priority="1187" operator="equal">
      <formula>"FO"</formula>
    </cfRule>
    <cfRule type="cellIs" dxfId="637" priority="1188" operator="equal">
      <formula>"CU1"</formula>
    </cfRule>
  </conditionalFormatting>
  <conditionalFormatting sqref="D83:J83">
    <cfRule type="cellIs" dxfId="636" priority="1177" operator="equal">
      <formula>D84</formula>
    </cfRule>
  </conditionalFormatting>
  <conditionalFormatting sqref="D83:J84">
    <cfRule type="cellIs" dxfId="635" priority="1180" operator="equal">
      <formula>"CU2"</formula>
    </cfRule>
    <cfRule type="cellIs" dxfId="634" priority="1181" operator="equal">
      <formula>"FO"</formula>
    </cfRule>
    <cfRule type="cellIs" dxfId="633" priority="1182" operator="equal">
      <formula>"CU1"</formula>
    </cfRule>
  </conditionalFormatting>
  <conditionalFormatting sqref="D85:J85">
    <cfRule type="cellIs" dxfId="632" priority="1171" operator="equal">
      <formula>D86</formula>
    </cfRule>
  </conditionalFormatting>
  <conditionalFormatting sqref="D85:J86">
    <cfRule type="cellIs" dxfId="631" priority="1175" operator="equal">
      <formula>"FO"</formula>
    </cfRule>
    <cfRule type="cellIs" dxfId="630" priority="1174" operator="equal">
      <formula>"CU2"</formula>
    </cfRule>
    <cfRule type="cellIs" dxfId="629" priority="1176" operator="equal">
      <formula>"CU1"</formula>
    </cfRule>
  </conditionalFormatting>
  <conditionalFormatting sqref="D87:J87">
    <cfRule type="cellIs" dxfId="628" priority="1165" operator="equal">
      <formula>D88</formula>
    </cfRule>
  </conditionalFormatting>
  <conditionalFormatting sqref="D87:J88">
    <cfRule type="cellIs" dxfId="627" priority="1170" operator="equal">
      <formula>"CU1"</formula>
    </cfRule>
    <cfRule type="cellIs" dxfId="626" priority="1168" operator="equal">
      <formula>"CU2"</formula>
    </cfRule>
    <cfRule type="cellIs" dxfId="625" priority="1169" operator="equal">
      <formula>"FO"</formula>
    </cfRule>
  </conditionalFormatting>
  <conditionalFormatting sqref="D89:J89">
    <cfRule type="cellIs" dxfId="624" priority="1159" operator="equal">
      <formula>D90</formula>
    </cfRule>
  </conditionalFormatting>
  <conditionalFormatting sqref="D89:J90">
    <cfRule type="cellIs" dxfId="623" priority="1163" operator="equal">
      <formula>"FO"</formula>
    </cfRule>
    <cfRule type="cellIs" dxfId="622" priority="1164" operator="equal">
      <formula>"CU1"</formula>
    </cfRule>
    <cfRule type="cellIs" dxfId="621" priority="1162" operator="equal">
      <formula>"CU2"</formula>
    </cfRule>
  </conditionalFormatting>
  <conditionalFormatting sqref="D91:J91">
    <cfRule type="cellIs" dxfId="620" priority="1153" operator="equal">
      <formula>D92</formula>
    </cfRule>
  </conditionalFormatting>
  <conditionalFormatting sqref="D91:J92">
    <cfRule type="cellIs" dxfId="619" priority="1157" operator="equal">
      <formula>"FO"</formula>
    </cfRule>
    <cfRule type="cellIs" dxfId="618" priority="1156" operator="equal">
      <formula>"CU2"</formula>
    </cfRule>
    <cfRule type="cellIs" dxfId="617" priority="1158" operator="equal">
      <formula>"CU1"</formula>
    </cfRule>
  </conditionalFormatting>
  <conditionalFormatting sqref="D93:J93">
    <cfRule type="cellIs" dxfId="616" priority="1147" operator="equal">
      <formula>D94</formula>
    </cfRule>
  </conditionalFormatting>
  <conditionalFormatting sqref="D93:J94">
    <cfRule type="cellIs" dxfId="615" priority="1150" operator="equal">
      <formula>"CU2"</formula>
    </cfRule>
    <cfRule type="cellIs" dxfId="614" priority="1151" operator="equal">
      <formula>"FO"</formula>
    </cfRule>
    <cfRule type="cellIs" dxfId="613" priority="1152" operator="equal">
      <formula>"CU1"</formula>
    </cfRule>
  </conditionalFormatting>
  <conditionalFormatting sqref="D95:J95">
    <cfRule type="cellIs" dxfId="612" priority="1141" operator="equal">
      <formula>D96</formula>
    </cfRule>
  </conditionalFormatting>
  <conditionalFormatting sqref="D95:J96">
    <cfRule type="cellIs" dxfId="611" priority="1146" operator="equal">
      <formula>"CU1"</formula>
    </cfRule>
    <cfRule type="cellIs" dxfId="610" priority="1145" operator="equal">
      <formula>"FO"</formula>
    </cfRule>
    <cfRule type="cellIs" dxfId="609" priority="1144" operator="equal">
      <formula>"CU2"</formula>
    </cfRule>
  </conditionalFormatting>
  <conditionalFormatting sqref="D97:J97">
    <cfRule type="cellIs" dxfId="608" priority="1135" operator="equal">
      <formula>D98</formula>
    </cfRule>
  </conditionalFormatting>
  <conditionalFormatting sqref="D97:J98">
    <cfRule type="cellIs" dxfId="607" priority="1140" operator="equal">
      <formula>"CU1"</formula>
    </cfRule>
    <cfRule type="cellIs" dxfId="606" priority="1138" operator="equal">
      <formula>"CU2"</formula>
    </cfRule>
    <cfRule type="cellIs" dxfId="605" priority="1139" operator="equal">
      <formula>"FO"</formula>
    </cfRule>
  </conditionalFormatting>
  <conditionalFormatting sqref="D99:J100">
    <cfRule type="cellIs" dxfId="604" priority="680" operator="equal">
      <formula>"CU2M"</formula>
    </cfRule>
    <cfRule type="cellIs" dxfId="603" priority="679" operator="equal">
      <formula>"CU2T"</formula>
    </cfRule>
  </conditionalFormatting>
  <conditionalFormatting sqref="D101:J101">
    <cfRule type="cellIs" dxfId="602" priority="1515" operator="equal">
      <formula>D102</formula>
    </cfRule>
  </conditionalFormatting>
  <conditionalFormatting sqref="D101:J102">
    <cfRule type="cellIs" dxfId="601" priority="1519" operator="equal">
      <formula>"FO"</formula>
    </cfRule>
    <cfRule type="cellIs" dxfId="600" priority="1520" operator="equal">
      <formula>"CU1"</formula>
    </cfRule>
    <cfRule type="cellIs" dxfId="599" priority="1518" operator="equal">
      <formula>"CU2"</formula>
    </cfRule>
  </conditionalFormatting>
  <conditionalFormatting sqref="D101:J167">
    <cfRule type="containsText" dxfId="598" priority="845" operator="containsText" text="REC">
      <formula>NOT(ISERROR(SEARCH("REC",D101)))</formula>
    </cfRule>
    <cfRule type="cellIs" dxfId="597" priority="846" operator="equal">
      <formula>"REC"</formula>
    </cfRule>
  </conditionalFormatting>
  <conditionalFormatting sqref="D103:J103">
    <cfRule type="cellIs" dxfId="596" priority="1509" operator="equal">
      <formula>D104</formula>
    </cfRule>
  </conditionalFormatting>
  <conditionalFormatting sqref="D103:J104">
    <cfRule type="cellIs" dxfId="595" priority="1514" operator="equal">
      <formula>"CU1"</formula>
    </cfRule>
    <cfRule type="cellIs" dxfId="594" priority="1512" operator="equal">
      <formula>"CU2"</formula>
    </cfRule>
    <cfRule type="cellIs" dxfId="593" priority="1513" operator="equal">
      <formula>"FO"</formula>
    </cfRule>
  </conditionalFormatting>
  <conditionalFormatting sqref="D105:J105">
    <cfRule type="cellIs" dxfId="592" priority="1503" operator="equal">
      <formula>D106</formula>
    </cfRule>
  </conditionalFormatting>
  <conditionalFormatting sqref="D105:J106">
    <cfRule type="cellIs" dxfId="591" priority="1508" operator="equal">
      <formula>"CU1"</formula>
    </cfRule>
    <cfRule type="cellIs" dxfId="590" priority="1507" operator="equal">
      <formula>"FO"</formula>
    </cfRule>
    <cfRule type="cellIs" dxfId="589" priority="1506" operator="equal">
      <formula>"CU2"</formula>
    </cfRule>
  </conditionalFormatting>
  <conditionalFormatting sqref="D107:J107">
    <cfRule type="cellIs" dxfId="588" priority="1497" operator="equal">
      <formula>D108</formula>
    </cfRule>
  </conditionalFormatting>
  <conditionalFormatting sqref="D107:J108">
    <cfRule type="cellIs" dxfId="587" priority="1501" operator="equal">
      <formula>"FO"</formula>
    </cfRule>
    <cfRule type="cellIs" dxfId="586" priority="1500" operator="equal">
      <formula>"CU2"</formula>
    </cfRule>
    <cfRule type="cellIs" dxfId="585" priority="1502" operator="equal">
      <formula>"CU1"</formula>
    </cfRule>
  </conditionalFormatting>
  <conditionalFormatting sqref="D109:J109">
    <cfRule type="cellIs" dxfId="584" priority="1491" operator="equal">
      <formula>D110</formula>
    </cfRule>
  </conditionalFormatting>
  <conditionalFormatting sqref="D109:J110">
    <cfRule type="cellIs" dxfId="583" priority="1496" operator="equal">
      <formula>"CU1"</formula>
    </cfRule>
    <cfRule type="cellIs" dxfId="582" priority="1495" operator="equal">
      <formula>"FO"</formula>
    </cfRule>
    <cfRule type="cellIs" dxfId="581" priority="1494" operator="equal">
      <formula>"CU2"</formula>
    </cfRule>
  </conditionalFormatting>
  <conditionalFormatting sqref="D111:J111">
    <cfRule type="cellIs" dxfId="580" priority="1485" operator="equal">
      <formula>D112</formula>
    </cfRule>
  </conditionalFormatting>
  <conditionalFormatting sqref="D111:J112">
    <cfRule type="cellIs" dxfId="579" priority="1488" operator="equal">
      <formula>"CU2"</formula>
    </cfRule>
    <cfRule type="cellIs" dxfId="578" priority="1489" operator="equal">
      <formula>"FO"</formula>
    </cfRule>
    <cfRule type="cellIs" dxfId="577" priority="1490" operator="equal">
      <formula>"CU1"</formula>
    </cfRule>
  </conditionalFormatting>
  <conditionalFormatting sqref="D113:J113">
    <cfRule type="cellIs" dxfId="576" priority="1479" operator="equal">
      <formula>D114</formula>
    </cfRule>
  </conditionalFormatting>
  <conditionalFormatting sqref="D113:J114">
    <cfRule type="cellIs" dxfId="575" priority="1484" operator="equal">
      <formula>"CU1"</formula>
    </cfRule>
    <cfRule type="cellIs" dxfId="574" priority="1483" operator="equal">
      <formula>"FO"</formula>
    </cfRule>
    <cfRule type="cellIs" dxfId="573" priority="1482" operator="equal">
      <formula>"CU2"</formula>
    </cfRule>
  </conditionalFormatting>
  <conditionalFormatting sqref="D115:J115">
    <cfRule type="cellIs" dxfId="572" priority="1473" operator="equal">
      <formula>D116</formula>
    </cfRule>
  </conditionalFormatting>
  <conditionalFormatting sqref="D115:J116">
    <cfRule type="cellIs" dxfId="571" priority="1478" operator="equal">
      <formula>"CU1"</formula>
    </cfRule>
    <cfRule type="cellIs" dxfId="570" priority="1477" operator="equal">
      <formula>"FO"</formula>
    </cfRule>
    <cfRule type="cellIs" dxfId="569" priority="1476" operator="equal">
      <formula>"CU2"</formula>
    </cfRule>
  </conditionalFormatting>
  <conditionalFormatting sqref="D117:J117">
    <cfRule type="cellIs" dxfId="568" priority="1467" operator="equal">
      <formula>D118</formula>
    </cfRule>
  </conditionalFormatting>
  <conditionalFormatting sqref="D117:J118">
    <cfRule type="cellIs" dxfId="567" priority="1470" operator="equal">
      <formula>"CU2"</formula>
    </cfRule>
    <cfRule type="cellIs" dxfId="566" priority="1472" operator="equal">
      <formula>"CU1"</formula>
    </cfRule>
    <cfRule type="cellIs" dxfId="565" priority="1471" operator="equal">
      <formula>"FO"</formula>
    </cfRule>
  </conditionalFormatting>
  <conditionalFormatting sqref="D119:J119">
    <cfRule type="cellIs" dxfId="564" priority="1461" operator="equal">
      <formula>D120</formula>
    </cfRule>
  </conditionalFormatting>
  <conditionalFormatting sqref="D119:J120">
    <cfRule type="cellIs" dxfId="563" priority="1464" operator="equal">
      <formula>"CU2"</formula>
    </cfRule>
    <cfRule type="cellIs" dxfId="562" priority="1466" operator="equal">
      <formula>"CU1"</formula>
    </cfRule>
    <cfRule type="cellIs" dxfId="561" priority="1465" operator="equal">
      <formula>"FO"</formula>
    </cfRule>
  </conditionalFormatting>
  <conditionalFormatting sqref="D121:J122">
    <cfRule type="cellIs" dxfId="560" priority="1272" operator="equal">
      <formula>"CU1"</formula>
    </cfRule>
    <cfRule type="cellIs" dxfId="559" priority="1270" operator="equal">
      <formula>"CU2"</formula>
    </cfRule>
    <cfRule type="cellIs" dxfId="558" priority="1271" operator="equal">
      <formula>"FO"</formula>
    </cfRule>
  </conditionalFormatting>
  <conditionalFormatting sqref="D123:J123">
    <cfRule type="cellIs" dxfId="557" priority="1455" operator="equal">
      <formula>D124</formula>
    </cfRule>
  </conditionalFormatting>
  <conditionalFormatting sqref="D123:J124">
    <cfRule type="cellIs" dxfId="556" priority="1460" operator="equal">
      <formula>"CU1"</formula>
    </cfRule>
    <cfRule type="cellIs" dxfId="555" priority="1459" operator="equal">
      <formula>"FO"</formula>
    </cfRule>
    <cfRule type="cellIs" dxfId="554" priority="1458" operator="equal">
      <formula>"CU2"</formula>
    </cfRule>
  </conditionalFormatting>
  <conditionalFormatting sqref="D125:J125">
    <cfRule type="cellIs" dxfId="553" priority="1449" operator="equal">
      <formula>D126</formula>
    </cfRule>
  </conditionalFormatting>
  <conditionalFormatting sqref="D125:J126">
    <cfRule type="cellIs" dxfId="552" priority="1454" operator="equal">
      <formula>"CU1"</formula>
    </cfRule>
    <cfRule type="cellIs" dxfId="551" priority="1453" operator="equal">
      <formula>"FO"</formula>
    </cfRule>
    <cfRule type="cellIs" dxfId="550" priority="1452" operator="equal">
      <formula>"CU2"</formula>
    </cfRule>
  </conditionalFormatting>
  <conditionalFormatting sqref="D127:J127">
    <cfRule type="cellIs" dxfId="549" priority="1443" operator="equal">
      <formula>D128</formula>
    </cfRule>
  </conditionalFormatting>
  <conditionalFormatting sqref="D127:J128">
    <cfRule type="cellIs" dxfId="548" priority="1447" operator="equal">
      <formula>"FO"</formula>
    </cfRule>
    <cfRule type="cellIs" dxfId="547" priority="1446" operator="equal">
      <formula>"CU2"</formula>
    </cfRule>
    <cfRule type="cellIs" dxfId="546" priority="1448" operator="equal">
      <formula>"CU1"</formula>
    </cfRule>
  </conditionalFormatting>
  <conditionalFormatting sqref="D129:J129">
    <cfRule type="cellIs" dxfId="545" priority="1437" operator="equal">
      <formula>D130</formula>
    </cfRule>
  </conditionalFormatting>
  <conditionalFormatting sqref="D129:J130">
    <cfRule type="cellIs" dxfId="544" priority="1440" operator="equal">
      <formula>"CU2"</formula>
    </cfRule>
    <cfRule type="cellIs" dxfId="543" priority="1441" operator="equal">
      <formula>"FO"</formula>
    </cfRule>
    <cfRule type="cellIs" dxfId="542" priority="1442" operator="equal">
      <formula>"CU1"</formula>
    </cfRule>
  </conditionalFormatting>
  <conditionalFormatting sqref="D131:J131">
    <cfRule type="cellIs" dxfId="541" priority="1431" operator="equal">
      <formula>D132</formula>
    </cfRule>
  </conditionalFormatting>
  <conditionalFormatting sqref="D131:J132">
    <cfRule type="cellIs" dxfId="540" priority="1434" operator="equal">
      <formula>"CU2"</formula>
    </cfRule>
    <cfRule type="cellIs" dxfId="539" priority="1435" operator="equal">
      <formula>"FO"</formula>
    </cfRule>
    <cfRule type="cellIs" dxfId="538" priority="1436" operator="equal">
      <formula>"CU1"</formula>
    </cfRule>
  </conditionalFormatting>
  <conditionalFormatting sqref="D133:J133">
    <cfRule type="cellIs" dxfId="537" priority="1310" operator="equal">
      <formula>D134</formula>
    </cfRule>
  </conditionalFormatting>
  <conditionalFormatting sqref="D133:J134">
    <cfRule type="cellIs" dxfId="536" priority="1315" operator="equal">
      <formula>"CU1"</formula>
    </cfRule>
    <cfRule type="cellIs" dxfId="535" priority="1314" operator="equal">
      <formula>"FO"</formula>
    </cfRule>
    <cfRule type="cellIs" dxfId="534" priority="1313" operator="equal">
      <formula>"CU2"</formula>
    </cfRule>
  </conditionalFormatting>
  <conditionalFormatting sqref="D134:J134">
    <cfRule type="cellIs" dxfId="533" priority="1319" operator="equal">
      <formula>"FGL"</formula>
    </cfRule>
  </conditionalFormatting>
  <conditionalFormatting sqref="D135:J135">
    <cfRule type="cellIs" dxfId="532" priority="1291" operator="equal">
      <formula>D136</formula>
    </cfRule>
  </conditionalFormatting>
  <conditionalFormatting sqref="D135:J136">
    <cfRule type="cellIs" dxfId="531" priority="1296" operator="equal">
      <formula>"CU1"</formula>
    </cfRule>
    <cfRule type="cellIs" dxfId="530" priority="1295" operator="equal">
      <formula>"FO"</formula>
    </cfRule>
    <cfRule type="cellIs" dxfId="529" priority="1294" operator="equal">
      <formula>"CU2"</formula>
    </cfRule>
  </conditionalFormatting>
  <conditionalFormatting sqref="D136:J136">
    <cfRule type="cellIs" dxfId="528" priority="1300" operator="equal">
      <formula>"FGL"</formula>
    </cfRule>
  </conditionalFormatting>
  <conditionalFormatting sqref="D137:J137">
    <cfRule type="cellIs" dxfId="527" priority="1425" operator="equal">
      <formula>D138</formula>
    </cfRule>
  </conditionalFormatting>
  <conditionalFormatting sqref="D137:J138">
    <cfRule type="cellIs" dxfId="526" priority="1430" operator="equal">
      <formula>"CU1"</formula>
    </cfRule>
    <cfRule type="cellIs" dxfId="525" priority="1429" operator="equal">
      <formula>"FO"</formula>
    </cfRule>
    <cfRule type="cellIs" dxfId="524" priority="1428" operator="equal">
      <formula>"CU2"</formula>
    </cfRule>
  </conditionalFormatting>
  <conditionalFormatting sqref="D139:J139">
    <cfRule type="cellIs" dxfId="523" priority="1419" operator="equal">
      <formula>D140</formula>
    </cfRule>
  </conditionalFormatting>
  <conditionalFormatting sqref="D139:J140">
    <cfRule type="cellIs" dxfId="522" priority="1424" operator="equal">
      <formula>"CU1"</formula>
    </cfRule>
    <cfRule type="cellIs" dxfId="521" priority="1423" operator="equal">
      <formula>"FO"</formula>
    </cfRule>
    <cfRule type="cellIs" dxfId="520" priority="1422" operator="equal">
      <formula>"CU2"</formula>
    </cfRule>
  </conditionalFormatting>
  <conditionalFormatting sqref="D141:J141">
    <cfRule type="cellIs" dxfId="519" priority="1322" operator="equal">
      <formula>D142</formula>
    </cfRule>
  </conditionalFormatting>
  <conditionalFormatting sqref="D141:J142">
    <cfRule type="cellIs" dxfId="518" priority="1327" operator="equal">
      <formula>"CU1"</formula>
    </cfRule>
    <cfRule type="cellIs" dxfId="517" priority="1326" operator="equal">
      <formula>"FO"</formula>
    </cfRule>
    <cfRule type="cellIs" dxfId="516" priority="1325" operator="equal">
      <formula>"CU2"</formula>
    </cfRule>
  </conditionalFormatting>
  <conditionalFormatting sqref="D142:J142">
    <cfRule type="cellIs" dxfId="515" priority="1331" operator="equal">
      <formula>"FGL"</formula>
    </cfRule>
  </conditionalFormatting>
  <conditionalFormatting sqref="D143:J143">
    <cfRule type="cellIs" dxfId="514" priority="1279" operator="equal">
      <formula>D144</formula>
    </cfRule>
  </conditionalFormatting>
  <conditionalFormatting sqref="D143:J144">
    <cfRule type="cellIs" dxfId="513" priority="1284" operator="equal">
      <formula>"CU1"</formula>
    </cfRule>
    <cfRule type="cellIs" dxfId="512" priority="1283" operator="equal">
      <formula>"FO"</formula>
    </cfRule>
    <cfRule type="cellIs" dxfId="511" priority="1282" operator="equal">
      <formula>"CU2"</formula>
    </cfRule>
  </conditionalFormatting>
  <conditionalFormatting sqref="D144:J144">
    <cfRule type="cellIs" dxfId="510" priority="1288" operator="equal">
      <formula>"FGL"</formula>
    </cfRule>
  </conditionalFormatting>
  <conditionalFormatting sqref="D145:J145">
    <cfRule type="cellIs" dxfId="509" priority="1407" operator="equal">
      <formula>D146</formula>
    </cfRule>
  </conditionalFormatting>
  <conditionalFormatting sqref="D145:J146">
    <cfRule type="cellIs" dxfId="508" priority="1412" operator="equal">
      <formula>"CU1"</formula>
    </cfRule>
    <cfRule type="cellIs" dxfId="507" priority="1411" operator="equal">
      <formula>"FO"</formula>
    </cfRule>
    <cfRule type="cellIs" dxfId="506" priority="1410" operator="equal">
      <formula>"CU2"</formula>
    </cfRule>
  </conditionalFormatting>
  <conditionalFormatting sqref="D147:J147">
    <cfRule type="cellIs" dxfId="505" priority="1401" operator="equal">
      <formula>D148</formula>
    </cfRule>
  </conditionalFormatting>
  <conditionalFormatting sqref="D147:J148">
    <cfRule type="cellIs" dxfId="504" priority="1406" operator="equal">
      <formula>"CU1"</formula>
    </cfRule>
    <cfRule type="cellIs" dxfId="503" priority="1405" operator="equal">
      <formula>"FO"</formula>
    </cfRule>
    <cfRule type="cellIs" dxfId="502" priority="1404" operator="equal">
      <formula>"CU2"</formula>
    </cfRule>
  </conditionalFormatting>
  <conditionalFormatting sqref="D149:J149">
    <cfRule type="cellIs" dxfId="501" priority="1395" operator="equal">
      <formula>D150</formula>
    </cfRule>
  </conditionalFormatting>
  <conditionalFormatting sqref="D149:J150">
    <cfRule type="cellIs" dxfId="500" priority="1400" operator="equal">
      <formula>"CU1"</formula>
    </cfRule>
    <cfRule type="cellIs" dxfId="499" priority="1398" operator="equal">
      <formula>"CU2"</formula>
    </cfRule>
    <cfRule type="cellIs" dxfId="498" priority="1399" operator="equal">
      <formula>"FO"</formula>
    </cfRule>
  </conditionalFormatting>
  <conditionalFormatting sqref="D151:J151">
    <cfRule type="cellIs" dxfId="497" priority="1389" operator="equal">
      <formula>D152</formula>
    </cfRule>
  </conditionalFormatting>
  <conditionalFormatting sqref="D151:J152">
    <cfRule type="cellIs" dxfId="496" priority="1392" operator="equal">
      <formula>"CU2"</formula>
    </cfRule>
    <cfRule type="cellIs" dxfId="495" priority="1394" operator="equal">
      <formula>"CU1"</formula>
    </cfRule>
    <cfRule type="cellIs" dxfId="494" priority="1393" operator="equal">
      <formula>"FO"</formula>
    </cfRule>
  </conditionalFormatting>
  <conditionalFormatting sqref="D153:J153">
    <cfRule type="cellIs" dxfId="493" priority="1383" operator="equal">
      <formula>D154</formula>
    </cfRule>
  </conditionalFormatting>
  <conditionalFormatting sqref="D153:J154">
    <cfRule type="cellIs" dxfId="492" priority="1386" operator="equal">
      <formula>"CU2"</formula>
    </cfRule>
    <cfRule type="cellIs" dxfId="491" priority="1387" operator="equal">
      <formula>"FO"</formula>
    </cfRule>
    <cfRule type="cellIs" dxfId="490" priority="1388" operator="equal">
      <formula>"CU1"</formula>
    </cfRule>
  </conditionalFormatting>
  <conditionalFormatting sqref="D155:J155">
    <cfRule type="cellIs" dxfId="489" priority="1377" operator="equal">
      <formula>D156</formula>
    </cfRule>
  </conditionalFormatting>
  <conditionalFormatting sqref="D155:J156">
    <cfRule type="cellIs" dxfId="488" priority="1380" operator="equal">
      <formula>"CU2"</formula>
    </cfRule>
    <cfRule type="cellIs" dxfId="487" priority="1381" operator="equal">
      <formula>"FO"</formula>
    </cfRule>
    <cfRule type="cellIs" dxfId="486" priority="1382" operator="equal">
      <formula>"CU1"</formula>
    </cfRule>
  </conditionalFormatting>
  <conditionalFormatting sqref="D157:J157">
    <cfRule type="cellIs" dxfId="485" priority="1371" operator="equal">
      <formula>D158</formula>
    </cfRule>
  </conditionalFormatting>
  <conditionalFormatting sqref="D157:J158">
    <cfRule type="cellIs" dxfId="484" priority="1376" operator="equal">
      <formula>"CU1"</formula>
    </cfRule>
    <cfRule type="cellIs" dxfId="483" priority="1375" operator="equal">
      <formula>"FO"</formula>
    </cfRule>
    <cfRule type="cellIs" dxfId="482" priority="1374" operator="equal">
      <formula>"CU2"</formula>
    </cfRule>
  </conditionalFormatting>
  <conditionalFormatting sqref="D159:J159">
    <cfRule type="cellIs" dxfId="481" priority="844" operator="equal">
      <formula>D160</formula>
    </cfRule>
  </conditionalFormatting>
  <conditionalFormatting sqref="D159:J160">
    <cfRule type="cellIs" dxfId="480" priority="847" operator="equal">
      <formula>"CU2"</formula>
    </cfRule>
    <cfRule type="cellIs" dxfId="479" priority="849" operator="equal">
      <formula>"CU1"</formula>
    </cfRule>
    <cfRule type="cellIs" dxfId="478" priority="848" operator="equal">
      <formula>"FO"</formula>
    </cfRule>
  </conditionalFormatting>
  <conditionalFormatting sqref="D160:J160">
    <cfRule type="cellIs" dxfId="477" priority="853" operator="equal">
      <formula>"FGL"</formula>
    </cfRule>
  </conditionalFormatting>
  <conditionalFormatting sqref="D161:J161">
    <cfRule type="cellIs" dxfId="476" priority="1365" operator="equal">
      <formula>D162</formula>
    </cfRule>
  </conditionalFormatting>
  <conditionalFormatting sqref="D161:J162">
    <cfRule type="cellIs" dxfId="475" priority="1370" operator="equal">
      <formula>"CU1"</formula>
    </cfRule>
    <cfRule type="cellIs" dxfId="474" priority="1368" operator="equal">
      <formula>"CU2"</formula>
    </cfRule>
    <cfRule type="cellIs" dxfId="473" priority="1369" operator="equal">
      <formula>"FO"</formula>
    </cfRule>
  </conditionalFormatting>
  <conditionalFormatting sqref="D163:J163">
    <cfRule type="cellIs" dxfId="472" priority="1359" operator="equal">
      <formula>D164</formula>
    </cfRule>
  </conditionalFormatting>
  <conditionalFormatting sqref="D163:J164">
    <cfRule type="cellIs" dxfId="471" priority="1362" operator="equal">
      <formula>"CU2"</formula>
    </cfRule>
    <cfRule type="cellIs" dxfId="470" priority="1363" operator="equal">
      <formula>"FO"</formula>
    </cfRule>
    <cfRule type="cellIs" dxfId="469" priority="1364" operator="equal">
      <formula>"CU1"</formula>
    </cfRule>
  </conditionalFormatting>
  <conditionalFormatting sqref="D165:J165">
    <cfRule type="cellIs" dxfId="468" priority="1353" operator="equal">
      <formula>D166</formula>
    </cfRule>
  </conditionalFormatting>
  <conditionalFormatting sqref="D165:J166">
    <cfRule type="cellIs" dxfId="467" priority="1356" operator="equal">
      <formula>"CU2"</formula>
    </cfRule>
    <cfRule type="cellIs" dxfId="466" priority="1357" operator="equal">
      <formula>"FO"</formula>
    </cfRule>
    <cfRule type="cellIs" dxfId="465" priority="1358" operator="equal">
      <formula>"CU1"</formula>
    </cfRule>
  </conditionalFormatting>
  <conditionalFormatting sqref="D167:J167 I168:J168">
    <cfRule type="cellIs" dxfId="464" priority="1340" operator="equal">
      <formula>"CU1"</formula>
    </cfRule>
    <cfRule type="cellIs" dxfId="463" priority="1339" operator="equal">
      <formula>"FO"</formula>
    </cfRule>
    <cfRule type="cellIs" dxfId="462" priority="1337" operator="equal">
      <formula>"CU2"</formula>
    </cfRule>
  </conditionalFormatting>
  <conditionalFormatting sqref="D167:J167">
    <cfRule type="cellIs" dxfId="461" priority="1334" operator="equal">
      <formula>D$28</formula>
    </cfRule>
  </conditionalFormatting>
  <conditionalFormatting sqref="D169:J169">
    <cfRule type="cellIs" dxfId="460" priority="1347" operator="equal">
      <formula>D170</formula>
    </cfRule>
  </conditionalFormatting>
  <conditionalFormatting sqref="D169:J170">
    <cfRule type="cellIs" dxfId="459" priority="1350" operator="equal">
      <formula>"CU2"</formula>
    </cfRule>
    <cfRule type="cellIs" dxfId="458" priority="1351" operator="equal">
      <formula>"FO"</formula>
    </cfRule>
    <cfRule type="cellIs" dxfId="457" priority="1352" operator="equal">
      <formula>"CU1"</formula>
    </cfRule>
  </conditionalFormatting>
  <conditionalFormatting sqref="D169:J172">
    <cfRule type="cellIs" dxfId="456" priority="1343" operator="equal">
      <formula>"REC"</formula>
    </cfRule>
    <cfRule type="containsText" dxfId="455" priority="1342" operator="containsText" text="REC">
      <formula>NOT(ISERROR(SEARCH("REC",D169)))</formula>
    </cfRule>
  </conditionalFormatting>
  <conditionalFormatting sqref="D170:J170 D172:J172 D102:J102 D104:J104 D106:J106 D108:J108 D110:J110 D112:J112 D114:J114 D116:J116 D118:J118 D120:J120 D124:J124 D126:J126 D128:J128 D130:J130 D132:J132 D138:J138 D140:J140 D146:J146 D148:J148 D150:J150 D152:J152 D154:J154 D156:J156 D158:J158 D162:J162 D164:J164 D166:J166">
    <cfRule type="cellIs" dxfId="454" priority="1524" operator="equal">
      <formula>"FGL"</formula>
    </cfRule>
  </conditionalFormatting>
  <conditionalFormatting sqref="D171:J171">
    <cfRule type="cellIs" dxfId="453" priority="1341" operator="equal">
      <formula>D172</formula>
    </cfRule>
  </conditionalFormatting>
  <conditionalFormatting sqref="D171:J172">
    <cfRule type="cellIs" dxfId="452" priority="1345" operator="equal">
      <formula>"FO"</formula>
    </cfRule>
    <cfRule type="cellIs" dxfId="451" priority="1344" operator="equal">
      <formula>"CU2"</formula>
    </cfRule>
    <cfRule type="cellIs" dxfId="450" priority="1346" operator="equal">
      <formula>"CU1"</formula>
    </cfRule>
  </conditionalFormatting>
  <conditionalFormatting sqref="D173:J174">
    <cfRule type="cellIs" dxfId="449" priority="678" operator="equal">
      <formula>"CU2M"</formula>
    </cfRule>
    <cfRule type="cellIs" dxfId="448" priority="677" operator="equal">
      <formula>"CU2T"</formula>
    </cfRule>
  </conditionalFormatting>
  <conditionalFormatting sqref="D175:J175">
    <cfRule type="cellIs" dxfId="447" priority="1545" operator="equal">
      <formula>D176</formula>
    </cfRule>
  </conditionalFormatting>
  <conditionalFormatting sqref="D175:J176">
    <cfRule type="cellIs" dxfId="446" priority="1548" operator="equal">
      <formula>"CU2"</formula>
    </cfRule>
    <cfRule type="cellIs" dxfId="445" priority="1550" operator="equal">
      <formula>"CU1"</formula>
    </cfRule>
    <cfRule type="cellIs" dxfId="444" priority="1549" operator="equal">
      <formula>"FO"</formula>
    </cfRule>
  </conditionalFormatting>
  <conditionalFormatting sqref="D175:J244">
    <cfRule type="containsText" dxfId="443" priority="664" operator="containsText" text="REC">
      <formula>NOT(ISERROR(SEARCH("REC",D175)))</formula>
    </cfRule>
    <cfRule type="cellIs" dxfId="442" priority="665" operator="equal">
      <formula>"REC"</formula>
    </cfRule>
  </conditionalFormatting>
  <conditionalFormatting sqref="D176:J178">
    <cfRule type="cellIs" dxfId="441" priority="1541" operator="equal">
      <formula>"FGL"</formula>
    </cfRule>
  </conditionalFormatting>
  <conditionalFormatting sqref="D177:J178">
    <cfRule type="cellIs" dxfId="440" priority="1542" operator="equal">
      <formula>"CU2"</formula>
    </cfRule>
    <cfRule type="cellIs" dxfId="439" priority="1543" operator="equal">
      <formula>"FO"</formula>
    </cfRule>
    <cfRule type="cellIs" dxfId="438" priority="1544" operator="equal">
      <formula>"CU1"</formula>
    </cfRule>
  </conditionalFormatting>
  <conditionalFormatting sqref="D179:J179">
    <cfRule type="cellIs" dxfId="437" priority="1755" operator="equal">
      <formula>D180</formula>
    </cfRule>
  </conditionalFormatting>
  <conditionalFormatting sqref="D179:J180">
    <cfRule type="cellIs" dxfId="436" priority="1759" operator="equal">
      <formula>"FO"</formula>
    </cfRule>
    <cfRule type="cellIs" dxfId="435" priority="1760" operator="equal">
      <formula>"CU1"</formula>
    </cfRule>
    <cfRule type="cellIs" dxfId="434" priority="1758" operator="equal">
      <formula>"CU2"</formula>
    </cfRule>
  </conditionalFormatting>
  <conditionalFormatting sqref="D180:J180 D182:J182 D184:J184 D186:J186 D188:J188 D190:J190 D192:J192 D194:J194 D196:J196 D198:J198 D200:J200 D204:J204 D206:J206 D208:J208 D210:J210 D212:J212 D214:J214 D216:J216 D218:J218 D222:J222 D224:J224 D226:J226 D228:J228 D232:J232 D234:J234 D236:J236 D238:J238 D240:J240">
    <cfRule type="cellIs" dxfId="433" priority="1764" operator="equal">
      <formula>"FGL"</formula>
    </cfRule>
  </conditionalFormatting>
  <conditionalFormatting sqref="D181:J181">
    <cfRule type="cellIs" dxfId="432" priority="1749" operator="equal">
      <formula>D182</formula>
    </cfRule>
  </conditionalFormatting>
  <conditionalFormatting sqref="D181:J182">
    <cfRule type="cellIs" dxfId="431" priority="1753" operator="equal">
      <formula>"FO"</formula>
    </cfRule>
    <cfRule type="cellIs" dxfId="430" priority="1752" operator="equal">
      <formula>"CU2"</formula>
    </cfRule>
    <cfRule type="cellIs" dxfId="429" priority="1754" operator="equal">
      <formula>"CU1"</formula>
    </cfRule>
  </conditionalFormatting>
  <conditionalFormatting sqref="D183:J183">
    <cfRule type="cellIs" dxfId="428" priority="1743" operator="equal">
      <formula>D184</formula>
    </cfRule>
  </conditionalFormatting>
  <conditionalFormatting sqref="D183:J184">
    <cfRule type="cellIs" dxfId="427" priority="1747" operator="equal">
      <formula>"FO"</formula>
    </cfRule>
    <cfRule type="cellIs" dxfId="426" priority="1746" operator="equal">
      <formula>"CU2"</formula>
    </cfRule>
    <cfRule type="cellIs" dxfId="425" priority="1748" operator="equal">
      <formula>"CU1"</formula>
    </cfRule>
  </conditionalFormatting>
  <conditionalFormatting sqref="D185:J185">
    <cfRule type="cellIs" dxfId="424" priority="1737" operator="equal">
      <formula>D186</formula>
    </cfRule>
  </conditionalFormatting>
  <conditionalFormatting sqref="D185:J186">
    <cfRule type="cellIs" dxfId="423" priority="1740" operator="equal">
      <formula>"CU2"</formula>
    </cfRule>
    <cfRule type="cellIs" dxfId="422" priority="1741" operator="equal">
      <formula>"FO"</formula>
    </cfRule>
    <cfRule type="cellIs" dxfId="421" priority="1742" operator="equal">
      <formula>"CU1"</formula>
    </cfRule>
  </conditionalFormatting>
  <conditionalFormatting sqref="D187:J187">
    <cfRule type="cellIs" dxfId="420" priority="1731" operator="equal">
      <formula>D188</formula>
    </cfRule>
  </conditionalFormatting>
  <conditionalFormatting sqref="D187:J188">
    <cfRule type="cellIs" dxfId="419" priority="1736" operator="equal">
      <formula>"CU1"</formula>
    </cfRule>
    <cfRule type="cellIs" dxfId="418" priority="1734" operator="equal">
      <formula>"CU2"</formula>
    </cfRule>
    <cfRule type="cellIs" dxfId="417" priority="1735" operator="equal">
      <formula>"FO"</formula>
    </cfRule>
  </conditionalFormatting>
  <conditionalFormatting sqref="D189:J189">
    <cfRule type="cellIs" dxfId="416" priority="1725" operator="equal">
      <formula>D190</formula>
    </cfRule>
  </conditionalFormatting>
  <conditionalFormatting sqref="D189:J190">
    <cfRule type="cellIs" dxfId="415" priority="1730" operator="equal">
      <formula>"CU1"</formula>
    </cfRule>
    <cfRule type="cellIs" dxfId="414" priority="1728" operator="equal">
      <formula>"CU2"</formula>
    </cfRule>
    <cfRule type="cellIs" dxfId="413" priority="1729" operator="equal">
      <formula>"FO"</formula>
    </cfRule>
  </conditionalFormatting>
  <conditionalFormatting sqref="D191:J191">
    <cfRule type="cellIs" dxfId="412" priority="1719" operator="equal">
      <formula>D192</formula>
    </cfRule>
  </conditionalFormatting>
  <conditionalFormatting sqref="D191:J192">
    <cfRule type="cellIs" dxfId="411" priority="1723" operator="equal">
      <formula>"FO"</formula>
    </cfRule>
    <cfRule type="cellIs" dxfId="410" priority="1724" operator="equal">
      <formula>"CU1"</formula>
    </cfRule>
    <cfRule type="cellIs" dxfId="409" priority="1722" operator="equal">
      <formula>"CU2"</formula>
    </cfRule>
  </conditionalFormatting>
  <conditionalFormatting sqref="D193:J193">
    <cfRule type="cellIs" dxfId="408" priority="1713" operator="equal">
      <formula>D194</formula>
    </cfRule>
  </conditionalFormatting>
  <conditionalFormatting sqref="D193:J194">
    <cfRule type="cellIs" dxfId="407" priority="1716" operator="equal">
      <formula>"CU2"</formula>
    </cfRule>
    <cfRule type="cellIs" dxfId="406" priority="1717" operator="equal">
      <formula>"FO"</formula>
    </cfRule>
    <cfRule type="cellIs" dxfId="405" priority="1718" operator="equal">
      <formula>"CU1"</formula>
    </cfRule>
  </conditionalFormatting>
  <conditionalFormatting sqref="D195:J195">
    <cfRule type="cellIs" dxfId="404" priority="1707" operator="equal">
      <formula>D196</formula>
    </cfRule>
  </conditionalFormatting>
  <conditionalFormatting sqref="D195:J196">
    <cfRule type="cellIs" dxfId="403" priority="1710" operator="equal">
      <formula>"CU2"</formula>
    </cfRule>
    <cfRule type="cellIs" dxfId="402" priority="1711" operator="equal">
      <formula>"FO"</formula>
    </cfRule>
    <cfRule type="cellIs" dxfId="401" priority="1712" operator="equal">
      <formula>"CU1"</formula>
    </cfRule>
  </conditionalFormatting>
  <conditionalFormatting sqref="D197:J197">
    <cfRule type="cellIs" dxfId="400" priority="1701" operator="equal">
      <formula>D198</formula>
    </cfRule>
  </conditionalFormatting>
  <conditionalFormatting sqref="D197:J198">
    <cfRule type="cellIs" dxfId="399" priority="1704" operator="equal">
      <formula>"CU2"</formula>
    </cfRule>
    <cfRule type="cellIs" dxfId="398" priority="1705" operator="equal">
      <formula>"FO"</formula>
    </cfRule>
    <cfRule type="cellIs" dxfId="397" priority="1706" operator="equal">
      <formula>"CU1"</formula>
    </cfRule>
  </conditionalFormatting>
  <conditionalFormatting sqref="D199:J199">
    <cfRule type="cellIs" dxfId="396" priority="1695" operator="equal">
      <formula>D200</formula>
    </cfRule>
  </conditionalFormatting>
  <conditionalFormatting sqref="D199:J200">
    <cfRule type="cellIs" dxfId="395" priority="1698" operator="equal">
      <formula>"CU2"</formula>
    </cfRule>
    <cfRule type="cellIs" dxfId="394" priority="1699" operator="equal">
      <formula>"FO"</formula>
    </cfRule>
    <cfRule type="cellIs" dxfId="393" priority="1700" operator="equal">
      <formula>"CU1"</formula>
    </cfRule>
  </conditionalFormatting>
  <conditionalFormatting sqref="D201:J201">
    <cfRule type="cellIs" dxfId="392" priority="1569" operator="equal">
      <formula>D202</formula>
    </cfRule>
  </conditionalFormatting>
  <conditionalFormatting sqref="D201:J202">
    <cfRule type="cellIs" dxfId="391" priority="1572" operator="equal">
      <formula>"CU2"</formula>
    </cfRule>
    <cfRule type="cellIs" dxfId="390" priority="1573" operator="equal">
      <formula>"FO"</formula>
    </cfRule>
    <cfRule type="cellIs" dxfId="389" priority="1574" operator="equal">
      <formula>"CU1"</formula>
    </cfRule>
  </conditionalFormatting>
  <conditionalFormatting sqref="D202:J202">
    <cfRule type="cellIs" dxfId="388" priority="1578" operator="equal">
      <formula>"FGL"</formula>
    </cfRule>
  </conditionalFormatting>
  <conditionalFormatting sqref="D203:J203">
    <cfRule type="cellIs" dxfId="387" priority="1689" operator="equal">
      <formula>D204</formula>
    </cfRule>
  </conditionalFormatting>
  <conditionalFormatting sqref="D203:J204">
    <cfRule type="cellIs" dxfId="386" priority="1692" operator="equal">
      <formula>"CU2"</formula>
    </cfRule>
    <cfRule type="cellIs" dxfId="385" priority="1693" operator="equal">
      <formula>"FO"</formula>
    </cfRule>
    <cfRule type="cellIs" dxfId="384" priority="1694" operator="equal">
      <formula>"CU1"</formula>
    </cfRule>
  </conditionalFormatting>
  <conditionalFormatting sqref="D205:J205">
    <cfRule type="cellIs" dxfId="383" priority="1683" operator="equal">
      <formula>D206</formula>
    </cfRule>
  </conditionalFormatting>
  <conditionalFormatting sqref="D205:J206">
    <cfRule type="cellIs" dxfId="382" priority="1688" operator="equal">
      <formula>"CU1"</formula>
    </cfRule>
    <cfRule type="cellIs" dxfId="381" priority="1686" operator="equal">
      <formula>"CU2"</formula>
    </cfRule>
    <cfRule type="cellIs" dxfId="380" priority="1687" operator="equal">
      <formula>"FO"</formula>
    </cfRule>
  </conditionalFormatting>
  <conditionalFormatting sqref="D207:J207">
    <cfRule type="cellIs" dxfId="379" priority="1677" operator="equal">
      <formula>D208</formula>
    </cfRule>
  </conditionalFormatting>
  <conditionalFormatting sqref="D207:J208">
    <cfRule type="cellIs" dxfId="378" priority="1680" operator="equal">
      <formula>"CU2"</formula>
    </cfRule>
    <cfRule type="cellIs" dxfId="377" priority="1681" operator="equal">
      <formula>"FO"</formula>
    </cfRule>
    <cfRule type="cellIs" dxfId="376" priority="1682" operator="equal">
      <formula>"CU1"</formula>
    </cfRule>
  </conditionalFormatting>
  <conditionalFormatting sqref="D209:J209">
    <cfRule type="cellIs" dxfId="375" priority="1671" operator="equal">
      <formula>D210</formula>
    </cfRule>
  </conditionalFormatting>
  <conditionalFormatting sqref="D209:J210">
    <cfRule type="cellIs" dxfId="374" priority="1675" operator="equal">
      <formula>"FO"</formula>
    </cfRule>
    <cfRule type="cellIs" dxfId="373" priority="1674" operator="equal">
      <formula>"CU2"</formula>
    </cfRule>
    <cfRule type="cellIs" dxfId="372" priority="1676" operator="equal">
      <formula>"CU1"</formula>
    </cfRule>
  </conditionalFormatting>
  <conditionalFormatting sqref="D211:J211">
    <cfRule type="cellIs" dxfId="371" priority="1665" operator="equal">
      <formula>D212</formula>
    </cfRule>
  </conditionalFormatting>
  <conditionalFormatting sqref="D211:J212">
    <cfRule type="cellIs" dxfId="370" priority="1668" operator="equal">
      <formula>"CU2"</formula>
    </cfRule>
    <cfRule type="cellIs" dxfId="369" priority="1669" operator="equal">
      <formula>"FO"</formula>
    </cfRule>
    <cfRule type="cellIs" dxfId="368" priority="1670" operator="equal">
      <formula>"CU1"</formula>
    </cfRule>
  </conditionalFormatting>
  <conditionalFormatting sqref="D213:J213">
    <cfRule type="cellIs" dxfId="367" priority="1659" operator="equal">
      <formula>D214</formula>
    </cfRule>
  </conditionalFormatting>
  <conditionalFormatting sqref="D213:J214">
    <cfRule type="cellIs" dxfId="366" priority="1664" operator="equal">
      <formula>"CU1"</formula>
    </cfRule>
    <cfRule type="cellIs" dxfId="365" priority="1663" operator="equal">
      <formula>"FO"</formula>
    </cfRule>
    <cfRule type="cellIs" dxfId="364" priority="1662" operator="equal">
      <formula>"CU2"</formula>
    </cfRule>
  </conditionalFormatting>
  <conditionalFormatting sqref="D215:J215">
    <cfRule type="cellIs" dxfId="363" priority="1653" operator="equal">
      <formula>D216</formula>
    </cfRule>
  </conditionalFormatting>
  <conditionalFormatting sqref="D215:J216">
    <cfRule type="cellIs" dxfId="362" priority="1656" operator="equal">
      <formula>"CU2"</formula>
    </cfRule>
    <cfRule type="cellIs" dxfId="361" priority="1658" operator="equal">
      <formula>"CU1"</formula>
    </cfRule>
    <cfRule type="cellIs" dxfId="360" priority="1657" operator="equal">
      <formula>"FO"</formula>
    </cfRule>
  </conditionalFormatting>
  <conditionalFormatting sqref="D217:J217">
    <cfRule type="cellIs" dxfId="359" priority="1647" operator="equal">
      <formula>D218</formula>
    </cfRule>
  </conditionalFormatting>
  <conditionalFormatting sqref="D217:J218">
    <cfRule type="cellIs" dxfId="358" priority="1652" operator="equal">
      <formula>"CU1"</formula>
    </cfRule>
    <cfRule type="cellIs" dxfId="357" priority="1650" operator="equal">
      <formula>"CU2"</formula>
    </cfRule>
    <cfRule type="cellIs" dxfId="356" priority="1651" operator="equal">
      <formula>"FO"</formula>
    </cfRule>
  </conditionalFormatting>
  <conditionalFormatting sqref="D219:J219">
    <cfRule type="cellIs" dxfId="355" priority="1557" operator="equal">
      <formula>D220</formula>
    </cfRule>
  </conditionalFormatting>
  <conditionalFormatting sqref="D219:J220">
    <cfRule type="cellIs" dxfId="354" priority="1562" operator="equal">
      <formula>"CU1"</formula>
    </cfRule>
    <cfRule type="cellIs" dxfId="353" priority="1561" operator="equal">
      <formula>"FO"</formula>
    </cfRule>
    <cfRule type="cellIs" dxfId="352" priority="1560" operator="equal">
      <formula>"CU2"</formula>
    </cfRule>
  </conditionalFormatting>
  <conditionalFormatting sqref="D220:J220">
    <cfRule type="cellIs" dxfId="351" priority="1566" operator="equal">
      <formula>"FGL"</formula>
    </cfRule>
  </conditionalFormatting>
  <conditionalFormatting sqref="D221:J221">
    <cfRule type="cellIs" dxfId="350" priority="1641" operator="equal">
      <formula>D222</formula>
    </cfRule>
  </conditionalFormatting>
  <conditionalFormatting sqref="D221:J222">
    <cfRule type="cellIs" dxfId="349" priority="1645" operator="equal">
      <formula>"FO"</formula>
    </cfRule>
    <cfRule type="cellIs" dxfId="348" priority="1644" operator="equal">
      <formula>"CU2"</formula>
    </cfRule>
    <cfRule type="cellIs" dxfId="347" priority="1646" operator="equal">
      <formula>"CU1"</formula>
    </cfRule>
  </conditionalFormatting>
  <conditionalFormatting sqref="D223:J223">
    <cfRule type="cellIs" dxfId="346" priority="1635" operator="equal">
      <formula>D224</formula>
    </cfRule>
  </conditionalFormatting>
  <conditionalFormatting sqref="D223:J224">
    <cfRule type="cellIs" dxfId="345" priority="1640" operator="equal">
      <formula>"CU1"</formula>
    </cfRule>
    <cfRule type="cellIs" dxfId="344" priority="1638" operator="equal">
      <formula>"CU2"</formula>
    </cfRule>
    <cfRule type="cellIs" dxfId="343" priority="1639" operator="equal">
      <formula>"FO"</formula>
    </cfRule>
  </conditionalFormatting>
  <conditionalFormatting sqref="D225:J225">
    <cfRule type="cellIs" dxfId="342" priority="1629" operator="equal">
      <formula>D226</formula>
    </cfRule>
  </conditionalFormatting>
  <conditionalFormatting sqref="D225:J226">
    <cfRule type="cellIs" dxfId="341" priority="1634" operator="equal">
      <formula>"CU1"</formula>
    </cfRule>
    <cfRule type="cellIs" dxfId="340" priority="1633" operator="equal">
      <formula>"FO"</formula>
    </cfRule>
    <cfRule type="cellIs" dxfId="339" priority="1632" operator="equal">
      <formula>"CU2"</formula>
    </cfRule>
  </conditionalFormatting>
  <conditionalFormatting sqref="D227:J227">
    <cfRule type="cellIs" dxfId="338" priority="1623" operator="equal">
      <formula>D228</formula>
    </cfRule>
  </conditionalFormatting>
  <conditionalFormatting sqref="D227:J228">
    <cfRule type="cellIs" dxfId="337" priority="1627" operator="equal">
      <formula>"FO"</formula>
    </cfRule>
    <cfRule type="cellIs" dxfId="336" priority="1628" operator="equal">
      <formula>"CU1"</formula>
    </cfRule>
    <cfRule type="cellIs" dxfId="335" priority="1626" operator="equal">
      <formula>"CU2"</formula>
    </cfRule>
  </conditionalFormatting>
  <conditionalFormatting sqref="D229:J229">
    <cfRule type="cellIs" dxfId="334" priority="1527" operator="equal">
      <formula>D230</formula>
    </cfRule>
  </conditionalFormatting>
  <conditionalFormatting sqref="D229:J230">
    <cfRule type="cellIs" dxfId="333" priority="1532" operator="equal">
      <formula>"CU1"</formula>
    </cfRule>
    <cfRule type="cellIs" dxfId="332" priority="1531" operator="equal">
      <formula>"FO"</formula>
    </cfRule>
    <cfRule type="cellIs" dxfId="331" priority="1530" operator="equal">
      <formula>"CU2"</formula>
    </cfRule>
  </conditionalFormatting>
  <conditionalFormatting sqref="D230:J230">
    <cfRule type="cellIs" dxfId="330" priority="1536" operator="equal">
      <formula>"FGL"</formula>
    </cfRule>
  </conditionalFormatting>
  <conditionalFormatting sqref="D231:J231">
    <cfRule type="cellIs" dxfId="329" priority="1617" operator="equal">
      <formula>D232</formula>
    </cfRule>
  </conditionalFormatting>
  <conditionalFormatting sqref="D231:J232">
    <cfRule type="cellIs" dxfId="328" priority="1620" operator="equal">
      <formula>"CU2"</formula>
    </cfRule>
    <cfRule type="cellIs" dxfId="327" priority="1621" operator="equal">
      <formula>"FO"</formula>
    </cfRule>
    <cfRule type="cellIs" dxfId="326" priority="1622" operator="equal">
      <formula>"CU1"</formula>
    </cfRule>
  </conditionalFormatting>
  <conditionalFormatting sqref="D233:J233">
    <cfRule type="cellIs" dxfId="325" priority="1611" operator="equal">
      <formula>D234</formula>
    </cfRule>
  </conditionalFormatting>
  <conditionalFormatting sqref="D233:J234">
    <cfRule type="cellIs" dxfId="324" priority="1614" operator="equal">
      <formula>"CU2"</formula>
    </cfRule>
    <cfRule type="cellIs" dxfId="323" priority="1615" operator="equal">
      <formula>"FO"</formula>
    </cfRule>
    <cfRule type="cellIs" dxfId="322" priority="1616" operator="equal">
      <formula>"CU1"</formula>
    </cfRule>
  </conditionalFormatting>
  <conditionalFormatting sqref="D235:J235">
    <cfRule type="cellIs" dxfId="321" priority="1605" operator="equal">
      <formula>D236</formula>
    </cfRule>
  </conditionalFormatting>
  <conditionalFormatting sqref="D235:J236">
    <cfRule type="cellIs" dxfId="320" priority="1608" operator="equal">
      <formula>"CU2"</formula>
    </cfRule>
    <cfRule type="cellIs" dxfId="319" priority="1609" operator="equal">
      <formula>"FO"</formula>
    </cfRule>
    <cfRule type="cellIs" dxfId="318" priority="1610" operator="equal">
      <formula>"CU1"</formula>
    </cfRule>
  </conditionalFormatting>
  <conditionalFormatting sqref="D237:J237">
    <cfRule type="cellIs" dxfId="317" priority="1599" operator="equal">
      <formula>D238</formula>
    </cfRule>
  </conditionalFormatting>
  <conditionalFormatting sqref="D237:J238">
    <cfRule type="cellIs" dxfId="316" priority="1604" operator="equal">
      <formula>"CU1"</formula>
    </cfRule>
    <cfRule type="cellIs" dxfId="315" priority="1603" operator="equal">
      <formula>"FO"</formula>
    </cfRule>
    <cfRule type="cellIs" dxfId="314" priority="1602" operator="equal">
      <formula>"CU2"</formula>
    </cfRule>
  </conditionalFormatting>
  <conditionalFormatting sqref="D239:J239">
    <cfRule type="cellIs" dxfId="313" priority="1593" operator="equal">
      <formula>D240</formula>
    </cfRule>
  </conditionalFormatting>
  <conditionalFormatting sqref="D239:J240">
    <cfRule type="cellIs" dxfId="312" priority="1598" operator="equal">
      <formula>"CU1"</formula>
    </cfRule>
    <cfRule type="cellIs" dxfId="311" priority="1597" operator="equal">
      <formula>"FO"</formula>
    </cfRule>
    <cfRule type="cellIs" dxfId="310" priority="1596" operator="equal">
      <formula>"CU2"</formula>
    </cfRule>
  </conditionalFormatting>
  <conditionalFormatting sqref="D241:J241">
    <cfRule type="cellIs" dxfId="309" priority="663" operator="equal">
      <formula>D242</formula>
    </cfRule>
  </conditionalFormatting>
  <conditionalFormatting sqref="D241:J242">
    <cfRule type="cellIs" dxfId="308" priority="668" operator="equal">
      <formula>"CU1"</formula>
    </cfRule>
    <cfRule type="cellIs" dxfId="307" priority="667" operator="equal">
      <formula>"FO"</formula>
    </cfRule>
    <cfRule type="cellIs" dxfId="306" priority="666" operator="equal">
      <formula>"CU2"</formula>
    </cfRule>
  </conditionalFormatting>
  <conditionalFormatting sqref="D242:J242">
    <cfRule type="cellIs" dxfId="305" priority="672" operator="equal">
      <formula>"FGL"</formula>
    </cfRule>
  </conditionalFormatting>
  <conditionalFormatting sqref="D243:J243">
    <cfRule type="cellIs" dxfId="304" priority="1872" operator="equal">
      <formula>D244</formula>
    </cfRule>
  </conditionalFormatting>
  <conditionalFormatting sqref="D243:J244">
    <cfRule type="cellIs" dxfId="303" priority="1876" operator="equal">
      <formula>"FO"</formula>
    </cfRule>
    <cfRule type="cellIs" dxfId="302" priority="1877" operator="equal">
      <formula>"CU1"</formula>
    </cfRule>
    <cfRule type="cellIs" dxfId="301" priority="1875" operator="equal">
      <formula>"CU2"</formula>
    </cfRule>
  </conditionalFormatting>
  <conditionalFormatting sqref="D244:J244">
    <cfRule type="cellIs" dxfId="300" priority="1881" operator="equal">
      <formula>"FGL"</formula>
    </cfRule>
  </conditionalFormatting>
  <conditionalFormatting sqref="D245:J246">
    <cfRule type="cellIs" dxfId="299" priority="675" operator="equal">
      <formula>"CU2T"</formula>
    </cfRule>
    <cfRule type="cellIs" dxfId="298" priority="676" operator="equal">
      <formula>"CU2M"</formula>
    </cfRule>
  </conditionalFormatting>
  <conditionalFormatting sqref="D247:J247">
    <cfRule type="cellIs" dxfId="297" priority="645" operator="equal">
      <formula>D248</formula>
    </cfRule>
  </conditionalFormatting>
  <conditionalFormatting sqref="D247:J248">
    <cfRule type="cellIs" dxfId="296" priority="648" operator="equal">
      <formula>"CU2"</formula>
    </cfRule>
    <cfRule type="cellIs" dxfId="295" priority="650" operator="equal">
      <formula>"CU1"</formula>
    </cfRule>
    <cfRule type="cellIs" dxfId="294" priority="649" operator="equal">
      <formula>"FO"</formula>
    </cfRule>
  </conditionalFormatting>
  <conditionalFormatting sqref="D247:J256">
    <cfRule type="containsText" dxfId="293" priority="570" operator="containsText" text="REC">
      <formula>NOT(ISERROR(SEARCH("REC",D247)))</formula>
    </cfRule>
  </conditionalFormatting>
  <conditionalFormatting sqref="D247:J282">
    <cfRule type="cellIs" dxfId="292" priority="174" operator="equal">
      <formula>"REC"</formula>
    </cfRule>
  </conditionalFormatting>
  <conditionalFormatting sqref="D248:J248">
    <cfRule type="cellIs" dxfId="291" priority="654" operator="equal">
      <formula>"FGL"</formula>
    </cfRule>
  </conditionalFormatting>
  <conditionalFormatting sqref="D249:J249">
    <cfRule type="cellIs" dxfId="290" priority="569" operator="equal">
      <formula>D250</formula>
    </cfRule>
  </conditionalFormatting>
  <conditionalFormatting sqref="D250:J250">
    <cfRule type="cellIs" dxfId="289" priority="578" operator="equal">
      <formula>"FGL"</formula>
    </cfRule>
  </conditionalFormatting>
  <conditionalFormatting sqref="D251:J251">
    <cfRule type="cellIs" dxfId="288" priority="613" operator="equal">
      <formula>"FO"</formula>
    </cfRule>
    <cfRule type="cellIs" dxfId="287" priority="612" operator="equal">
      <formula>"CU2"</formula>
    </cfRule>
    <cfRule type="cellIs" dxfId="286" priority="614" operator="equal">
      <formula>"CU1"</formula>
    </cfRule>
    <cfRule type="cellIs" dxfId="285" priority="609" operator="equal">
      <formula>D252</formula>
    </cfRule>
  </conditionalFormatting>
  <conditionalFormatting sqref="D252:J252">
    <cfRule type="cellIs" dxfId="284" priority="608" operator="equal">
      <formula>"CU1"</formula>
    </cfRule>
    <cfRule type="cellIs" dxfId="283" priority="607" operator="equal">
      <formula>"FO"</formula>
    </cfRule>
    <cfRule type="cellIs" dxfId="282" priority="606" operator="equal">
      <formula>"FGL"</formula>
    </cfRule>
    <cfRule type="cellIs" dxfId="281" priority="605" operator="equal">
      <formula>"CU2"</formula>
    </cfRule>
  </conditionalFormatting>
  <conditionalFormatting sqref="D253:J253">
    <cfRule type="cellIs" dxfId="280" priority="633" operator="equal">
      <formula>D254</formula>
    </cfRule>
  </conditionalFormatting>
  <conditionalFormatting sqref="D253:J254">
    <cfRule type="cellIs" dxfId="279" priority="636" operator="equal">
      <formula>"CU2"</formula>
    </cfRule>
    <cfRule type="cellIs" dxfId="278" priority="637" operator="equal">
      <formula>"FO"</formula>
    </cfRule>
    <cfRule type="cellIs" dxfId="277" priority="638" operator="equal">
      <formula>"CU1"</formula>
    </cfRule>
  </conditionalFormatting>
  <conditionalFormatting sqref="D254:J254">
    <cfRule type="cellIs" dxfId="276" priority="642" operator="equal">
      <formula>"FGL"</formula>
    </cfRule>
  </conditionalFormatting>
  <conditionalFormatting sqref="D255:J255">
    <cfRule type="cellIs" dxfId="275" priority="621" operator="equal">
      <formula>D256</formula>
    </cfRule>
  </conditionalFormatting>
  <conditionalFormatting sqref="D256:J256">
    <cfRule type="cellIs" dxfId="274" priority="600" operator="equal">
      <formula>"FGL"</formula>
    </cfRule>
  </conditionalFormatting>
  <conditionalFormatting sqref="D257:J257">
    <cfRule type="cellIs" dxfId="273" priority="1825" operator="equal">
      <formula>D258</formula>
    </cfRule>
  </conditionalFormatting>
  <conditionalFormatting sqref="D257:J258">
    <cfRule type="cellIs" dxfId="272" priority="1829" operator="equal">
      <formula>"FO"</formula>
    </cfRule>
    <cfRule type="cellIs" dxfId="271" priority="1828" operator="equal">
      <formula>"CU2"</formula>
    </cfRule>
    <cfRule type="cellIs" dxfId="270" priority="1830" operator="equal">
      <formula>"CU1"</formula>
    </cfRule>
  </conditionalFormatting>
  <conditionalFormatting sqref="D257:J262">
    <cfRule type="containsText" dxfId="269" priority="1820" operator="containsText" text="REC">
      <formula>NOT(ISERROR(SEARCH("REC",D257)))</formula>
    </cfRule>
  </conditionalFormatting>
  <conditionalFormatting sqref="D258:J258 D260:J262">
    <cfRule type="cellIs" dxfId="268" priority="1834" operator="equal">
      <formula>"FGL"</formula>
    </cfRule>
  </conditionalFormatting>
  <conditionalFormatting sqref="D259:J259">
    <cfRule type="cellIs" dxfId="267" priority="1819" operator="equal">
      <formula>D260</formula>
    </cfRule>
  </conditionalFormatting>
  <conditionalFormatting sqref="D259:J260">
    <cfRule type="cellIs" dxfId="266" priority="882" operator="equal">
      <formula>"FGL"</formula>
    </cfRule>
  </conditionalFormatting>
  <conditionalFormatting sqref="D259:J262">
    <cfRule type="cellIs" dxfId="265" priority="1822" operator="equal">
      <formula>"CU2"</formula>
    </cfRule>
    <cfRule type="cellIs" dxfId="264" priority="872" operator="equal">
      <formula>"FO"</formula>
    </cfRule>
    <cfRule type="cellIs" dxfId="263" priority="1824" operator="equal">
      <formula>"CU1"</formula>
    </cfRule>
    <cfRule type="cellIs" dxfId="262" priority="871" operator="equal">
      <formula>"CU2"</formula>
    </cfRule>
    <cfRule type="cellIs" dxfId="261" priority="1823" operator="equal">
      <formula>"FO"</formula>
    </cfRule>
    <cfRule type="cellIs" dxfId="260" priority="873" operator="equal">
      <formula>"CU1"</formula>
    </cfRule>
  </conditionalFormatting>
  <conditionalFormatting sqref="D259:J271">
    <cfRule type="containsText" dxfId="259" priority="182" operator="containsText" text="REC">
      <formula>NOT(ISERROR(SEARCH("REC",D259)))</formula>
    </cfRule>
  </conditionalFormatting>
  <conditionalFormatting sqref="D261:J261">
    <cfRule type="cellIs" dxfId="258" priority="868" operator="equal">
      <formula>D262</formula>
    </cfRule>
  </conditionalFormatting>
  <conditionalFormatting sqref="D262:J262">
    <cfRule type="cellIs" dxfId="257" priority="877" operator="equal">
      <formula>"FGL"</formula>
    </cfRule>
  </conditionalFormatting>
  <conditionalFormatting sqref="D263:J263">
    <cfRule type="cellIs" dxfId="256" priority="195" operator="equal">
      <formula>D264</formula>
    </cfRule>
  </conditionalFormatting>
  <conditionalFormatting sqref="D264:J264">
    <cfRule type="cellIs" dxfId="255" priority="204" operator="equal">
      <formula>"FGL"</formula>
    </cfRule>
  </conditionalFormatting>
  <conditionalFormatting sqref="D265:J265">
    <cfRule type="cellIs" dxfId="254" priority="181" operator="equal">
      <formula>D266</formula>
    </cfRule>
  </conditionalFormatting>
  <conditionalFormatting sqref="D266:J266">
    <cfRule type="cellIs" dxfId="253" priority="190" operator="equal">
      <formula>"FGL"</formula>
    </cfRule>
  </conditionalFormatting>
  <conditionalFormatting sqref="D267:J267">
    <cfRule type="cellIs" dxfId="252" priority="832" operator="equal">
      <formula>D268</formula>
    </cfRule>
    <cfRule type="cellIs" dxfId="251" priority="831" operator="equal">
      <formula>"CU1"</formula>
    </cfRule>
    <cfRule type="cellIs" dxfId="250" priority="830" operator="equal">
      <formula>"FO"</formula>
    </cfRule>
    <cfRule type="cellIs" dxfId="249" priority="829" operator="equal">
      <formula>"CU2"</formula>
    </cfRule>
    <cfRule type="cellIs" dxfId="248" priority="826" operator="equal">
      <formula>D268</formula>
    </cfRule>
  </conditionalFormatting>
  <conditionalFormatting sqref="D267:J268">
    <cfRule type="cellIs" dxfId="247" priority="835" operator="equal">
      <formula>"CU2"</formula>
    </cfRule>
    <cfRule type="cellIs" dxfId="246" priority="836" operator="equal">
      <formula>"FO"</formula>
    </cfRule>
    <cfRule type="cellIs" dxfId="245" priority="837" operator="equal">
      <formula>"CU1"</formula>
    </cfRule>
  </conditionalFormatting>
  <conditionalFormatting sqref="D268:J268">
    <cfRule type="cellIs" dxfId="244" priority="841" operator="equal">
      <formula>"FGL"</formula>
    </cfRule>
  </conditionalFormatting>
  <conditionalFormatting sqref="D269:J269">
    <cfRule type="cellIs" dxfId="243" priority="524" operator="equal">
      <formula>"FO"</formula>
    </cfRule>
    <cfRule type="cellIs" dxfId="242" priority="520" operator="equal">
      <formula>D270</formula>
    </cfRule>
    <cfRule type="cellIs" dxfId="241" priority="525" operator="equal">
      <formula>"CU1"</formula>
    </cfRule>
    <cfRule type="cellIs" dxfId="240" priority="526" operator="equal">
      <formula>D270</formula>
    </cfRule>
    <cfRule type="cellIs" dxfId="239" priority="523" operator="equal">
      <formula>"CU2"</formula>
    </cfRule>
  </conditionalFormatting>
  <conditionalFormatting sqref="D269:J270">
    <cfRule type="cellIs" dxfId="238" priority="530" operator="equal">
      <formula>"FO"</formula>
    </cfRule>
    <cfRule type="cellIs" dxfId="237" priority="529" operator="equal">
      <formula>"CU2"</formula>
    </cfRule>
    <cfRule type="cellIs" dxfId="236" priority="531" operator="equal">
      <formula>"CU1"</formula>
    </cfRule>
  </conditionalFormatting>
  <conditionalFormatting sqref="D270:J270 D272:J272 D274:J274 D276:J276 D278:J278 D280:J280 G282:J282">
    <cfRule type="cellIs" dxfId="235" priority="566" operator="equal">
      <formula>"FGL"</formula>
    </cfRule>
  </conditionalFormatting>
  <conditionalFormatting sqref="D270:J270">
    <cfRule type="cellIs" dxfId="234" priority="535" operator="equal">
      <formula>"FGL"</formula>
    </cfRule>
  </conditionalFormatting>
  <conditionalFormatting sqref="D270:J272">
    <cfRule type="cellIs" dxfId="233" priority="559" operator="equal">
      <formula>"CU2"</formula>
    </cfRule>
    <cfRule type="cellIs" dxfId="232" priority="560" operator="equal">
      <formula>"FO"</formula>
    </cfRule>
    <cfRule type="cellIs" dxfId="231" priority="561" operator="equal">
      <formula>"CU1"</formula>
    </cfRule>
  </conditionalFormatting>
  <conditionalFormatting sqref="D270:J280">
    <cfRule type="containsText" dxfId="230" priority="539" operator="containsText" text="REC">
      <formula>NOT(ISERROR(SEARCH("REC",D270)))</formula>
    </cfRule>
  </conditionalFormatting>
  <conditionalFormatting sqref="D271:J271">
    <cfRule type="cellIs" dxfId="229" priority="517" operator="equal">
      <formula>"CU2"</formula>
    </cfRule>
    <cfRule type="cellIs" dxfId="228" priority="514" operator="equal">
      <formula>D272</formula>
    </cfRule>
    <cfRule type="cellIs" dxfId="227" priority="556" operator="equal">
      <formula>D272</formula>
    </cfRule>
    <cfRule type="cellIs" dxfId="226" priority="518" operator="equal">
      <formula>"FO"</formula>
    </cfRule>
    <cfRule type="cellIs" dxfId="225" priority="519" operator="equal">
      <formula>"CU1"</formula>
    </cfRule>
  </conditionalFormatting>
  <conditionalFormatting sqref="D273:J273">
    <cfRule type="cellIs" dxfId="224" priority="508" operator="equal">
      <formula>D274</formula>
    </cfRule>
    <cfRule type="containsText" dxfId="223" priority="509" operator="containsText" text="REC">
      <formula>NOT(ISERROR(SEARCH("REC",D273)))</formula>
    </cfRule>
    <cfRule type="cellIs" dxfId="222" priority="511" operator="equal">
      <formula>"CU2"</formula>
    </cfRule>
    <cfRule type="cellIs" dxfId="221" priority="512" operator="equal">
      <formula>"FO"</formula>
    </cfRule>
    <cfRule type="cellIs" dxfId="220" priority="513" operator="equal">
      <formula>"CU1"</formula>
    </cfRule>
    <cfRule type="cellIs" dxfId="219" priority="550" operator="equal">
      <formula>D274</formula>
    </cfRule>
  </conditionalFormatting>
  <conditionalFormatting sqref="D273:J274">
    <cfRule type="cellIs" dxfId="218" priority="555" operator="equal">
      <formula>"CU1"</formula>
    </cfRule>
    <cfRule type="cellIs" dxfId="217" priority="553" operator="equal">
      <formula>"CU2"</formula>
    </cfRule>
    <cfRule type="cellIs" dxfId="216" priority="554" operator="equal">
      <formula>"FO"</formula>
    </cfRule>
  </conditionalFormatting>
  <conditionalFormatting sqref="D275:J275">
    <cfRule type="cellIs" dxfId="215" priority="544" operator="equal">
      <formula>D276</formula>
    </cfRule>
  </conditionalFormatting>
  <conditionalFormatting sqref="D275:J276">
    <cfRule type="cellIs" dxfId="214" priority="548" operator="equal">
      <formula>"FO"</formula>
    </cfRule>
    <cfRule type="cellIs" dxfId="213" priority="547" operator="equal">
      <formula>"CU2"</formula>
    </cfRule>
    <cfRule type="cellIs" dxfId="212" priority="549" operator="equal">
      <formula>"CU1"</formula>
    </cfRule>
  </conditionalFormatting>
  <conditionalFormatting sqref="D277:J277">
    <cfRule type="cellIs" dxfId="211" priority="538" operator="equal">
      <formula>D278</formula>
    </cfRule>
    <cfRule type="cellIs" dxfId="210" priority="543" operator="equal">
      <formula>"CU1"</formula>
    </cfRule>
    <cfRule type="cellIs" dxfId="209" priority="542" operator="equal">
      <formula>"FO"</formula>
    </cfRule>
    <cfRule type="cellIs" dxfId="208" priority="541" operator="equal">
      <formula>"CU2"</formula>
    </cfRule>
  </conditionalFormatting>
  <conditionalFormatting sqref="D278:J280 G281:J282">
    <cfRule type="cellIs" dxfId="207" priority="565" operator="equal">
      <formula>"CU2"</formula>
    </cfRule>
    <cfRule type="cellIs" dxfId="206" priority="567" operator="equal">
      <formula>"FO"</formula>
    </cfRule>
    <cfRule type="cellIs" dxfId="205" priority="568" operator="equal">
      <formula>"CU1"</formula>
    </cfRule>
  </conditionalFormatting>
  <conditionalFormatting sqref="D279:J279 G281:J281">
    <cfRule type="cellIs" dxfId="204" priority="562" operator="equal">
      <formula>D$28</formula>
    </cfRule>
  </conditionalFormatting>
  <conditionalFormatting sqref="D281:J282">
    <cfRule type="containsText" dxfId="203" priority="173" operator="containsText" text="REC">
      <formula>NOT(ISERROR(SEARCH("REC",D281)))</formula>
    </cfRule>
  </conditionalFormatting>
  <conditionalFormatting sqref="D283:J284">
    <cfRule type="cellIs" dxfId="202" priority="1850" operator="equal">
      <formula>"FO"</formula>
    </cfRule>
    <cfRule type="containsText" dxfId="201" priority="1843" operator="containsText" text="FG">
      <formula>NOT(ISERROR(SEARCH("FG",D283)))</formula>
    </cfRule>
    <cfRule type="containsText" dxfId="200" priority="1844" operator="containsText" text="FG">
      <formula>NOT(ISERROR(SEARCH("FG",D283)))</formula>
    </cfRule>
    <cfRule type="cellIs" dxfId="199" priority="1848" operator="equal">
      <formula>"CU2"</formula>
    </cfRule>
    <cfRule type="cellIs" dxfId="198" priority="1851" operator="equal">
      <formula>"CU1"</formula>
    </cfRule>
  </conditionalFormatting>
  <conditionalFormatting sqref="D283:J286">
    <cfRule type="cellIs" dxfId="197" priority="1849" operator="equal">
      <formula>"FGL"</formula>
    </cfRule>
  </conditionalFormatting>
  <conditionalFormatting sqref="D283:J300">
    <cfRule type="containsText" dxfId="196" priority="489" operator="containsText" text="REC">
      <formula>NOT(ISERROR(SEARCH("REC",D283)))</formula>
    </cfRule>
  </conditionalFormatting>
  <conditionalFormatting sqref="D283:J312">
    <cfRule type="cellIs" dxfId="195" priority="314" operator="equal">
      <formula>"REC"</formula>
    </cfRule>
  </conditionalFormatting>
  <conditionalFormatting sqref="D285:J288 E289:J290 D291:J292 D295:J296">
    <cfRule type="cellIs" dxfId="194" priority="1967" operator="equal">
      <formula>"CU2"</formula>
    </cfRule>
    <cfRule type="cellIs" dxfId="193" priority="1969" operator="equal">
      <formula>"FO"</formula>
    </cfRule>
    <cfRule type="cellIs" dxfId="192" priority="1970" operator="equal">
      <formula>"CU1"</formula>
    </cfRule>
  </conditionalFormatting>
  <conditionalFormatting sqref="D287:J287 E289:J289 D291:J291 D295:J295">
    <cfRule type="cellIs" dxfId="191" priority="1964" operator="equal">
      <formula>D$28</formula>
    </cfRule>
  </conditionalFormatting>
  <conditionalFormatting sqref="D288:J288 D292:J292 D296:J296">
    <cfRule type="cellIs" dxfId="190" priority="1968" operator="equal">
      <formula>"FGL"</formula>
    </cfRule>
  </conditionalFormatting>
  <conditionalFormatting sqref="D290:J290">
    <cfRule type="cellIs" dxfId="189" priority="1930" operator="equal">
      <formula>"FGL"</formula>
    </cfRule>
  </conditionalFormatting>
  <conditionalFormatting sqref="D293:J293">
    <cfRule type="cellIs" dxfId="188" priority="1945" operator="equal">
      <formula>D$28</formula>
    </cfRule>
  </conditionalFormatting>
  <conditionalFormatting sqref="D293:J294">
    <cfRule type="cellIs" dxfId="187" priority="1951" operator="equal">
      <formula>"CU1"</formula>
    </cfRule>
    <cfRule type="cellIs" dxfId="186" priority="1948" operator="equal">
      <formula>"CU2"</formula>
    </cfRule>
    <cfRule type="cellIs" dxfId="185" priority="1950" operator="equal">
      <formula>"FO"</formula>
    </cfRule>
  </conditionalFormatting>
  <conditionalFormatting sqref="D294:J294">
    <cfRule type="cellIs" dxfId="184" priority="1949" operator="equal">
      <formula>"FGL"</formula>
    </cfRule>
  </conditionalFormatting>
  <conditionalFormatting sqref="D297:J297">
    <cfRule type="cellIs" dxfId="183" priority="1884" operator="equal">
      <formula>D$28</formula>
    </cfRule>
  </conditionalFormatting>
  <conditionalFormatting sqref="D297:J298">
    <cfRule type="cellIs" dxfId="182" priority="1887" operator="equal">
      <formula>"CU2"</formula>
    </cfRule>
    <cfRule type="cellIs" dxfId="181" priority="1890" operator="equal">
      <formula>"CU1"</formula>
    </cfRule>
    <cfRule type="cellIs" dxfId="180" priority="1889" operator="equal">
      <formula>"FO"</formula>
    </cfRule>
  </conditionalFormatting>
  <conditionalFormatting sqref="D298:J298">
    <cfRule type="cellIs" dxfId="179" priority="1888" operator="equal">
      <formula>"FGL"</formula>
    </cfRule>
  </conditionalFormatting>
  <conditionalFormatting sqref="D299:J299">
    <cfRule type="cellIs" dxfId="178" priority="488" operator="equal">
      <formula>D$28</formula>
    </cfRule>
  </conditionalFormatting>
  <conditionalFormatting sqref="D299:J300">
    <cfRule type="cellIs" dxfId="177" priority="491" operator="equal">
      <formula>"CU2"</formula>
    </cfRule>
    <cfRule type="cellIs" dxfId="176" priority="493" operator="equal">
      <formula>"FO"</formula>
    </cfRule>
    <cfRule type="cellIs" dxfId="175" priority="494" operator="equal">
      <formula>"CU1"</formula>
    </cfRule>
  </conditionalFormatting>
  <conditionalFormatting sqref="D300:J300">
    <cfRule type="cellIs" dxfId="174" priority="492" operator="equal">
      <formula>"FGL"</formula>
    </cfRule>
  </conditionalFormatting>
  <conditionalFormatting sqref="D301:J301 E303:J303">
    <cfRule type="cellIs" dxfId="173" priority="340" operator="equal">
      <formula>D$28</formula>
    </cfRule>
  </conditionalFormatting>
  <conditionalFormatting sqref="D301:J302 E303:J304">
    <cfRule type="cellIs" dxfId="172" priority="346" operator="equal">
      <formula>"CU1"</formula>
    </cfRule>
    <cfRule type="cellIs" dxfId="171" priority="345" operator="equal">
      <formula>"FO"</formula>
    </cfRule>
    <cfRule type="cellIs" dxfId="170" priority="343" operator="equal">
      <formula>"CU2"</formula>
    </cfRule>
  </conditionalFormatting>
  <conditionalFormatting sqref="D301:J308">
    <cfRule type="containsText" dxfId="169" priority="313" operator="containsText" text="REC">
      <formula>NOT(ISERROR(SEARCH("REC",D301)))</formula>
    </cfRule>
  </conditionalFormatting>
  <conditionalFormatting sqref="D302:J302">
    <cfRule type="cellIs" dxfId="168" priority="344" operator="equal">
      <formula>"FGL"</formula>
    </cfRule>
  </conditionalFormatting>
  <conditionalFormatting sqref="D304:J304">
    <cfRule type="cellIs" dxfId="167" priority="337" operator="equal">
      <formula>"FGL"</formula>
    </cfRule>
  </conditionalFormatting>
  <conditionalFormatting sqref="D305:J305">
    <cfRule type="cellIs" dxfId="166" priority="1891" operator="equal">
      <formula>D$28</formula>
    </cfRule>
    <cfRule type="cellIs" dxfId="165" priority="319" operator="equal">
      <formula>D$28</formula>
    </cfRule>
  </conditionalFormatting>
  <conditionalFormatting sqref="D305:J306">
    <cfRule type="cellIs" dxfId="164" priority="325" operator="equal">
      <formula>"CU1"</formula>
    </cfRule>
    <cfRule type="cellIs" dxfId="163" priority="1894" operator="equal">
      <formula>"CU2"</formula>
    </cfRule>
    <cfRule type="cellIs" dxfId="162" priority="1896" operator="equal">
      <formula>"FO"</formula>
    </cfRule>
    <cfRule type="cellIs" dxfId="161" priority="1897" operator="equal">
      <formula>"CU1"</formula>
    </cfRule>
    <cfRule type="cellIs" dxfId="160" priority="322" operator="equal">
      <formula>"CU2"</formula>
    </cfRule>
    <cfRule type="cellIs" dxfId="159" priority="324" operator="equal">
      <formula>"FO"</formula>
    </cfRule>
  </conditionalFormatting>
  <conditionalFormatting sqref="D305:J310">
    <cfRule type="containsText" dxfId="158" priority="1892" operator="containsText" text="REC">
      <formula>NOT(ISERROR(SEARCH("REC",D305)))</formula>
    </cfRule>
  </conditionalFormatting>
  <conditionalFormatting sqref="D306:J306">
    <cfRule type="cellIs" dxfId="157" priority="323" operator="equal">
      <formula>"FGL"</formula>
    </cfRule>
    <cfRule type="cellIs" dxfId="156" priority="1895" operator="equal">
      <formula>"FGL"</formula>
    </cfRule>
  </conditionalFormatting>
  <conditionalFormatting sqref="D307:J307">
    <cfRule type="cellIs" dxfId="155" priority="312" operator="equal">
      <formula>D$28</formula>
    </cfRule>
    <cfRule type="cellIs" dxfId="154" priority="1912" operator="equal">
      <formula>D$28</formula>
    </cfRule>
  </conditionalFormatting>
  <conditionalFormatting sqref="D307:J308">
    <cfRule type="cellIs" dxfId="153" priority="1915" operator="equal">
      <formula>"CU2"</formula>
    </cfRule>
    <cfRule type="cellIs" dxfId="152" priority="318" operator="equal">
      <formula>"CU1"</formula>
    </cfRule>
    <cfRule type="cellIs" dxfId="151" priority="315" operator="equal">
      <formula>"CU2"</formula>
    </cfRule>
    <cfRule type="cellIs" dxfId="150" priority="1918" operator="equal">
      <formula>"CU1"</formula>
    </cfRule>
    <cfRule type="cellIs" dxfId="149" priority="1917" operator="equal">
      <formula>"FO"</formula>
    </cfRule>
    <cfRule type="cellIs" dxfId="148" priority="317" operator="equal">
      <formula>"FO"</formula>
    </cfRule>
  </conditionalFormatting>
  <conditionalFormatting sqref="D308:J308">
    <cfRule type="cellIs" dxfId="147" priority="316" operator="equal">
      <formula>"FGL"</formula>
    </cfRule>
    <cfRule type="cellIs" dxfId="146" priority="1916" operator="equal">
      <formula>"FGL"</formula>
    </cfRule>
  </conditionalFormatting>
  <conditionalFormatting sqref="D309:J309">
    <cfRule type="cellIs" dxfId="145" priority="1905" operator="equal">
      <formula>D$28</formula>
    </cfRule>
  </conditionalFormatting>
  <conditionalFormatting sqref="D309:J310">
    <cfRule type="cellIs" dxfId="144" priority="1911" operator="equal">
      <formula>"CU1"</formula>
    </cfRule>
    <cfRule type="cellIs" dxfId="143" priority="1910" operator="equal">
      <formula>"FO"</formula>
    </cfRule>
    <cfRule type="cellIs" dxfId="142" priority="1908" operator="equal">
      <formula>"CU2"</formula>
    </cfRule>
    <cfRule type="cellIs" priority="286" operator="equal">
      <formula>"CU2T"</formula>
    </cfRule>
  </conditionalFormatting>
  <conditionalFormatting sqref="D309:J312">
    <cfRule type="cellIs" dxfId="141" priority="281" operator="equal">
      <formula>"C2M"</formula>
    </cfRule>
    <cfRule type="cellIs" dxfId="140" priority="275" operator="equal">
      <formula>"FGL"</formula>
    </cfRule>
    <cfRule type="cellIs" dxfId="139" priority="280" operator="equal">
      <formula>"C2T"</formula>
    </cfRule>
    <cfRule type="cellIs" dxfId="138" priority="276" operator="equal">
      <formula>"CU2"</formula>
    </cfRule>
    <cfRule type="cellIs" dxfId="137" priority="285" operator="equal">
      <formula>"CU2T"</formula>
    </cfRule>
    <cfRule type="cellIs" dxfId="136" priority="277" operator="equal">
      <formula>"FO"</formula>
    </cfRule>
    <cfRule type="cellIs" dxfId="135" priority="278" operator="equal">
      <formula>"CU1"</formula>
    </cfRule>
    <cfRule type="cellIs" dxfId="134" priority="287" operator="equal">
      <formula>"CU2M"</formula>
    </cfRule>
    <cfRule type="cellIs" priority="294" operator="equal">
      <formula>"CU2T"</formula>
    </cfRule>
  </conditionalFormatting>
  <conditionalFormatting sqref="D309:J318">
    <cfRule type="cellIs" dxfId="133" priority="212" operator="equal">
      <formula>"REC"</formula>
    </cfRule>
  </conditionalFormatting>
  <conditionalFormatting sqref="D310:J310">
    <cfRule type="cellIs" dxfId="132" priority="1909" operator="equal">
      <formula>"FGL"</formula>
    </cfRule>
  </conditionalFormatting>
  <conditionalFormatting sqref="D311:J311">
    <cfRule type="cellIs" dxfId="131" priority="272" operator="equal">
      <formula>D$28</formula>
    </cfRule>
  </conditionalFormatting>
  <conditionalFormatting sqref="D311:J312">
    <cfRule type="cellIs" priority="364" operator="equal">
      <formula>"CU2T"</formula>
    </cfRule>
  </conditionalFormatting>
  <conditionalFormatting sqref="D311:J314">
    <cfRule type="containsText" dxfId="130" priority="211" operator="containsText" text="REC">
      <formula>NOT(ISERROR(SEARCH("REC",D311)))</formula>
    </cfRule>
  </conditionalFormatting>
  <conditionalFormatting sqref="D313:J313">
    <cfRule type="cellIs" dxfId="129" priority="210" operator="equal">
      <formula>D314</formula>
    </cfRule>
    <cfRule type="cellIs" dxfId="128" priority="216" operator="equal">
      <formula>D314</formula>
    </cfRule>
    <cfRule type="cellIs" dxfId="127" priority="215" operator="equal">
      <formula>"CU1"</formula>
    </cfRule>
    <cfRule type="cellIs" dxfId="126" priority="213" operator="equal">
      <formula>"CU2"</formula>
    </cfRule>
    <cfRule type="cellIs" dxfId="125" priority="214" operator="equal">
      <formula>"FO"</formula>
    </cfRule>
  </conditionalFormatting>
  <conditionalFormatting sqref="D313:J318">
    <cfRule type="cellIs" dxfId="124" priority="221" operator="equal">
      <formula>"CU1"</formula>
    </cfRule>
    <cfRule type="cellIs" dxfId="123" priority="220" operator="equal">
      <formula>"FO"</formula>
    </cfRule>
    <cfRule type="cellIs" dxfId="122" priority="219" operator="equal">
      <formula>"CU2"</formula>
    </cfRule>
  </conditionalFormatting>
  <conditionalFormatting sqref="D314:J316">
    <cfRule type="cellIs" dxfId="121" priority="225" operator="equal">
      <formula>"FGL"</formula>
    </cfRule>
  </conditionalFormatting>
  <conditionalFormatting sqref="D315:J316">
    <cfRule type="cellIs" dxfId="120" priority="479" operator="equal">
      <formula>"CU1"</formula>
    </cfRule>
    <cfRule type="cellIs" dxfId="119" priority="470" operator="equal">
      <formula>"REC"</formula>
    </cfRule>
    <cfRule type="cellIs" dxfId="118" priority="471" operator="equal">
      <formula>"C2T"</formula>
    </cfRule>
    <cfRule type="cellIs" dxfId="117" priority="472" operator="equal">
      <formula>"C2M"</formula>
    </cfRule>
    <cfRule type="cellIs" dxfId="116" priority="473" operator="equal">
      <formula>"CU2"</formula>
    </cfRule>
    <cfRule type="cellIs" dxfId="115" priority="475" operator="equal">
      <formula>"FO"</formula>
    </cfRule>
    <cfRule type="cellIs" dxfId="114" priority="476" operator="equal">
      <formula>"CU2T"</formula>
    </cfRule>
    <cfRule type="cellIs" priority="271" operator="equal">
      <formula>"CU2T"</formula>
    </cfRule>
    <cfRule type="cellIs" dxfId="113" priority="478" operator="equal">
      <formula>"CU2M"</formula>
    </cfRule>
  </conditionalFormatting>
  <conditionalFormatting sqref="D315:J318">
    <cfRule type="cellIs" dxfId="112" priority="237" operator="equal">
      <formula>"C2T"</formula>
    </cfRule>
    <cfRule type="cellIs" dxfId="111" priority="238" operator="equal">
      <formula>"C2M"</formula>
    </cfRule>
    <cfRule type="cellIs" dxfId="110" priority="242" operator="equal">
      <formula>"CU2T"</formula>
    </cfRule>
    <cfRule type="cellIs" priority="243" operator="equal">
      <formula>"CU2T"</formula>
    </cfRule>
    <cfRule type="cellIs" dxfId="109" priority="244" operator="equal">
      <formula>"CU2M"</formula>
    </cfRule>
  </conditionalFormatting>
  <conditionalFormatting sqref="D316:J316">
    <cfRule type="cellIs" dxfId="108" priority="474" operator="equal">
      <formula>"FGL"</formula>
    </cfRule>
  </conditionalFormatting>
  <conditionalFormatting sqref="D318:J318">
    <cfRule type="cellIs" dxfId="107" priority="240" operator="equal">
      <formula>"FGL"</formula>
    </cfRule>
  </conditionalFormatting>
  <conditionalFormatting sqref="D319:J320">
    <cfRule type="cellIs" dxfId="106" priority="430" operator="equal">
      <formula>"CU2T"</formula>
    </cfRule>
    <cfRule type="cellIs" dxfId="105" priority="431" operator="equal">
      <formula>"CU2M"</formula>
    </cfRule>
  </conditionalFormatting>
  <conditionalFormatting sqref="D321:J321">
    <cfRule type="cellIs" dxfId="104" priority="441" operator="equal">
      <formula>D$28</formula>
    </cfRule>
  </conditionalFormatting>
  <conditionalFormatting sqref="D321:J322">
    <cfRule type="cellIs" dxfId="103" priority="444" operator="equal">
      <formula>"CU2"</formula>
    </cfRule>
    <cfRule type="cellIs" dxfId="102" priority="446" operator="equal">
      <formula>"FO"</formula>
    </cfRule>
    <cfRule type="cellIs" dxfId="101" priority="447" operator="equal">
      <formula>"CU1"</formula>
    </cfRule>
  </conditionalFormatting>
  <conditionalFormatting sqref="D321:J372">
    <cfRule type="containsText" dxfId="100" priority="435" operator="containsText" text="REC">
      <formula>NOT(ISERROR(SEARCH("REC",D321)))</formula>
    </cfRule>
  </conditionalFormatting>
  <conditionalFormatting sqref="D321:J390">
    <cfRule type="cellIs" dxfId="99" priority="410" operator="equal">
      <formula>"REC"</formula>
    </cfRule>
  </conditionalFormatting>
  <conditionalFormatting sqref="D322:J322">
    <cfRule type="cellIs" dxfId="98" priority="445" operator="equal">
      <formula>"FGL"</formula>
    </cfRule>
  </conditionalFormatting>
  <conditionalFormatting sqref="D323:J323 D327:J327 D331:J331 D335:J335 D339:J339 D343:J343 D347:J347 D351:J351 D355:J355 D359:J359 D363:J363 D367:J367 D371:J371">
    <cfRule type="cellIs" dxfId="97" priority="434" operator="equal">
      <formula>D$28</formula>
    </cfRule>
  </conditionalFormatting>
  <conditionalFormatting sqref="D323:J324 D327:J328 D331:J332 D335:J336 D339:J340 D343:J344 D347:J348 D351:J352 D355:J356 D359:J360 D363:J364 D367:J368 D371:J372">
    <cfRule type="cellIs" dxfId="96" priority="440" operator="equal">
      <formula>"CU1"</formula>
    </cfRule>
    <cfRule type="cellIs" dxfId="95" priority="439" operator="equal">
      <formula>"FO"</formula>
    </cfRule>
    <cfRule type="cellIs" dxfId="94" priority="437" operator="equal">
      <formula>"CU2"</formula>
    </cfRule>
  </conditionalFormatting>
  <conditionalFormatting sqref="D324:J324 D328:J328 D332:J332 D336:J336 D340:J340 D344:J344 D348:J348 D352:J352 D356:J356 D360:J360 D364:J364 D368:J368 D372:J372">
    <cfRule type="cellIs" dxfId="93" priority="438" operator="equal">
      <formula>"FGL"</formula>
    </cfRule>
  </conditionalFormatting>
  <conditionalFormatting sqref="D325:J325 D329:J329 D333:J333 D337:J337 D341:J341 D345:J345 D349:J349 D353:J353 D357:J357 D361:J361 D365:J365 D369:J369 D373:J373 D375:J375 D377:J377 D379:J379 D381:J381 D383:J383 D385:J385">
    <cfRule type="cellIs" dxfId="92" priority="448" operator="equal">
      <formula>D$28</formula>
    </cfRule>
  </conditionalFormatting>
  <conditionalFormatting sqref="D325:J326 D329:J330 D333:J334 D337:J338 D341:J342 D345:J346 D349:J350 D353:J354 D357:J358 D361:J362 D365:J366 D369:J370">
    <cfRule type="cellIs" dxfId="91" priority="454" operator="equal">
      <formula>"CU1"</formula>
    </cfRule>
    <cfRule type="cellIs" dxfId="90" priority="452" operator="equal">
      <formula>"CU2"</formula>
    </cfRule>
    <cfRule type="cellIs" dxfId="89" priority="453" operator="equal">
      <formula>"FO"</formula>
    </cfRule>
  </conditionalFormatting>
  <conditionalFormatting sqref="D326:J326 D330:J330 D334:J334 D338:J338 D342:J342 D346:J346 D350:J350 D354:J354 D358:J358 D362:J362 D366:J366 D370:J370 D374:J374 D376:J376 D378:J378 D380:J380 D382:J382 D384:J384 D386:J386">
    <cfRule type="cellIs" dxfId="88" priority="451" operator="equal">
      <formula>"FGL"</formula>
    </cfRule>
  </conditionalFormatting>
  <conditionalFormatting sqref="D387:J390">
    <cfRule type="cellIs" dxfId="87" priority="413" operator="equal">
      <formula>"CU2"</formula>
    </cfRule>
    <cfRule type="cellIs" dxfId="86" priority="415" operator="equal">
      <formula>"FO"</formula>
    </cfRule>
    <cfRule type="cellIs" dxfId="85" priority="416" operator="equal">
      <formula>"CU2T"</formula>
    </cfRule>
    <cfRule type="cellIs" priority="417" operator="equal">
      <formula>"CU2T"</formula>
    </cfRule>
    <cfRule type="cellIs" dxfId="84" priority="418" operator="equal">
      <formula>"CU2M"</formula>
    </cfRule>
    <cfRule type="cellIs" dxfId="83" priority="419" operator="equal">
      <formula>"CU1"</formula>
    </cfRule>
    <cfRule type="cellIs" dxfId="82" priority="411" operator="equal">
      <formula>"C2T"</formula>
    </cfRule>
    <cfRule type="cellIs" dxfId="81" priority="412" operator="equal">
      <formula>"C2M"</formula>
    </cfRule>
  </conditionalFormatting>
  <conditionalFormatting sqref="D388:J388">
    <cfRule type="cellIs" dxfId="80" priority="414" operator="equal">
      <formula>"FGL"</formula>
    </cfRule>
  </conditionalFormatting>
  <conditionalFormatting sqref="D390:J390">
    <cfRule type="cellIs" dxfId="79" priority="424" operator="equal">
      <formula>"FGL"</formula>
    </cfRule>
  </conditionalFormatting>
  <conditionalFormatting sqref="D391:J1048576">
    <cfRule type="cellIs" dxfId="78" priority="2030" operator="equal">
      <formula>"CU2M"</formula>
    </cfRule>
    <cfRule type="cellIs" dxfId="77" priority="2029" operator="equal">
      <formula>"CU2T"</formula>
    </cfRule>
  </conditionalFormatting>
  <conditionalFormatting sqref="E310">
    <cfRule type="cellIs" dxfId="76" priority="291" stopIfTrue="1" operator="equal">
      <formula>"E4"</formula>
    </cfRule>
    <cfRule type="cellIs" dxfId="75" priority="289" operator="equal">
      <formula>"jui"</formula>
    </cfRule>
    <cfRule type="cellIs" dxfId="74" priority="290" stopIfTrue="1" operator="equal">
      <formula>"E3"</formula>
    </cfRule>
  </conditionalFormatting>
  <conditionalFormatting sqref="E312">
    <cfRule type="cellIs" dxfId="73" priority="359" operator="equal">
      <formula>"jui"</formula>
    </cfRule>
    <cfRule type="cellIs" dxfId="72" priority="360" stopIfTrue="1" operator="equal">
      <formula>"E3"</formula>
    </cfRule>
    <cfRule type="cellIs" dxfId="71" priority="361" stopIfTrue="1" operator="equal">
      <formula>"E4"</formula>
    </cfRule>
  </conditionalFormatting>
  <conditionalFormatting sqref="E316">
    <cfRule type="cellIs" dxfId="70" priority="258" stopIfTrue="1" operator="equal">
      <formula>"E4"</formula>
    </cfRule>
    <cfRule type="cellIs" dxfId="69" priority="257" stopIfTrue="1" operator="equal">
      <formula>"E3"</formula>
    </cfRule>
    <cfRule type="cellIs" dxfId="68" priority="256" operator="equal">
      <formula>"jui"</formula>
    </cfRule>
  </conditionalFormatting>
  <conditionalFormatting sqref="E255:J255">
    <cfRule type="cellIs" dxfId="67" priority="630" operator="equal">
      <formula>"CU2"</formula>
    </cfRule>
    <cfRule type="cellIs" dxfId="66" priority="631" operator="equal">
      <formula>"FO"</formula>
    </cfRule>
    <cfRule type="cellIs" dxfId="65" priority="632" operator="equal">
      <formula>"CU1"</formula>
    </cfRule>
  </conditionalFormatting>
  <conditionalFormatting sqref="E256:J256">
    <cfRule type="cellIs" dxfId="64" priority="599" operator="equal">
      <formula>"CU2"</formula>
    </cfRule>
    <cfRule type="cellIs" dxfId="63" priority="601" operator="equal">
      <formula>"FO"</formula>
    </cfRule>
    <cfRule type="cellIs" dxfId="62" priority="602" operator="equal">
      <formula>"CU1"</formula>
    </cfRule>
  </conditionalFormatting>
  <conditionalFormatting sqref="H37">
    <cfRule type="cellIs" dxfId="61" priority="1259" operator="equal">
      <formula>H$28</formula>
    </cfRule>
  </conditionalFormatting>
  <conditionalFormatting sqref="H37:H38">
    <cfRule type="cellIs" dxfId="60" priority="1263" operator="equal">
      <formula>"CU2"</formula>
    </cfRule>
    <cfRule type="cellIs" dxfId="59" priority="1265" operator="equal">
      <formula>"FO"</formula>
    </cfRule>
    <cfRule type="cellIs" dxfId="58" priority="1266" operator="equal">
      <formula>"CU1"</formula>
    </cfRule>
  </conditionalFormatting>
  <conditionalFormatting sqref="H41">
    <cfRule type="cellIs" dxfId="57" priority="970" operator="equal">
      <formula>H$28</formula>
    </cfRule>
  </conditionalFormatting>
  <conditionalFormatting sqref="H41:H42">
    <cfRule type="cellIs" dxfId="56" priority="976" operator="equal">
      <formula>"CU1"</formula>
    </cfRule>
    <cfRule type="cellIs" dxfId="55" priority="975" operator="equal">
      <formula>"FO"</formula>
    </cfRule>
    <cfRule type="cellIs" dxfId="54" priority="973" operator="equal">
      <formula>"CU2"</formula>
    </cfRule>
  </conditionalFormatting>
  <conditionalFormatting sqref="H45">
    <cfRule type="cellIs" dxfId="53" priority="3141" operator="equal">
      <formula>F28</formula>
    </cfRule>
  </conditionalFormatting>
  <conditionalFormatting sqref="H278">
    <cfRule type="containsText" dxfId="52" priority="230" operator="containsText" text="REC">
      <formula>NOT(ISERROR(SEARCH("REC",H278)))</formula>
    </cfRule>
    <cfRule type="cellIs" dxfId="51" priority="235" operator="equal">
      <formula>"CU1"</formula>
    </cfRule>
    <cfRule type="cellIs" dxfId="50" priority="234" operator="equal">
      <formula>"FO"</formula>
    </cfRule>
    <cfRule type="cellIs" dxfId="49" priority="233" operator="equal">
      <formula>"FGL"</formula>
    </cfRule>
    <cfRule type="cellIs" dxfId="48" priority="232" operator="equal">
      <formula>"CU2"</formula>
    </cfRule>
    <cfRule type="cellIs" dxfId="47" priority="231" operator="equal">
      <formula>"REC"</formula>
    </cfRule>
  </conditionalFormatting>
  <conditionalFormatting sqref="H40:J40">
    <cfRule type="cellIs" dxfId="46" priority="1012" operator="equal">
      <formula>"CU1"</formula>
    </cfRule>
    <cfRule type="cellIs" dxfId="45" priority="1011" operator="equal">
      <formula>"FO"</formula>
    </cfRule>
    <cfRule type="cellIs" dxfId="44" priority="1009" operator="equal">
      <formula>"CU2"</formula>
    </cfRule>
  </conditionalFormatting>
  <conditionalFormatting sqref="H47:J47">
    <cfRule type="cellIs" dxfId="43" priority="1080" operator="equal">
      <formula>H$28</formula>
    </cfRule>
  </conditionalFormatting>
  <conditionalFormatting sqref="H47:J48">
    <cfRule type="cellIs" dxfId="42" priority="1085" operator="equal">
      <formula>"FO"</formula>
    </cfRule>
    <cfRule type="cellIs" dxfId="41" priority="1086" operator="equal">
      <formula>"CU1"</formula>
    </cfRule>
    <cfRule type="cellIs" dxfId="40" priority="1083" operator="equal">
      <formula>"CU2"</formula>
    </cfRule>
  </conditionalFormatting>
  <conditionalFormatting sqref="H51:J51">
    <cfRule type="cellIs" dxfId="39" priority="942" operator="equal">
      <formula>H$28</formula>
    </cfRule>
  </conditionalFormatting>
  <conditionalFormatting sqref="H121:J121">
    <cfRule type="cellIs" dxfId="38" priority="1267" operator="equal">
      <formula>H122</formula>
    </cfRule>
  </conditionalFormatting>
  <conditionalFormatting sqref="H122:J122">
    <cfRule type="cellIs" dxfId="37" priority="1276" operator="equal">
      <formula>"FGL"</formula>
    </cfRule>
  </conditionalFormatting>
  <conditionalFormatting sqref="H249:J249">
    <cfRule type="cellIs" dxfId="36" priority="582" operator="equal">
      <formula>H$28</formula>
    </cfRule>
  </conditionalFormatting>
  <conditionalFormatting sqref="H249:J250">
    <cfRule type="cellIs" dxfId="35" priority="588" operator="equal">
      <formula>"CU1"</formula>
    </cfRule>
    <cfRule type="cellIs" dxfId="34" priority="585" operator="equal">
      <formula>"CU2"</formula>
    </cfRule>
    <cfRule type="cellIs" dxfId="33" priority="587" operator="equal">
      <formula>"FO"</formula>
    </cfRule>
  </conditionalFormatting>
  <conditionalFormatting sqref="H263:J264">
    <cfRule type="cellIs" dxfId="32" priority="198" operator="equal">
      <formula>"CU2"</formula>
    </cfRule>
    <cfRule type="cellIs" dxfId="31" priority="200" operator="equal">
      <formula>"CU1"</formula>
    </cfRule>
    <cfRule type="cellIs" dxfId="30" priority="199" operator="equal">
      <formula>"FO"</formula>
    </cfRule>
  </conditionalFormatting>
  <conditionalFormatting sqref="H265:J266">
    <cfRule type="cellIs" dxfId="29" priority="184" operator="equal">
      <formula>"CU2"</formula>
    </cfRule>
    <cfRule type="cellIs" dxfId="28" priority="185" operator="equal">
      <formula>"FO"</formula>
    </cfRule>
    <cfRule type="cellIs" dxfId="27" priority="186" operator="equal">
      <formula>"CU1"</formula>
    </cfRule>
  </conditionalFormatting>
  <conditionalFormatting sqref="H287:J290 D27:E27 G27:J27 D263:G266 D373:J386">
    <cfRule type="cellIs" dxfId="26" priority="2024" operator="equal">
      <formula>"FO"</formula>
    </cfRule>
  </conditionalFormatting>
  <conditionalFormatting sqref="H287:J290 D27:E27 G27:J27 D373:J386 D263:G266">
    <cfRule type="cellIs" dxfId="25" priority="2023" operator="equal">
      <formula>"CU2"</formula>
    </cfRule>
    <cfRule type="cellIs" dxfId="24" priority="2028" operator="equal">
      <formula>"CU1"</formula>
    </cfRule>
  </conditionalFormatting>
  <conditionalFormatting sqref="I37:J38">
    <cfRule type="cellIs" dxfId="23" priority="982" operator="equal">
      <formula>"CU1"</formula>
    </cfRule>
    <cfRule type="cellIs" dxfId="22" priority="981" operator="equal">
      <formula>"FO"</formula>
    </cfRule>
    <cfRule type="cellIs" dxfId="21" priority="980" operator="equal">
      <formula>"CU2"</formula>
    </cfRule>
  </conditionalFormatting>
  <conditionalFormatting sqref="I41:J42">
    <cfRule type="cellIs" dxfId="20" priority="962" operator="equal">
      <formula>"CU1"</formula>
    </cfRule>
    <cfRule type="cellIs" dxfId="19" priority="961" operator="equal">
      <formula>"FO"</formula>
    </cfRule>
    <cfRule type="cellIs" dxfId="18" priority="960" operator="equal">
      <formula>"CU2"</formula>
    </cfRule>
  </conditionalFormatting>
  <conditionalFormatting sqref="I54:J54">
    <cfRule type="cellIs" dxfId="17" priority="930" operator="equal">
      <formula>"REC"</formula>
    </cfRule>
    <cfRule type="cellIs" dxfId="16" priority="932" operator="equal">
      <formula>"FGL"</formula>
    </cfRule>
    <cfRule type="containsText" dxfId="15" priority="929" operator="containsText" text="REC">
      <formula>NOT(ISERROR(SEARCH("REC",I54)))</formula>
    </cfRule>
  </conditionalFormatting>
  <conditionalFormatting sqref="I168:J168">
    <cfRule type="cellIs" dxfId="14" priority="1338" operator="equal">
      <formula>"FGL"</formula>
    </cfRule>
    <cfRule type="cellIs" dxfId="13" priority="1336" operator="equal">
      <formula>"REC"</formula>
    </cfRule>
    <cfRule type="containsText" dxfId="12" priority="1335" operator="containsText" text="REC">
      <formula>NOT(ISERROR(SEARCH("REC",I168)))</formula>
    </cfRule>
  </conditionalFormatting>
  <conditionalFormatting sqref="K42 ID39:IV39 K70 K131">
    <cfRule type="cellIs" dxfId="11" priority="2032" stopIfTrue="1" operator="equal">
      <formula>"E1"</formula>
    </cfRule>
  </conditionalFormatting>
  <conditionalFormatting sqref="K42">
    <cfRule type="containsText" dxfId="10" priority="208" operator="containsText" text="CUM">
      <formula>NOT(ISERROR(SEARCH("CUM",K42)))</formula>
    </cfRule>
  </conditionalFormatting>
  <conditionalFormatting sqref="K64 K82 K86">
    <cfRule type="cellIs" dxfId="9" priority="2031" stopIfTrue="1" operator="equal">
      <formula>"CU"</formula>
    </cfRule>
  </conditionalFormatting>
  <conditionalFormatting sqref="Q290:W290">
    <cfRule type="cellIs" dxfId="8" priority="683" operator="equal">
      <formula>Q$28</formula>
    </cfRule>
  </conditionalFormatting>
  <conditionalFormatting sqref="Q290:W291">
    <cfRule type="cellIs" dxfId="7" priority="689" operator="equal">
      <formula>"CU1"</formula>
    </cfRule>
    <cfRule type="cellIs" dxfId="6" priority="688" operator="equal">
      <formula>"FO"</formula>
    </cfRule>
    <cfRule type="cellIs" dxfId="5" priority="686" operator="equal">
      <formula>"CU2"</formula>
    </cfRule>
    <cfRule type="containsText" dxfId="4" priority="684" operator="containsText" text="REC">
      <formula>NOT(ISERROR(SEARCH("REC",Q290)))</formula>
    </cfRule>
    <cfRule type="cellIs" dxfId="3" priority="685" operator="equal">
      <formula>"REC"</formula>
    </cfRule>
  </conditionalFormatting>
  <conditionalFormatting sqref="Q291:W291">
    <cfRule type="cellIs" dxfId="2" priority="687" operator="equal">
      <formula>"FGL"</formula>
    </cfRule>
  </conditionalFormatting>
  <conditionalFormatting sqref="ID39:IV39 K42 K70 K131">
    <cfRule type="cellIs" dxfId="1" priority="2033" stopIfTrue="1" operator="equal">
      <formula>"E2"</formula>
    </cfRule>
    <cfRule type="cellIs" dxfId="0" priority="2034" stopIfTrue="1" operator="equal">
      <formula>"E3"</formula>
    </cfRule>
  </conditionalFormatting>
  <pageMargins left="0.78740157480314965" right="0" top="0.35433070866141736" bottom="0" header="0" footer="0"/>
  <pageSetup paperSize="9" scale="64" fitToWidth="0" fitToHeight="0" orientation="portrait" horizontalDpi="1200" verticalDpi="1200" r:id="rId1"/>
  <rowBreaks count="4" manualBreakCount="4">
    <brk id="98" max="16383" man="1"/>
    <brk id="172" max="16383" man="1"/>
    <brk id="244" max="16383" man="1"/>
    <brk id="318" max="9" man="1"/>
  </rowBreaks>
  <colBreaks count="1" manualBreakCount="1">
    <brk id="12"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C159"/>
  <sheetViews>
    <sheetView workbookViewId="0"/>
  </sheetViews>
  <sheetFormatPr defaultColWidth="11.43359375" defaultRowHeight="18" x14ac:dyDescent="0.2"/>
  <cols>
    <col min="1" max="1" width="9.55078125" style="38" customWidth="1"/>
    <col min="2" max="2" width="52.4609375" style="39" customWidth="1"/>
    <col min="3" max="9" width="9.55078125" style="40" customWidth="1"/>
    <col min="10" max="13" width="8.609375" style="37" customWidth="1"/>
    <col min="14" max="14" width="7.3984375" style="37" customWidth="1"/>
    <col min="15" max="15" width="11.43359375" style="37" customWidth="1"/>
    <col min="16" max="16" width="5.109375" style="37" customWidth="1"/>
    <col min="17" max="17" width="0" style="37" hidden="1" customWidth="1"/>
    <col min="18" max="18" width="12.375" style="37" bestFit="1" customWidth="1"/>
    <col min="19" max="20" width="8.609375" style="37" customWidth="1"/>
    <col min="21" max="21" width="8.47265625" style="37" customWidth="1"/>
    <col min="22" max="22" width="11.02734375" style="37" customWidth="1"/>
    <col min="23" max="16384" width="11.43359375" style="37"/>
  </cols>
  <sheetData>
    <row r="1" spans="1:9" x14ac:dyDescent="0.2">
      <c r="A1" s="39"/>
      <c r="C1" s="39"/>
      <c r="D1" s="39"/>
      <c r="E1" s="41"/>
      <c r="F1" s="39"/>
      <c r="G1" s="39"/>
      <c r="H1" s="39"/>
      <c r="I1" s="39"/>
    </row>
    <row r="2" spans="1:9" ht="22.5" customHeight="1" x14ac:dyDescent="0.2">
      <c r="A2" s="39"/>
      <c r="C2" s="39"/>
      <c r="D2" s="39"/>
      <c r="E2" s="39"/>
      <c r="F2" s="41"/>
      <c r="G2" s="39"/>
      <c r="H2" s="39"/>
      <c r="I2" s="39"/>
    </row>
    <row r="3" spans="1:9" ht="26.25" customHeight="1" x14ac:dyDescent="0.2">
      <c r="A3" s="39"/>
      <c r="C3" s="39"/>
      <c r="D3" s="39"/>
      <c r="E3" s="39"/>
      <c r="F3" s="39"/>
      <c r="G3" s="39"/>
      <c r="H3" s="39"/>
      <c r="I3" s="39"/>
    </row>
    <row r="4" spans="1:9" ht="10.5" customHeight="1" x14ac:dyDescent="0.2">
      <c r="A4" s="42"/>
    </row>
    <row r="5" spans="1:9" ht="24" customHeight="1" x14ac:dyDescent="0.2">
      <c r="A5" s="670" t="s">
        <v>73</v>
      </c>
      <c r="B5" s="671"/>
      <c r="C5" s="672" t="str">
        <f>IF(MONTH(C8)=MONTH(I8),"Semana del dia "&amp;DAY(FECHA!$C$3)&amp;" "&amp;"al "&amp;DAY(FECHA!$C$3+6)&amp;" de "&amp;VLOOKUP(MONTH(FECHA!$C$3),FECHA!$H$2:$I$13,2)&amp;" "&amp;YEAR(I8),"Semana del dia "&amp;DAY(FECHA!$C$3)&amp;" "&amp;VLOOKUP(MONTH(FECHA!$C$3),FECHA!$H$2:$I$13,2)&amp;" "&amp;"al "&amp;DAY(FECHA!$C$3+6)&amp;" de "&amp;VLOOKUP(MONTH(I8),FECHA!$H$2:$I$13,2)&amp;" "&amp;YEAR(I8))</f>
        <v>Semana del dia 8 al 14 de Sep 2025</v>
      </c>
      <c r="D5" s="673"/>
      <c r="E5" s="673"/>
      <c r="F5" s="673"/>
      <c r="G5" s="673"/>
      <c r="H5" s="673"/>
      <c r="I5" s="674"/>
    </row>
    <row r="6" spans="1:9" ht="24" customHeight="1" thickBot="1" x14ac:dyDescent="0.25"/>
    <row r="7" spans="1:9" ht="14.45" customHeight="1" thickTop="1" x14ac:dyDescent="0.2">
      <c r="A7" s="21"/>
      <c r="B7" s="22"/>
      <c r="C7" s="23" t="s">
        <v>26</v>
      </c>
      <c r="D7" s="23" t="s">
        <v>27</v>
      </c>
      <c r="E7" s="23" t="s">
        <v>28</v>
      </c>
      <c r="F7" s="23" t="s">
        <v>29</v>
      </c>
      <c r="G7" s="23" t="s">
        <v>30</v>
      </c>
      <c r="H7" s="43" t="s">
        <v>31</v>
      </c>
      <c r="I7" s="44" t="s">
        <v>32</v>
      </c>
    </row>
    <row r="8" spans="1:9" ht="14.45" customHeight="1" thickBot="1" x14ac:dyDescent="0.25">
      <c r="A8" s="24"/>
      <c r="B8" s="25" t="s">
        <v>33</v>
      </c>
      <c r="C8" s="26">
        <f>FECHA!$C$3</f>
        <v>45908</v>
      </c>
      <c r="D8" s="26">
        <f>FECHA!$C$3+1</f>
        <v>45909</v>
      </c>
      <c r="E8" s="26">
        <f>FECHA!$C$3+2</f>
        <v>45910</v>
      </c>
      <c r="F8" s="26">
        <f>FECHA!$C$3+3</f>
        <v>45911</v>
      </c>
      <c r="G8" s="26">
        <f>FECHA!$C$3+4</f>
        <v>45912</v>
      </c>
      <c r="H8" s="45">
        <f>FECHA!$C$3+5</f>
        <v>45913</v>
      </c>
      <c r="I8" s="45">
        <f>FECHA!$C$3+6</f>
        <v>45914</v>
      </c>
    </row>
    <row r="9" spans="1:9" ht="14.45" hidden="1" customHeight="1" x14ac:dyDescent="0.2">
      <c r="A9" s="27"/>
      <c r="B9" s="28"/>
      <c r="C9" s="29"/>
      <c r="D9" s="29"/>
      <c r="E9" s="29"/>
      <c r="F9" s="29"/>
      <c r="G9" s="29"/>
      <c r="H9" s="46"/>
      <c r="I9" s="46"/>
    </row>
    <row r="10" spans="1:9" ht="14.45" hidden="1" customHeight="1" x14ac:dyDescent="0.2">
      <c r="A10" s="27"/>
      <c r="B10" s="28"/>
      <c r="C10" s="29"/>
      <c r="D10" s="29"/>
      <c r="E10" s="29"/>
      <c r="F10" s="29"/>
      <c r="G10" s="29"/>
      <c r="H10" s="46"/>
      <c r="I10" s="46"/>
    </row>
    <row r="11" spans="1:9" ht="14.45" hidden="1" customHeight="1" x14ac:dyDescent="0.2">
      <c r="A11" s="27"/>
      <c r="B11" s="28"/>
      <c r="C11" s="29"/>
      <c r="D11" s="29"/>
      <c r="E11" s="29"/>
      <c r="F11" s="29"/>
      <c r="G11" s="29"/>
      <c r="H11" s="46"/>
      <c r="I11" s="46"/>
    </row>
    <row r="12" spans="1:9" ht="14.45" hidden="1" customHeight="1" x14ac:dyDescent="0.2">
      <c r="A12" s="27"/>
      <c r="B12" s="28"/>
      <c r="C12" s="29"/>
      <c r="D12" s="29"/>
      <c r="E12" s="29"/>
      <c r="F12" s="29"/>
      <c r="G12" s="29"/>
      <c r="H12" s="46"/>
      <c r="I12" s="46"/>
    </row>
    <row r="13" spans="1:9" ht="14.45" hidden="1" customHeight="1" x14ac:dyDescent="0.2">
      <c r="A13" s="27"/>
      <c r="B13" s="28"/>
      <c r="C13" s="29"/>
      <c r="D13" s="29"/>
      <c r="E13" s="29"/>
      <c r="F13" s="29"/>
      <c r="G13" s="29"/>
      <c r="H13" s="46"/>
      <c r="I13" s="46"/>
    </row>
    <row r="14" spans="1:9" ht="14.45" hidden="1" customHeight="1" x14ac:dyDescent="0.2">
      <c r="A14" s="27"/>
      <c r="B14" s="28"/>
      <c r="C14" s="29"/>
      <c r="D14" s="29"/>
      <c r="E14" s="29"/>
      <c r="F14" s="29"/>
      <c r="G14" s="29"/>
      <c r="H14" s="46"/>
      <c r="I14" s="46"/>
    </row>
    <row r="15" spans="1:9" ht="14.45" hidden="1" customHeight="1" x14ac:dyDescent="0.2">
      <c r="A15" s="27"/>
      <c r="B15" s="28"/>
      <c r="C15" s="29"/>
      <c r="D15" s="29"/>
      <c r="E15" s="29"/>
      <c r="F15" s="29"/>
      <c r="G15" s="29"/>
      <c r="H15" s="46"/>
      <c r="I15" s="46"/>
    </row>
    <row r="16" spans="1:9" ht="14.45" hidden="1" customHeight="1" x14ac:dyDescent="0.2">
      <c r="A16" s="27"/>
      <c r="B16" s="28"/>
      <c r="C16" s="29"/>
      <c r="D16" s="29"/>
      <c r="E16" s="29"/>
      <c r="F16" s="29"/>
      <c r="G16" s="29"/>
      <c r="H16" s="46"/>
      <c r="I16" s="46"/>
    </row>
    <row r="17" spans="1:17" ht="14.45" hidden="1" customHeight="1" x14ac:dyDescent="0.2">
      <c r="A17" s="27"/>
      <c r="B17" s="28"/>
      <c r="C17" s="29"/>
      <c r="D17" s="29"/>
      <c r="E17" s="29"/>
      <c r="F17" s="29"/>
      <c r="G17" s="29"/>
      <c r="H17" s="46"/>
      <c r="I17" s="46"/>
    </row>
    <row r="18" spans="1:17" ht="14.45" hidden="1" customHeight="1" x14ac:dyDescent="0.2">
      <c r="A18" s="27"/>
      <c r="B18" s="28"/>
      <c r="C18" s="29"/>
      <c r="D18" s="29"/>
      <c r="E18" s="29"/>
      <c r="F18" s="29"/>
      <c r="G18" s="29"/>
      <c r="H18" s="46"/>
      <c r="I18" s="46"/>
    </row>
    <row r="19" spans="1:17" ht="14.45" hidden="1" customHeight="1" x14ac:dyDescent="0.2">
      <c r="A19" s="27"/>
      <c r="B19" s="28"/>
      <c r="C19" s="29"/>
      <c r="D19" s="29"/>
      <c r="E19" s="29"/>
      <c r="F19" s="29"/>
      <c r="G19" s="29"/>
      <c r="H19" s="46"/>
      <c r="I19" s="46"/>
    </row>
    <row r="20" spans="1:17" ht="14.45" hidden="1" customHeight="1" x14ac:dyDescent="0.2">
      <c r="A20" s="27"/>
      <c r="B20" s="28"/>
      <c r="C20" s="29"/>
      <c r="D20" s="29"/>
      <c r="E20" s="29"/>
      <c r="F20" s="29"/>
      <c r="G20" s="29"/>
      <c r="H20" s="46"/>
      <c r="I20" s="46"/>
    </row>
    <row r="21" spans="1:17" ht="14.45" hidden="1" customHeight="1" x14ac:dyDescent="0.2">
      <c r="A21" s="27"/>
      <c r="B21" s="28"/>
      <c r="C21" s="29"/>
      <c r="D21" s="29"/>
      <c r="E21" s="29"/>
      <c r="F21" s="29"/>
      <c r="G21" s="29"/>
      <c r="H21" s="46"/>
      <c r="I21" s="46"/>
    </row>
    <row r="22" spans="1:17" ht="14.45" hidden="1" customHeight="1" x14ac:dyDescent="0.2">
      <c r="A22" s="27"/>
      <c r="B22" s="28"/>
      <c r="C22" s="29"/>
      <c r="D22" s="29"/>
      <c r="E22" s="29"/>
      <c r="F22" s="29"/>
      <c r="G22" s="29"/>
      <c r="H22" s="46"/>
      <c r="I22" s="46"/>
    </row>
    <row r="23" spans="1:17" ht="14.45" hidden="1" customHeight="1" x14ac:dyDescent="0.2">
      <c r="A23" s="27"/>
      <c r="B23" s="28"/>
      <c r="C23" s="29"/>
      <c r="D23" s="29"/>
      <c r="E23" s="29"/>
      <c r="F23" s="29"/>
      <c r="G23" s="29"/>
      <c r="H23" s="46"/>
      <c r="I23" s="46"/>
    </row>
    <row r="24" spans="1:17" ht="14.45" hidden="1" customHeight="1" x14ac:dyDescent="0.2">
      <c r="A24" s="27"/>
      <c r="B24" s="28"/>
      <c r="C24" s="29"/>
      <c r="D24" s="29"/>
      <c r="E24" s="29"/>
      <c r="F24" s="29"/>
      <c r="G24" s="29"/>
      <c r="H24" s="46"/>
      <c r="I24" s="46"/>
    </row>
    <row r="25" spans="1:17" ht="14.45" hidden="1" customHeight="1" x14ac:dyDescent="0.2">
      <c r="A25" s="27"/>
      <c r="B25" s="28"/>
      <c r="C25" s="29"/>
      <c r="D25" s="29"/>
      <c r="E25" s="29"/>
      <c r="F25" s="29"/>
      <c r="G25" s="29"/>
      <c r="H25" s="46"/>
      <c r="I25" s="46"/>
    </row>
    <row r="26" spans="1:17" ht="14.45" hidden="1" customHeight="1" x14ac:dyDescent="0.2">
      <c r="A26" s="27"/>
      <c r="B26" s="28"/>
      <c r="C26" s="29"/>
      <c r="D26" s="29"/>
      <c r="E26" s="29"/>
      <c r="F26" s="29"/>
      <c r="G26" s="29"/>
      <c r="H26" s="46"/>
      <c r="I26" s="46"/>
    </row>
    <row r="27" spans="1:17" ht="15" customHeight="1" thickTop="1" x14ac:dyDescent="0.2">
      <c r="A27" s="49"/>
      <c r="B27" s="50"/>
      <c r="C27" s="30"/>
      <c r="D27" s="32"/>
      <c r="E27" s="32"/>
      <c r="F27" s="83"/>
      <c r="G27" s="32"/>
      <c r="H27" s="84"/>
      <c r="I27" s="32"/>
      <c r="Q27" s="52" t="e">
        <f>SUM(#REF!)</f>
        <v>#REF!</v>
      </c>
    </row>
    <row r="28" spans="1:17" ht="15" customHeight="1" x14ac:dyDescent="0.2">
      <c r="A28" s="47"/>
      <c r="B28" s="48" t="s">
        <v>74</v>
      </c>
      <c r="C28" s="31" t="s">
        <v>79</v>
      </c>
      <c r="D28" s="33"/>
      <c r="E28" s="33"/>
      <c r="F28" s="33"/>
      <c r="G28" s="33"/>
      <c r="H28" s="33"/>
      <c r="I28" s="33"/>
      <c r="Q28" s="53"/>
    </row>
    <row r="29" spans="1:17" ht="15" customHeight="1" x14ac:dyDescent="0.2">
      <c r="A29" s="49"/>
      <c r="B29" s="50"/>
      <c r="C29" s="30"/>
      <c r="D29" s="32"/>
      <c r="E29" s="32"/>
      <c r="F29" s="32"/>
      <c r="G29" s="32"/>
      <c r="H29" s="84"/>
      <c r="I29" s="32"/>
    </row>
    <row r="30" spans="1:17" ht="15" customHeight="1" x14ac:dyDescent="0.2">
      <c r="A30" s="47"/>
      <c r="B30" s="48" t="s">
        <v>78</v>
      </c>
      <c r="C30" s="31" t="s">
        <v>79</v>
      </c>
      <c r="D30" s="33"/>
      <c r="E30" s="33"/>
      <c r="F30" s="33"/>
      <c r="G30" s="33"/>
      <c r="H30" s="33"/>
      <c r="I30" s="33"/>
    </row>
    <row r="31" spans="1:17" ht="15" customHeight="1" x14ac:dyDescent="0.2">
      <c r="A31" s="49"/>
      <c r="B31" s="50"/>
      <c r="C31" s="30"/>
      <c r="D31" s="32"/>
      <c r="E31" s="83"/>
      <c r="F31" s="32"/>
      <c r="G31" s="32"/>
      <c r="H31" s="84"/>
      <c r="I31" s="32"/>
    </row>
    <row r="32" spans="1:17" ht="15" customHeight="1" x14ac:dyDescent="0.2">
      <c r="A32" s="47"/>
      <c r="B32" s="48" t="s">
        <v>75</v>
      </c>
      <c r="C32" s="31" t="s">
        <v>79</v>
      </c>
      <c r="D32" s="33"/>
      <c r="E32" s="33"/>
      <c r="F32" s="33"/>
      <c r="G32" s="33"/>
      <c r="H32" s="33"/>
      <c r="I32" s="33"/>
    </row>
    <row r="33" spans="1:237" ht="15" customHeight="1" x14ac:dyDescent="0.2">
      <c r="A33" s="78"/>
      <c r="B33" s="79" t="s">
        <v>39</v>
      </c>
      <c r="C33" s="80"/>
      <c r="D33" s="80"/>
      <c r="E33" s="80"/>
      <c r="F33" s="80"/>
      <c r="G33" s="80"/>
      <c r="H33" s="80"/>
      <c r="I33" s="80"/>
    </row>
    <row r="34" spans="1:237" ht="15" customHeight="1" x14ac:dyDescent="0.2">
      <c r="A34" s="81"/>
      <c r="B34" s="82" t="s">
        <v>40</v>
      </c>
      <c r="C34" s="72" t="s">
        <v>80</v>
      </c>
      <c r="D34" s="72" t="s">
        <v>80</v>
      </c>
      <c r="E34" s="72" t="s">
        <v>80</v>
      </c>
      <c r="F34" s="72" t="s">
        <v>80</v>
      </c>
      <c r="G34" s="72" t="s">
        <v>80</v>
      </c>
      <c r="H34" s="72" t="s">
        <v>34</v>
      </c>
      <c r="I34" s="72" t="s">
        <v>34</v>
      </c>
    </row>
    <row r="35" spans="1:237" ht="15" customHeight="1" x14ac:dyDescent="0.2">
      <c r="A35" s="74"/>
      <c r="B35" s="75" t="s">
        <v>41</v>
      </c>
      <c r="C35" s="73"/>
      <c r="D35" s="73"/>
      <c r="E35" s="73"/>
      <c r="F35" s="73"/>
      <c r="G35" s="73"/>
      <c r="H35" s="73"/>
      <c r="I35" s="73"/>
      <c r="J35" s="54"/>
    </row>
    <row r="36" spans="1:237" ht="19.5" customHeight="1" x14ac:dyDescent="0.2">
      <c r="A36" s="76"/>
      <c r="B36" s="77" t="s">
        <v>42</v>
      </c>
      <c r="C36" s="34"/>
      <c r="D36" s="34"/>
      <c r="E36" s="34"/>
      <c r="F36" s="34"/>
      <c r="G36" s="34"/>
      <c r="H36" s="34"/>
      <c r="I36" s="34"/>
      <c r="J36" s="54"/>
    </row>
    <row r="37" spans="1:237" ht="21" customHeight="1" x14ac:dyDescent="0.2">
      <c r="A37" s="54"/>
      <c r="B37" s="54"/>
      <c r="C37" s="67"/>
      <c r="D37" s="67"/>
      <c r="E37" s="67"/>
      <c r="F37" s="67"/>
      <c r="G37" s="67"/>
      <c r="H37" s="67"/>
      <c r="I37" s="54"/>
      <c r="J37" s="54"/>
    </row>
    <row r="38" spans="1:237" ht="20.100000000000001" customHeight="1" x14ac:dyDescent="0.2">
      <c r="A38" s="54"/>
      <c r="B38" s="54"/>
      <c r="C38" s="54"/>
      <c r="D38" s="54"/>
      <c r="E38" s="54"/>
      <c r="F38" s="54"/>
      <c r="G38" s="54"/>
      <c r="H38" s="54"/>
      <c r="I38" s="54"/>
      <c r="J38" s="54"/>
    </row>
    <row r="39" spans="1:237" ht="20.100000000000001" customHeight="1" x14ac:dyDescent="0.2">
      <c r="A39" s="27"/>
      <c r="B39" s="55"/>
      <c r="C39" s="56"/>
      <c r="D39" s="57" t="str">
        <f>"El Campello, "&amp; DAY(FECHA!$C$8) &amp; " de " &amp; VLOOKUP(MONTH(FECHA!$C$8),FECHA!$K$2:$L$13,2) &amp; " de " &amp; YEAR(FECHA!$C$8)</f>
        <v>El Campello, 5 de Septiembre de 2025</v>
      </c>
      <c r="E39" s="56"/>
      <c r="F39" s="56"/>
      <c r="G39" s="56"/>
      <c r="H39" s="56"/>
      <c r="I39" s="56"/>
    </row>
    <row r="40" spans="1:237" s="40" customFormat="1" ht="20.100000000000001" customHeight="1" x14ac:dyDescent="0.2">
      <c r="A40" s="27"/>
      <c r="B40" s="55"/>
      <c r="C40" s="56"/>
      <c r="D40" s="56"/>
      <c r="E40" s="56"/>
      <c r="F40" s="56"/>
      <c r="G40" s="56"/>
      <c r="H40" s="56"/>
      <c r="I40" s="56"/>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K40" s="37"/>
      <c r="DL40" s="37"/>
      <c r="DM40" s="37"/>
      <c r="DN40" s="37"/>
      <c r="DO40" s="37"/>
      <c r="DP40" s="37"/>
      <c r="DQ40" s="37"/>
      <c r="DR40" s="37"/>
      <c r="DS40" s="37"/>
      <c r="DT40" s="37"/>
      <c r="DU40" s="37"/>
      <c r="DV40" s="37"/>
      <c r="DW40" s="37"/>
      <c r="DX40" s="37"/>
      <c r="DY40" s="37"/>
      <c r="DZ40" s="37"/>
      <c r="EA40" s="37"/>
      <c r="EB40" s="37"/>
      <c r="EC40" s="37"/>
      <c r="ED40" s="37"/>
      <c r="EE40" s="37"/>
      <c r="EF40" s="37"/>
      <c r="EG40" s="37"/>
      <c r="EH40" s="37"/>
      <c r="EI40" s="37"/>
      <c r="EJ40" s="37"/>
      <c r="EK40" s="37"/>
      <c r="EL40" s="37"/>
      <c r="EM40" s="37"/>
      <c r="EN40" s="37"/>
      <c r="EO40" s="37"/>
      <c r="EP40" s="37"/>
      <c r="EQ40" s="37"/>
      <c r="ER40" s="37"/>
      <c r="ES40" s="37"/>
      <c r="ET40" s="37"/>
      <c r="EU40" s="37"/>
      <c r="EV40" s="37"/>
      <c r="EW40" s="37"/>
      <c r="EX40" s="37"/>
      <c r="EY40" s="37"/>
      <c r="EZ40" s="37"/>
      <c r="FA40" s="37"/>
      <c r="FB40" s="37"/>
      <c r="FC40" s="37"/>
      <c r="FD40" s="37"/>
      <c r="FE40" s="37"/>
      <c r="FF40" s="37"/>
      <c r="FG40" s="37"/>
      <c r="FH40" s="37"/>
      <c r="FI40" s="37"/>
      <c r="FJ40" s="37"/>
      <c r="FK40" s="37"/>
      <c r="FL40" s="37"/>
      <c r="FM40" s="37"/>
      <c r="FN40" s="37"/>
      <c r="FO40" s="37"/>
      <c r="FP40" s="37"/>
      <c r="FQ40" s="37"/>
      <c r="FR40" s="37"/>
      <c r="FS40" s="37"/>
      <c r="FT40" s="37"/>
      <c r="FU40" s="37"/>
      <c r="FV40" s="37"/>
      <c r="FW40" s="37"/>
      <c r="FX40" s="37"/>
      <c r="FY40" s="37"/>
      <c r="FZ40" s="37"/>
      <c r="GA40" s="37"/>
      <c r="GB40" s="37"/>
      <c r="GC40" s="37"/>
      <c r="GD40" s="37"/>
      <c r="GE40" s="37"/>
      <c r="GF40" s="37"/>
      <c r="GG40" s="37"/>
      <c r="GH40" s="37"/>
      <c r="GI40" s="37"/>
      <c r="GJ40" s="37"/>
      <c r="GK40" s="37"/>
      <c r="GL40" s="37"/>
      <c r="GM40" s="37"/>
      <c r="GN40" s="37"/>
      <c r="GO40" s="37"/>
      <c r="GP40" s="37"/>
      <c r="GQ40" s="37"/>
      <c r="GR40" s="37"/>
      <c r="GS40" s="37"/>
      <c r="GT40" s="37"/>
      <c r="GU40" s="37"/>
      <c r="GV40" s="37"/>
      <c r="GW40" s="37"/>
      <c r="GX40" s="37"/>
      <c r="GY40" s="37"/>
      <c r="GZ40" s="37"/>
      <c r="HA40" s="37"/>
      <c r="HB40" s="37"/>
      <c r="HC40" s="37"/>
      <c r="HD40" s="37"/>
      <c r="HE40" s="37"/>
      <c r="HF40" s="37"/>
      <c r="HG40" s="37"/>
      <c r="HH40" s="37"/>
      <c r="HI40" s="37"/>
      <c r="HJ40" s="37"/>
      <c r="HK40" s="37"/>
      <c r="HL40" s="37"/>
      <c r="HM40" s="37"/>
      <c r="HN40" s="37"/>
      <c r="HO40" s="37"/>
      <c r="HP40" s="37"/>
      <c r="HQ40" s="37"/>
      <c r="HR40" s="37"/>
      <c r="HS40" s="37"/>
      <c r="HT40" s="37"/>
      <c r="HU40" s="37"/>
      <c r="HV40" s="37"/>
      <c r="HW40" s="37"/>
      <c r="HX40" s="37"/>
      <c r="HY40" s="37"/>
      <c r="HZ40" s="37"/>
      <c r="IA40" s="37"/>
      <c r="IB40" s="37"/>
      <c r="IC40" s="37"/>
    </row>
    <row r="41" spans="1:237" s="40" customFormat="1" ht="20.100000000000001" customHeight="1" x14ac:dyDescent="0.2">
      <c r="A41" s="27"/>
      <c r="B41" s="55"/>
      <c r="C41" s="56"/>
      <c r="D41" s="56"/>
      <c r="E41" s="56"/>
      <c r="F41" s="56"/>
      <c r="G41" s="56"/>
      <c r="H41" s="56"/>
      <c r="I41" s="56"/>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K41" s="37"/>
      <c r="DL41" s="37"/>
      <c r="DM41" s="37"/>
      <c r="DN41" s="37"/>
      <c r="DO41" s="37"/>
      <c r="DP41" s="37"/>
      <c r="DQ41" s="37"/>
      <c r="DR41" s="37"/>
      <c r="DS41" s="37"/>
      <c r="DT41" s="37"/>
      <c r="DU41" s="37"/>
      <c r="DV41" s="37"/>
      <c r="DW41" s="37"/>
      <c r="DX41" s="37"/>
      <c r="DY41" s="37"/>
      <c r="DZ41" s="37"/>
      <c r="EA41" s="37"/>
      <c r="EB41" s="37"/>
      <c r="EC41" s="37"/>
      <c r="ED41" s="37"/>
      <c r="EE41" s="37"/>
      <c r="EF41" s="37"/>
      <c r="EG41" s="37"/>
      <c r="EH41" s="37"/>
      <c r="EI41" s="37"/>
      <c r="EJ41" s="37"/>
      <c r="EK41" s="37"/>
      <c r="EL41" s="37"/>
      <c r="EM41" s="37"/>
      <c r="EN41" s="37"/>
      <c r="EO41" s="37"/>
      <c r="EP41" s="37"/>
      <c r="EQ41" s="37"/>
      <c r="ER41" s="37"/>
      <c r="ES41" s="37"/>
      <c r="ET41" s="37"/>
      <c r="EU41" s="37"/>
      <c r="EV41" s="37"/>
      <c r="EW41" s="37"/>
      <c r="EX41" s="37"/>
      <c r="EY41" s="37"/>
      <c r="EZ41" s="37"/>
      <c r="FA41" s="37"/>
      <c r="FB41" s="37"/>
      <c r="FC41" s="37"/>
      <c r="FD41" s="37"/>
      <c r="FE41" s="37"/>
      <c r="FF41" s="37"/>
      <c r="FG41" s="37"/>
      <c r="FH41" s="37"/>
      <c r="FI41" s="37"/>
      <c r="FJ41" s="37"/>
      <c r="FK41" s="37"/>
      <c r="FL41" s="37"/>
      <c r="FM41" s="37"/>
      <c r="FN41" s="37"/>
      <c r="FO41" s="37"/>
      <c r="FP41" s="37"/>
      <c r="FQ41" s="37"/>
      <c r="FR41" s="37"/>
      <c r="FS41" s="37"/>
      <c r="FT41" s="37"/>
      <c r="FU41" s="37"/>
      <c r="FV41" s="37"/>
      <c r="FW41" s="37"/>
      <c r="FX41" s="37"/>
      <c r="FY41" s="37"/>
      <c r="FZ41" s="37"/>
      <c r="GA41" s="37"/>
      <c r="GB41" s="37"/>
      <c r="GC41" s="37"/>
      <c r="GD41" s="37"/>
      <c r="GE41" s="37"/>
      <c r="GF41" s="37"/>
      <c r="GG41" s="37"/>
      <c r="GH41" s="37"/>
      <c r="GI41" s="37"/>
      <c r="GJ41" s="37"/>
      <c r="GK41" s="37"/>
      <c r="GL41" s="37"/>
      <c r="GM41" s="37"/>
      <c r="GN41" s="37"/>
      <c r="GO41" s="37"/>
      <c r="GP41" s="37"/>
      <c r="GQ41" s="37"/>
      <c r="GR41" s="37"/>
      <c r="GS41" s="37"/>
      <c r="GT41" s="37"/>
      <c r="GU41" s="37"/>
      <c r="GV41" s="37"/>
      <c r="GW41" s="37"/>
      <c r="GX41" s="37"/>
      <c r="GY41" s="37"/>
      <c r="GZ41" s="37"/>
      <c r="HA41" s="37"/>
      <c r="HB41" s="37"/>
      <c r="HC41" s="37"/>
      <c r="HD41" s="37"/>
      <c r="HE41" s="37"/>
      <c r="HF41" s="37"/>
      <c r="HG41" s="37"/>
      <c r="HH41" s="37"/>
      <c r="HI41" s="37"/>
      <c r="HJ41" s="37"/>
      <c r="HK41" s="37"/>
      <c r="HL41" s="37"/>
      <c r="HM41" s="37"/>
      <c r="HN41" s="37"/>
      <c r="HO41" s="37"/>
      <c r="HP41" s="37"/>
      <c r="HQ41" s="37"/>
      <c r="HR41" s="37"/>
      <c r="HS41" s="37"/>
      <c r="HT41" s="37"/>
      <c r="HU41" s="37"/>
      <c r="HV41" s="37"/>
      <c r="HW41" s="37"/>
      <c r="HX41" s="37"/>
      <c r="HY41" s="37"/>
      <c r="HZ41" s="37"/>
      <c r="IA41" s="37"/>
      <c r="IB41" s="37"/>
      <c r="IC41" s="37"/>
    </row>
    <row r="42" spans="1:237" s="40" customFormat="1" ht="20.100000000000001" customHeight="1" x14ac:dyDescent="0.2">
      <c r="A42" s="27"/>
      <c r="B42" s="55"/>
      <c r="C42" s="56"/>
      <c r="E42" s="58"/>
      <c r="F42" s="58"/>
      <c r="G42" s="58"/>
      <c r="H42" s="56"/>
      <c r="I42" s="56"/>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c r="DJ42" s="37"/>
      <c r="DK42" s="37"/>
      <c r="DL42" s="37"/>
      <c r="DM42" s="37"/>
      <c r="DN42" s="37"/>
      <c r="DO42" s="37"/>
      <c r="DP42" s="37"/>
      <c r="DQ42" s="37"/>
      <c r="DR42" s="37"/>
      <c r="DS42" s="37"/>
      <c r="DT42" s="37"/>
      <c r="DU42" s="37"/>
      <c r="DV42" s="37"/>
      <c r="DW42" s="37"/>
      <c r="DX42" s="37"/>
      <c r="DY42" s="37"/>
      <c r="DZ42" s="37"/>
      <c r="EA42" s="37"/>
      <c r="EB42" s="37"/>
      <c r="EC42" s="37"/>
      <c r="ED42" s="37"/>
      <c r="EE42" s="37"/>
      <c r="EF42" s="37"/>
      <c r="EG42" s="37"/>
      <c r="EH42" s="37"/>
      <c r="EI42" s="37"/>
      <c r="EJ42" s="37"/>
      <c r="EK42" s="37"/>
      <c r="EL42" s="37"/>
      <c r="EM42" s="37"/>
      <c r="EN42" s="37"/>
      <c r="EO42" s="37"/>
      <c r="EP42" s="37"/>
      <c r="EQ42" s="37"/>
      <c r="ER42" s="37"/>
      <c r="ES42" s="37"/>
      <c r="ET42" s="37"/>
      <c r="EU42" s="37"/>
      <c r="EV42" s="37"/>
      <c r="EW42" s="37"/>
      <c r="EX42" s="37"/>
      <c r="EY42" s="37"/>
      <c r="EZ42" s="37"/>
      <c r="FA42" s="37"/>
      <c r="FB42" s="37"/>
      <c r="FC42" s="37"/>
      <c r="FD42" s="37"/>
      <c r="FE42" s="37"/>
      <c r="FF42" s="37"/>
      <c r="FG42" s="37"/>
      <c r="FH42" s="37"/>
      <c r="FI42" s="37"/>
      <c r="FJ42" s="37"/>
      <c r="FK42" s="37"/>
      <c r="FL42" s="37"/>
      <c r="FM42" s="37"/>
      <c r="FN42" s="37"/>
      <c r="FO42" s="37"/>
      <c r="FP42" s="37"/>
      <c r="FQ42" s="37"/>
      <c r="FR42" s="37"/>
      <c r="FS42" s="37"/>
      <c r="FT42" s="37"/>
      <c r="FU42" s="37"/>
      <c r="FV42" s="37"/>
      <c r="FW42" s="37"/>
      <c r="FX42" s="37"/>
      <c r="FY42" s="37"/>
      <c r="FZ42" s="37"/>
      <c r="GA42" s="37"/>
      <c r="GB42" s="37"/>
      <c r="GC42" s="37"/>
      <c r="GD42" s="37"/>
      <c r="GE42" s="37"/>
      <c r="GF42" s="37"/>
      <c r="GG42" s="37"/>
      <c r="GH42" s="37"/>
      <c r="GI42" s="37"/>
      <c r="GJ42" s="37"/>
      <c r="GK42" s="37"/>
      <c r="GL42" s="37"/>
      <c r="GM42" s="37"/>
      <c r="GN42" s="37"/>
      <c r="GO42" s="37"/>
      <c r="GP42" s="37"/>
      <c r="GQ42" s="37"/>
      <c r="GR42" s="37"/>
      <c r="GS42" s="37"/>
      <c r="GT42" s="37"/>
      <c r="GU42" s="37"/>
      <c r="GV42" s="37"/>
      <c r="GW42" s="37"/>
      <c r="GX42" s="37"/>
      <c r="GY42" s="37"/>
      <c r="GZ42" s="37"/>
      <c r="HA42" s="37"/>
      <c r="HB42" s="37"/>
      <c r="HC42" s="37"/>
      <c r="HD42" s="37"/>
      <c r="HE42" s="37"/>
      <c r="HF42" s="37"/>
      <c r="HG42" s="37"/>
      <c r="HH42" s="37"/>
      <c r="HI42" s="37"/>
      <c r="HJ42" s="37"/>
      <c r="HK42" s="37"/>
      <c r="HL42" s="37"/>
      <c r="HM42" s="37"/>
      <c r="HN42" s="37"/>
      <c r="HO42" s="37"/>
      <c r="HP42" s="37"/>
      <c r="HQ42" s="37"/>
      <c r="HR42" s="37"/>
      <c r="HS42" s="37"/>
      <c r="HT42" s="37"/>
      <c r="HU42" s="37"/>
      <c r="HV42" s="37"/>
      <c r="HW42" s="37"/>
      <c r="HX42" s="37"/>
      <c r="HY42" s="37"/>
      <c r="HZ42" s="37"/>
      <c r="IA42" s="37"/>
      <c r="IB42" s="37"/>
      <c r="IC42" s="37"/>
    </row>
    <row r="43" spans="1:237" s="40" customFormat="1" ht="20.100000000000001" customHeight="1" x14ac:dyDescent="0.2">
      <c r="A43" s="27"/>
      <c r="B43" s="55"/>
      <c r="C43" s="56"/>
      <c r="D43" s="56"/>
      <c r="E43" s="56"/>
      <c r="F43" s="56"/>
      <c r="G43" s="56"/>
      <c r="H43" s="56"/>
      <c r="I43" s="56"/>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K43" s="37"/>
      <c r="DL43" s="37"/>
      <c r="DM43" s="37"/>
      <c r="DN43" s="37"/>
      <c r="DO43" s="37"/>
      <c r="DP43" s="37"/>
      <c r="DQ43" s="37"/>
      <c r="DR43" s="37"/>
      <c r="DS43" s="37"/>
      <c r="DT43" s="37"/>
      <c r="DU43" s="37"/>
      <c r="DV43" s="37"/>
      <c r="DW43" s="37"/>
      <c r="DX43" s="37"/>
      <c r="DY43" s="37"/>
      <c r="DZ43" s="37"/>
      <c r="EA43" s="37"/>
      <c r="EB43" s="37"/>
      <c r="EC43" s="37"/>
      <c r="ED43" s="37"/>
      <c r="EE43" s="37"/>
      <c r="EF43" s="37"/>
      <c r="EG43" s="37"/>
      <c r="EH43" s="37"/>
      <c r="EI43" s="37"/>
      <c r="EJ43" s="37"/>
      <c r="EK43" s="37"/>
      <c r="EL43" s="37"/>
      <c r="EM43" s="37"/>
      <c r="EN43" s="37"/>
      <c r="EO43" s="37"/>
      <c r="EP43" s="37"/>
      <c r="EQ43" s="37"/>
      <c r="ER43" s="37"/>
      <c r="ES43" s="37"/>
      <c r="ET43" s="37"/>
      <c r="EU43" s="37"/>
      <c r="EV43" s="37"/>
      <c r="EW43" s="37"/>
      <c r="EX43" s="37"/>
      <c r="EY43" s="37"/>
      <c r="EZ43" s="37"/>
      <c r="FA43" s="37"/>
      <c r="FB43" s="37"/>
      <c r="FC43" s="37"/>
      <c r="FD43" s="37"/>
      <c r="FE43" s="37"/>
      <c r="FF43" s="37"/>
      <c r="FG43" s="37"/>
      <c r="FH43" s="37"/>
      <c r="FI43" s="37"/>
      <c r="FJ43" s="37"/>
      <c r="FK43" s="37"/>
      <c r="FL43" s="37"/>
      <c r="FM43" s="37"/>
      <c r="FN43" s="37"/>
      <c r="FO43" s="37"/>
      <c r="FP43" s="37"/>
      <c r="FQ43" s="37"/>
      <c r="FR43" s="37"/>
      <c r="FS43" s="37"/>
      <c r="FT43" s="37"/>
      <c r="FU43" s="37"/>
      <c r="FV43" s="37"/>
      <c r="FW43" s="37"/>
      <c r="FX43" s="37"/>
      <c r="FY43" s="37"/>
      <c r="FZ43" s="37"/>
      <c r="GA43" s="37"/>
      <c r="GB43" s="37"/>
      <c r="GC43" s="37"/>
      <c r="GD43" s="37"/>
      <c r="GE43" s="37"/>
      <c r="GF43" s="37"/>
      <c r="GG43" s="37"/>
      <c r="GH43" s="37"/>
      <c r="GI43" s="37"/>
      <c r="GJ43" s="37"/>
      <c r="GK43" s="37"/>
      <c r="GL43" s="37"/>
      <c r="GM43" s="37"/>
      <c r="GN43" s="37"/>
      <c r="GO43" s="37"/>
      <c r="GP43" s="37"/>
      <c r="GQ43" s="37"/>
      <c r="GR43" s="37"/>
      <c r="GS43" s="37"/>
      <c r="GT43" s="37"/>
      <c r="GU43" s="37"/>
      <c r="GV43" s="37"/>
      <c r="GW43" s="37"/>
      <c r="GX43" s="37"/>
      <c r="GY43" s="37"/>
      <c r="GZ43" s="37"/>
      <c r="HA43" s="37"/>
      <c r="HB43" s="37"/>
      <c r="HC43" s="37"/>
      <c r="HD43" s="37"/>
      <c r="HE43" s="37"/>
      <c r="HF43" s="37"/>
      <c r="HG43" s="37"/>
      <c r="HH43" s="37"/>
      <c r="HI43" s="37"/>
      <c r="HJ43" s="37"/>
      <c r="HK43" s="37"/>
      <c r="HL43" s="37"/>
      <c r="HM43" s="37"/>
      <c r="HN43" s="37"/>
      <c r="HO43" s="37"/>
      <c r="HP43" s="37"/>
      <c r="HQ43" s="37"/>
      <c r="HR43" s="37"/>
      <c r="HS43" s="37"/>
      <c r="HT43" s="37"/>
      <c r="HU43" s="37"/>
      <c r="HV43" s="37"/>
      <c r="HW43" s="37"/>
      <c r="HX43" s="37"/>
      <c r="HY43" s="37"/>
      <c r="HZ43" s="37"/>
      <c r="IA43" s="37"/>
      <c r="IB43" s="37"/>
      <c r="IC43" s="37"/>
    </row>
    <row r="44" spans="1:237" s="40" customFormat="1" ht="18" customHeight="1" x14ac:dyDescent="0.2">
      <c r="A44" s="27"/>
      <c r="B44" s="55"/>
      <c r="C44" s="56"/>
      <c r="D44" s="56"/>
      <c r="E44" s="56"/>
      <c r="F44" s="56"/>
      <c r="G44" s="56"/>
      <c r="H44" s="56"/>
      <c r="I44" s="56"/>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K44" s="37"/>
      <c r="DL44" s="37"/>
      <c r="DM44" s="37"/>
      <c r="DN44" s="37"/>
      <c r="DO44" s="37"/>
      <c r="DP44" s="37"/>
      <c r="DQ44" s="37"/>
      <c r="DR44" s="37"/>
      <c r="DS44" s="37"/>
      <c r="DT44" s="37"/>
      <c r="DU44" s="37"/>
      <c r="DV44" s="37"/>
      <c r="DW44" s="37"/>
      <c r="DX44" s="37"/>
      <c r="DY44" s="37"/>
      <c r="DZ44" s="37"/>
      <c r="EA44" s="37"/>
      <c r="EB44" s="37"/>
      <c r="EC44" s="37"/>
      <c r="ED44" s="37"/>
      <c r="EE44" s="37"/>
      <c r="EF44" s="37"/>
      <c r="EG44" s="37"/>
      <c r="EH44" s="37"/>
      <c r="EI44" s="37"/>
      <c r="EJ44" s="37"/>
      <c r="EK44" s="37"/>
      <c r="EL44" s="37"/>
      <c r="EM44" s="37"/>
      <c r="EN44" s="37"/>
      <c r="EO44" s="37"/>
      <c r="EP44" s="37"/>
      <c r="EQ44" s="37"/>
      <c r="ER44" s="37"/>
      <c r="ES44" s="37"/>
      <c r="ET44" s="37"/>
      <c r="EU44" s="37"/>
      <c r="EV44" s="37"/>
      <c r="EW44" s="37"/>
      <c r="EX44" s="37"/>
      <c r="EY44" s="37"/>
      <c r="EZ44" s="37"/>
      <c r="FA44" s="37"/>
      <c r="FB44" s="37"/>
      <c r="FC44" s="37"/>
      <c r="FD44" s="37"/>
      <c r="FE44" s="37"/>
      <c r="FF44" s="37"/>
      <c r="FG44" s="37"/>
      <c r="FH44" s="37"/>
      <c r="FI44" s="37"/>
      <c r="FJ44" s="37"/>
      <c r="FK44" s="37"/>
      <c r="FL44" s="37"/>
      <c r="FM44" s="37"/>
      <c r="FN44" s="37"/>
      <c r="FO44" s="37"/>
      <c r="FP44" s="37"/>
      <c r="FQ44" s="37"/>
      <c r="FR44" s="37"/>
      <c r="FS44" s="37"/>
      <c r="FT44" s="37"/>
      <c r="FU44" s="37"/>
      <c r="FV44" s="37"/>
      <c r="FW44" s="37"/>
      <c r="FX44" s="37"/>
      <c r="FY44" s="37"/>
      <c r="FZ44" s="37"/>
      <c r="GA44" s="37"/>
      <c r="GB44" s="37"/>
      <c r="GC44" s="37"/>
      <c r="GD44" s="37"/>
      <c r="GE44" s="37"/>
      <c r="GF44" s="37"/>
      <c r="GG44" s="37"/>
      <c r="GH44" s="37"/>
      <c r="GI44" s="37"/>
      <c r="GJ44" s="37"/>
      <c r="GK44" s="37"/>
      <c r="GL44" s="37"/>
      <c r="GM44" s="37"/>
      <c r="GN44" s="37"/>
      <c r="GO44" s="37"/>
      <c r="GP44" s="37"/>
      <c r="GQ44" s="37"/>
      <c r="GR44" s="37"/>
      <c r="GS44" s="37"/>
      <c r="GT44" s="37"/>
      <c r="GU44" s="37"/>
      <c r="GV44" s="37"/>
      <c r="GW44" s="37"/>
      <c r="GX44" s="37"/>
      <c r="GY44" s="37"/>
      <c r="GZ44" s="37"/>
      <c r="HA44" s="37"/>
      <c r="HB44" s="37"/>
      <c r="HC44" s="37"/>
      <c r="HD44" s="37"/>
      <c r="HE44" s="37"/>
      <c r="HF44" s="37"/>
      <c r="HG44" s="37"/>
      <c r="HH44" s="37"/>
      <c r="HI44" s="37"/>
      <c r="HJ44" s="37"/>
      <c r="HK44" s="37"/>
      <c r="HL44" s="37"/>
      <c r="HM44" s="37"/>
      <c r="HN44" s="37"/>
      <c r="HO44" s="37"/>
      <c r="HP44" s="37"/>
      <c r="HQ44" s="37"/>
      <c r="HR44" s="37"/>
      <c r="HS44" s="37"/>
      <c r="HT44" s="37"/>
      <c r="HU44" s="37"/>
      <c r="HV44" s="37"/>
      <c r="HW44" s="37"/>
      <c r="HX44" s="37"/>
      <c r="HY44" s="37"/>
      <c r="HZ44" s="37"/>
      <c r="IA44" s="37"/>
      <c r="IB44" s="37"/>
      <c r="IC44" s="37"/>
    </row>
    <row r="45" spans="1:237" s="40" customFormat="1" ht="18" customHeight="1" x14ac:dyDescent="0.2">
      <c r="A45" s="27"/>
      <c r="B45" s="55"/>
      <c r="C45" s="56"/>
      <c r="D45" s="56"/>
      <c r="E45" s="56"/>
      <c r="F45" s="56"/>
      <c r="G45" s="56"/>
      <c r="H45" s="56"/>
      <c r="I45" s="56"/>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c r="CU45" s="37"/>
      <c r="CV45" s="37"/>
      <c r="CW45" s="37"/>
      <c r="CX45" s="37"/>
      <c r="CY45" s="37"/>
      <c r="CZ45" s="37"/>
      <c r="DA45" s="37"/>
      <c r="DB45" s="37"/>
      <c r="DC45" s="37"/>
      <c r="DD45" s="37"/>
      <c r="DE45" s="37"/>
      <c r="DF45" s="37"/>
      <c r="DG45" s="37"/>
      <c r="DH45" s="37"/>
      <c r="DI45" s="37"/>
      <c r="DJ45" s="37"/>
      <c r="DK45" s="37"/>
      <c r="DL45" s="37"/>
      <c r="DM45" s="37"/>
      <c r="DN45" s="37"/>
      <c r="DO45" s="37"/>
      <c r="DP45" s="37"/>
      <c r="DQ45" s="37"/>
      <c r="DR45" s="37"/>
      <c r="DS45" s="37"/>
      <c r="DT45" s="37"/>
      <c r="DU45" s="37"/>
      <c r="DV45" s="37"/>
      <c r="DW45" s="37"/>
      <c r="DX45" s="37"/>
      <c r="DY45" s="37"/>
      <c r="DZ45" s="37"/>
      <c r="EA45" s="37"/>
      <c r="EB45" s="37"/>
      <c r="EC45" s="37"/>
      <c r="ED45" s="37"/>
      <c r="EE45" s="37"/>
      <c r="EF45" s="37"/>
      <c r="EG45" s="37"/>
      <c r="EH45" s="37"/>
      <c r="EI45" s="37"/>
      <c r="EJ45" s="37"/>
      <c r="EK45" s="37"/>
      <c r="EL45" s="37"/>
      <c r="EM45" s="37"/>
      <c r="EN45" s="37"/>
      <c r="EO45" s="37"/>
      <c r="EP45" s="37"/>
      <c r="EQ45" s="37"/>
      <c r="ER45" s="37"/>
      <c r="ES45" s="37"/>
      <c r="ET45" s="37"/>
      <c r="EU45" s="37"/>
      <c r="EV45" s="37"/>
      <c r="EW45" s="37"/>
      <c r="EX45" s="37"/>
      <c r="EY45" s="37"/>
      <c r="EZ45" s="37"/>
      <c r="FA45" s="37"/>
      <c r="FB45" s="37"/>
      <c r="FC45" s="37"/>
      <c r="FD45" s="37"/>
      <c r="FE45" s="37"/>
      <c r="FF45" s="37"/>
      <c r="FG45" s="37"/>
      <c r="FH45" s="37"/>
      <c r="FI45" s="37"/>
      <c r="FJ45" s="37"/>
      <c r="FK45" s="37"/>
      <c r="FL45" s="37"/>
      <c r="FM45" s="37"/>
      <c r="FN45" s="37"/>
      <c r="FO45" s="37"/>
      <c r="FP45" s="37"/>
      <c r="FQ45" s="37"/>
      <c r="FR45" s="37"/>
      <c r="FS45" s="37"/>
      <c r="FT45" s="37"/>
      <c r="FU45" s="37"/>
      <c r="FV45" s="37"/>
      <c r="FW45" s="37"/>
      <c r="FX45" s="37"/>
      <c r="FY45" s="37"/>
      <c r="FZ45" s="37"/>
      <c r="GA45" s="37"/>
      <c r="GB45" s="37"/>
      <c r="GC45" s="37"/>
      <c r="GD45" s="37"/>
      <c r="GE45" s="37"/>
      <c r="GF45" s="37"/>
      <c r="GG45" s="37"/>
      <c r="GH45" s="37"/>
      <c r="GI45" s="37"/>
      <c r="GJ45" s="37"/>
      <c r="GK45" s="37"/>
      <c r="GL45" s="37"/>
      <c r="GM45" s="37"/>
      <c r="GN45" s="37"/>
      <c r="GO45" s="37"/>
      <c r="GP45" s="37"/>
      <c r="GQ45" s="37"/>
      <c r="GR45" s="37"/>
      <c r="GS45" s="37"/>
      <c r="GT45" s="37"/>
      <c r="GU45" s="37"/>
      <c r="GV45" s="37"/>
      <c r="GW45" s="37"/>
      <c r="GX45" s="37"/>
      <c r="GY45" s="37"/>
      <c r="GZ45" s="37"/>
      <c r="HA45" s="37"/>
      <c r="HB45" s="37"/>
      <c r="HC45" s="37"/>
      <c r="HD45" s="37"/>
      <c r="HE45" s="37"/>
      <c r="HF45" s="37"/>
      <c r="HG45" s="37"/>
      <c r="HH45" s="37"/>
      <c r="HI45" s="37"/>
      <c r="HJ45" s="37"/>
      <c r="HK45" s="37"/>
      <c r="HL45" s="37"/>
      <c r="HM45" s="37"/>
      <c r="HN45" s="37"/>
      <c r="HO45" s="37"/>
      <c r="HP45" s="37"/>
      <c r="HQ45" s="37"/>
      <c r="HR45" s="37"/>
      <c r="HS45" s="37"/>
      <c r="HT45" s="37"/>
      <c r="HU45" s="37"/>
      <c r="HV45" s="37"/>
      <c r="HW45" s="37"/>
      <c r="HX45" s="37"/>
      <c r="HY45" s="37"/>
      <c r="HZ45" s="37"/>
      <c r="IA45" s="37"/>
      <c r="IB45" s="37"/>
      <c r="IC45" s="37"/>
    </row>
    <row r="46" spans="1:237" s="40" customFormat="1" ht="18" customHeight="1" x14ac:dyDescent="0.2">
      <c r="A46" s="59"/>
      <c r="B46" s="60"/>
      <c r="C46" s="61"/>
      <c r="D46" s="61"/>
      <c r="E46" s="61"/>
      <c r="F46" s="61"/>
      <c r="G46" s="61"/>
      <c r="H46" s="61"/>
      <c r="I46" s="61"/>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c r="DA46" s="37"/>
      <c r="DB46" s="37"/>
      <c r="DC46" s="37"/>
      <c r="DD46" s="37"/>
      <c r="DE46" s="37"/>
      <c r="DF46" s="37"/>
      <c r="DG46" s="37"/>
      <c r="DH46" s="37"/>
      <c r="DI46" s="37"/>
      <c r="DJ46" s="37"/>
      <c r="DK46" s="37"/>
      <c r="DL46" s="37"/>
      <c r="DM46" s="37"/>
      <c r="DN46" s="37"/>
      <c r="DO46" s="37"/>
      <c r="DP46" s="37"/>
      <c r="DQ46" s="37"/>
      <c r="DR46" s="37"/>
      <c r="DS46" s="37"/>
      <c r="DT46" s="37"/>
      <c r="DU46" s="37"/>
      <c r="DV46" s="37"/>
      <c r="DW46" s="37"/>
      <c r="DX46" s="37"/>
      <c r="DY46" s="37"/>
      <c r="DZ46" s="37"/>
      <c r="EA46" s="37"/>
      <c r="EB46" s="37"/>
      <c r="EC46" s="37"/>
      <c r="ED46" s="37"/>
      <c r="EE46" s="37"/>
      <c r="EF46" s="37"/>
      <c r="EG46" s="37"/>
      <c r="EH46" s="37"/>
      <c r="EI46" s="37"/>
      <c r="EJ46" s="37"/>
      <c r="EK46" s="37"/>
      <c r="EL46" s="37"/>
      <c r="EM46" s="37"/>
      <c r="EN46" s="37"/>
      <c r="EO46" s="37"/>
      <c r="EP46" s="37"/>
      <c r="EQ46" s="37"/>
      <c r="ER46" s="37"/>
      <c r="ES46" s="37"/>
      <c r="ET46" s="37"/>
      <c r="EU46" s="37"/>
      <c r="EV46" s="37"/>
      <c r="EW46" s="37"/>
      <c r="EX46" s="37"/>
      <c r="EY46" s="37"/>
      <c r="EZ46" s="37"/>
      <c r="FA46" s="37"/>
      <c r="FB46" s="37"/>
      <c r="FC46" s="37"/>
      <c r="FD46" s="37"/>
      <c r="FE46" s="37"/>
      <c r="FF46" s="37"/>
      <c r="FG46" s="37"/>
      <c r="FH46" s="37"/>
      <c r="FI46" s="37"/>
      <c r="FJ46" s="37"/>
      <c r="FK46" s="37"/>
      <c r="FL46" s="37"/>
      <c r="FM46" s="37"/>
      <c r="FN46" s="37"/>
      <c r="FO46" s="37"/>
      <c r="FP46" s="37"/>
      <c r="FQ46" s="37"/>
      <c r="FR46" s="37"/>
      <c r="FS46" s="37"/>
      <c r="FT46" s="37"/>
      <c r="FU46" s="37"/>
      <c r="FV46" s="37"/>
      <c r="FW46" s="37"/>
      <c r="FX46" s="37"/>
      <c r="FY46" s="37"/>
      <c r="FZ46" s="37"/>
      <c r="GA46" s="37"/>
      <c r="GB46" s="37"/>
      <c r="GC46" s="37"/>
      <c r="GD46" s="37"/>
      <c r="GE46" s="37"/>
      <c r="GF46" s="37"/>
      <c r="GG46" s="37"/>
      <c r="GH46" s="37"/>
      <c r="GI46" s="37"/>
      <c r="GJ46" s="37"/>
      <c r="GK46" s="37"/>
      <c r="GL46" s="37"/>
      <c r="GM46" s="37"/>
      <c r="GN46" s="37"/>
      <c r="GO46" s="37"/>
      <c r="GP46" s="37"/>
      <c r="GQ46" s="37"/>
      <c r="GR46" s="37"/>
      <c r="GS46" s="37"/>
      <c r="GT46" s="37"/>
      <c r="GU46" s="37"/>
      <c r="GV46" s="37"/>
      <c r="GW46" s="37"/>
      <c r="GX46" s="37"/>
      <c r="GY46" s="37"/>
      <c r="GZ46" s="37"/>
      <c r="HA46" s="37"/>
      <c r="HB46" s="37"/>
      <c r="HC46" s="37"/>
      <c r="HD46" s="37"/>
      <c r="HE46" s="37"/>
      <c r="HF46" s="37"/>
      <c r="HG46" s="37"/>
      <c r="HH46" s="37"/>
      <c r="HI46" s="37"/>
      <c r="HJ46" s="37"/>
      <c r="HK46" s="37"/>
      <c r="HL46" s="37"/>
      <c r="HM46" s="37"/>
      <c r="HN46" s="37"/>
      <c r="HO46" s="37"/>
      <c r="HP46" s="37"/>
      <c r="HQ46" s="37"/>
      <c r="HR46" s="37"/>
      <c r="HS46" s="37"/>
      <c r="HT46" s="37"/>
      <c r="HU46" s="37"/>
      <c r="HV46" s="37"/>
      <c r="HW46" s="37"/>
      <c r="HX46" s="37"/>
      <c r="HY46" s="37"/>
      <c r="HZ46" s="37"/>
      <c r="IA46" s="37"/>
      <c r="IB46" s="37"/>
      <c r="IC46" s="37"/>
    </row>
    <row r="47" spans="1:237" s="40" customFormat="1" ht="18" customHeight="1" x14ac:dyDescent="0.2">
      <c r="A47" s="59"/>
      <c r="B47" s="60"/>
      <c r="C47" s="61"/>
      <c r="D47" s="61"/>
      <c r="E47" s="61"/>
      <c r="F47" s="61"/>
      <c r="G47" s="61"/>
      <c r="H47" s="61"/>
      <c r="I47" s="61"/>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c r="CS47" s="37"/>
      <c r="CT47" s="37"/>
      <c r="CU47" s="37"/>
      <c r="CV47" s="37"/>
      <c r="CW47" s="37"/>
      <c r="CX47" s="37"/>
      <c r="CY47" s="37"/>
      <c r="CZ47" s="37"/>
      <c r="DA47" s="37"/>
      <c r="DB47" s="37"/>
      <c r="DC47" s="37"/>
      <c r="DD47" s="37"/>
      <c r="DE47" s="37"/>
      <c r="DF47" s="37"/>
      <c r="DG47" s="37"/>
      <c r="DH47" s="37"/>
      <c r="DI47" s="37"/>
      <c r="DJ47" s="37"/>
      <c r="DK47" s="37"/>
      <c r="DL47" s="37"/>
      <c r="DM47" s="37"/>
      <c r="DN47" s="37"/>
      <c r="DO47" s="37"/>
      <c r="DP47" s="37"/>
      <c r="DQ47" s="37"/>
      <c r="DR47" s="37"/>
      <c r="DS47" s="37"/>
      <c r="DT47" s="37"/>
      <c r="DU47" s="37"/>
      <c r="DV47" s="37"/>
      <c r="DW47" s="37"/>
      <c r="DX47" s="37"/>
      <c r="DY47" s="37"/>
      <c r="DZ47" s="37"/>
      <c r="EA47" s="37"/>
      <c r="EB47" s="37"/>
      <c r="EC47" s="37"/>
      <c r="ED47" s="37"/>
      <c r="EE47" s="37"/>
      <c r="EF47" s="37"/>
      <c r="EG47" s="37"/>
      <c r="EH47" s="37"/>
      <c r="EI47" s="37"/>
      <c r="EJ47" s="37"/>
      <c r="EK47" s="37"/>
      <c r="EL47" s="37"/>
      <c r="EM47" s="37"/>
      <c r="EN47" s="37"/>
      <c r="EO47" s="37"/>
      <c r="EP47" s="37"/>
      <c r="EQ47" s="37"/>
      <c r="ER47" s="37"/>
      <c r="ES47" s="37"/>
      <c r="ET47" s="37"/>
      <c r="EU47" s="37"/>
      <c r="EV47" s="37"/>
      <c r="EW47" s="37"/>
      <c r="EX47" s="37"/>
      <c r="EY47" s="37"/>
      <c r="EZ47" s="37"/>
      <c r="FA47" s="37"/>
      <c r="FB47" s="37"/>
      <c r="FC47" s="37"/>
      <c r="FD47" s="37"/>
      <c r="FE47" s="37"/>
      <c r="FF47" s="37"/>
      <c r="FG47" s="37"/>
      <c r="FH47" s="37"/>
      <c r="FI47" s="37"/>
      <c r="FJ47" s="37"/>
      <c r="FK47" s="37"/>
      <c r="FL47" s="37"/>
      <c r="FM47" s="37"/>
      <c r="FN47" s="37"/>
      <c r="FO47" s="37"/>
      <c r="FP47" s="37"/>
      <c r="FQ47" s="37"/>
      <c r="FR47" s="37"/>
      <c r="FS47" s="37"/>
      <c r="FT47" s="37"/>
      <c r="FU47" s="37"/>
      <c r="FV47" s="37"/>
      <c r="FW47" s="37"/>
      <c r="FX47" s="37"/>
      <c r="FY47" s="37"/>
      <c r="FZ47" s="37"/>
      <c r="GA47" s="37"/>
      <c r="GB47" s="37"/>
      <c r="GC47" s="37"/>
      <c r="GD47" s="37"/>
      <c r="GE47" s="37"/>
      <c r="GF47" s="37"/>
      <c r="GG47" s="37"/>
      <c r="GH47" s="37"/>
      <c r="GI47" s="37"/>
      <c r="GJ47" s="37"/>
      <c r="GK47" s="37"/>
      <c r="GL47" s="37"/>
      <c r="GM47" s="37"/>
      <c r="GN47" s="37"/>
      <c r="GO47" s="37"/>
      <c r="GP47" s="37"/>
      <c r="GQ47" s="37"/>
      <c r="GR47" s="37"/>
      <c r="GS47" s="37"/>
      <c r="GT47" s="37"/>
      <c r="GU47" s="37"/>
      <c r="GV47" s="37"/>
      <c r="GW47" s="37"/>
      <c r="GX47" s="37"/>
      <c r="GY47" s="37"/>
      <c r="GZ47" s="37"/>
      <c r="HA47" s="37"/>
      <c r="HB47" s="37"/>
      <c r="HC47" s="37"/>
      <c r="HD47" s="37"/>
      <c r="HE47" s="37"/>
      <c r="HF47" s="37"/>
      <c r="HG47" s="37"/>
      <c r="HH47" s="37"/>
      <c r="HI47" s="37"/>
      <c r="HJ47" s="37"/>
      <c r="HK47" s="37"/>
      <c r="HL47" s="37"/>
      <c r="HM47" s="37"/>
      <c r="HN47" s="37"/>
      <c r="HO47" s="37"/>
      <c r="HP47" s="37"/>
      <c r="HQ47" s="37"/>
      <c r="HR47" s="37"/>
      <c r="HS47" s="37"/>
      <c r="HT47" s="37"/>
      <c r="HU47" s="37"/>
      <c r="HV47" s="37"/>
      <c r="HW47" s="37"/>
      <c r="HX47" s="37"/>
      <c r="HY47" s="37"/>
      <c r="HZ47" s="37"/>
      <c r="IA47" s="37"/>
      <c r="IB47" s="37"/>
      <c r="IC47" s="37"/>
    </row>
    <row r="48" spans="1:237" s="40" customFormat="1" ht="18" customHeight="1" x14ac:dyDescent="0.2">
      <c r="A48" s="59"/>
      <c r="B48" s="60"/>
      <c r="C48" s="61"/>
      <c r="D48" s="61"/>
      <c r="E48" s="61"/>
      <c r="F48" s="61"/>
      <c r="G48" s="61"/>
      <c r="H48" s="61"/>
      <c r="I48" s="61"/>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K48" s="37"/>
      <c r="DL48" s="37"/>
      <c r="DM48" s="37"/>
      <c r="DN48" s="37"/>
      <c r="DO48" s="37"/>
      <c r="DP48" s="37"/>
      <c r="DQ48" s="37"/>
      <c r="DR48" s="37"/>
      <c r="DS48" s="37"/>
      <c r="DT48" s="37"/>
      <c r="DU48" s="37"/>
      <c r="DV48" s="37"/>
      <c r="DW48" s="37"/>
      <c r="DX48" s="37"/>
      <c r="DY48" s="37"/>
      <c r="DZ48" s="37"/>
      <c r="EA48" s="37"/>
      <c r="EB48" s="37"/>
      <c r="EC48" s="37"/>
      <c r="ED48" s="37"/>
      <c r="EE48" s="37"/>
      <c r="EF48" s="37"/>
      <c r="EG48" s="37"/>
      <c r="EH48" s="37"/>
      <c r="EI48" s="37"/>
      <c r="EJ48" s="37"/>
      <c r="EK48" s="37"/>
      <c r="EL48" s="37"/>
      <c r="EM48" s="37"/>
      <c r="EN48" s="37"/>
      <c r="EO48" s="37"/>
      <c r="EP48" s="37"/>
      <c r="EQ48" s="37"/>
      <c r="ER48" s="37"/>
      <c r="ES48" s="37"/>
      <c r="ET48" s="37"/>
      <c r="EU48" s="37"/>
      <c r="EV48" s="37"/>
      <c r="EW48" s="37"/>
      <c r="EX48" s="37"/>
      <c r="EY48" s="37"/>
      <c r="EZ48" s="37"/>
      <c r="FA48" s="37"/>
      <c r="FB48" s="37"/>
      <c r="FC48" s="37"/>
      <c r="FD48" s="37"/>
      <c r="FE48" s="37"/>
      <c r="FF48" s="37"/>
      <c r="FG48" s="37"/>
      <c r="FH48" s="37"/>
      <c r="FI48" s="37"/>
      <c r="FJ48" s="37"/>
      <c r="FK48" s="37"/>
      <c r="FL48" s="37"/>
      <c r="FM48" s="37"/>
      <c r="FN48" s="37"/>
      <c r="FO48" s="37"/>
      <c r="FP48" s="37"/>
      <c r="FQ48" s="37"/>
      <c r="FR48" s="37"/>
      <c r="FS48" s="37"/>
      <c r="FT48" s="37"/>
      <c r="FU48" s="37"/>
      <c r="FV48" s="37"/>
      <c r="FW48" s="37"/>
      <c r="FX48" s="37"/>
      <c r="FY48" s="37"/>
      <c r="FZ48" s="37"/>
      <c r="GA48" s="37"/>
      <c r="GB48" s="37"/>
      <c r="GC48" s="37"/>
      <c r="GD48" s="37"/>
      <c r="GE48" s="37"/>
      <c r="GF48" s="37"/>
      <c r="GG48" s="37"/>
      <c r="GH48" s="37"/>
      <c r="GI48" s="37"/>
      <c r="GJ48" s="37"/>
      <c r="GK48" s="37"/>
      <c r="GL48" s="37"/>
      <c r="GM48" s="37"/>
      <c r="GN48" s="37"/>
      <c r="GO48" s="37"/>
      <c r="GP48" s="37"/>
      <c r="GQ48" s="37"/>
      <c r="GR48" s="37"/>
      <c r="GS48" s="37"/>
      <c r="GT48" s="37"/>
      <c r="GU48" s="37"/>
      <c r="GV48" s="37"/>
      <c r="GW48" s="37"/>
      <c r="GX48" s="37"/>
      <c r="GY48" s="37"/>
      <c r="GZ48" s="37"/>
      <c r="HA48" s="37"/>
      <c r="HB48" s="37"/>
      <c r="HC48" s="37"/>
      <c r="HD48" s="37"/>
      <c r="HE48" s="37"/>
      <c r="HF48" s="37"/>
      <c r="HG48" s="37"/>
      <c r="HH48" s="37"/>
      <c r="HI48" s="37"/>
      <c r="HJ48" s="37"/>
      <c r="HK48" s="37"/>
      <c r="HL48" s="37"/>
      <c r="HM48" s="37"/>
      <c r="HN48" s="37"/>
      <c r="HO48" s="37"/>
      <c r="HP48" s="37"/>
      <c r="HQ48" s="37"/>
      <c r="HR48" s="37"/>
      <c r="HS48" s="37"/>
      <c r="HT48" s="37"/>
      <c r="HU48" s="37"/>
      <c r="HV48" s="37"/>
      <c r="HW48" s="37"/>
      <c r="HX48" s="37"/>
      <c r="HY48" s="37"/>
      <c r="HZ48" s="37"/>
      <c r="IA48" s="37"/>
      <c r="IB48" s="37"/>
      <c r="IC48" s="37"/>
    </row>
    <row r="49" spans="1:237" s="40" customFormat="1" x14ac:dyDescent="0.2">
      <c r="A49" s="59"/>
      <c r="B49" s="60"/>
      <c r="C49" s="61"/>
      <c r="D49" s="61"/>
      <c r="E49" s="61"/>
      <c r="F49" s="61"/>
      <c r="G49" s="61"/>
      <c r="H49" s="61"/>
      <c r="I49" s="61"/>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c r="CO49" s="37"/>
      <c r="CP49" s="37"/>
      <c r="CQ49" s="37"/>
      <c r="CR49" s="37"/>
      <c r="CS49" s="37"/>
      <c r="CT49" s="37"/>
      <c r="CU49" s="37"/>
      <c r="CV49" s="37"/>
      <c r="CW49" s="37"/>
      <c r="CX49" s="37"/>
      <c r="CY49" s="37"/>
      <c r="CZ49" s="37"/>
      <c r="DA49" s="37"/>
      <c r="DB49" s="37"/>
      <c r="DC49" s="37"/>
      <c r="DD49" s="37"/>
      <c r="DE49" s="37"/>
      <c r="DF49" s="37"/>
      <c r="DG49" s="37"/>
      <c r="DH49" s="37"/>
      <c r="DI49" s="37"/>
      <c r="DJ49" s="37"/>
      <c r="DK49" s="37"/>
      <c r="DL49" s="37"/>
      <c r="DM49" s="37"/>
      <c r="DN49" s="37"/>
      <c r="DO49" s="37"/>
      <c r="DP49" s="37"/>
      <c r="DQ49" s="37"/>
      <c r="DR49" s="37"/>
      <c r="DS49" s="37"/>
      <c r="DT49" s="37"/>
      <c r="DU49" s="37"/>
      <c r="DV49" s="37"/>
      <c r="DW49" s="37"/>
      <c r="DX49" s="37"/>
      <c r="DY49" s="37"/>
      <c r="DZ49" s="37"/>
      <c r="EA49" s="37"/>
      <c r="EB49" s="37"/>
      <c r="EC49" s="37"/>
      <c r="ED49" s="37"/>
      <c r="EE49" s="37"/>
      <c r="EF49" s="37"/>
      <c r="EG49" s="37"/>
      <c r="EH49" s="37"/>
      <c r="EI49" s="37"/>
      <c r="EJ49" s="37"/>
      <c r="EK49" s="37"/>
      <c r="EL49" s="37"/>
      <c r="EM49" s="37"/>
      <c r="EN49" s="37"/>
      <c r="EO49" s="37"/>
      <c r="EP49" s="37"/>
      <c r="EQ49" s="37"/>
      <c r="ER49" s="37"/>
      <c r="ES49" s="37"/>
      <c r="ET49" s="37"/>
      <c r="EU49" s="37"/>
      <c r="EV49" s="37"/>
      <c r="EW49" s="37"/>
      <c r="EX49" s="37"/>
      <c r="EY49" s="37"/>
      <c r="EZ49" s="37"/>
      <c r="FA49" s="37"/>
      <c r="FB49" s="37"/>
      <c r="FC49" s="37"/>
      <c r="FD49" s="37"/>
      <c r="FE49" s="37"/>
      <c r="FF49" s="37"/>
      <c r="FG49" s="37"/>
      <c r="FH49" s="37"/>
      <c r="FI49" s="37"/>
      <c r="FJ49" s="37"/>
      <c r="FK49" s="37"/>
      <c r="FL49" s="37"/>
      <c r="FM49" s="37"/>
      <c r="FN49" s="37"/>
      <c r="FO49" s="37"/>
      <c r="FP49" s="37"/>
      <c r="FQ49" s="37"/>
      <c r="FR49" s="37"/>
      <c r="FS49" s="37"/>
      <c r="FT49" s="37"/>
      <c r="FU49" s="37"/>
      <c r="FV49" s="37"/>
      <c r="FW49" s="37"/>
      <c r="FX49" s="37"/>
      <c r="FY49" s="37"/>
      <c r="FZ49" s="37"/>
      <c r="GA49" s="37"/>
      <c r="GB49" s="37"/>
      <c r="GC49" s="37"/>
      <c r="GD49" s="37"/>
      <c r="GE49" s="37"/>
      <c r="GF49" s="37"/>
      <c r="GG49" s="37"/>
      <c r="GH49" s="37"/>
      <c r="GI49" s="37"/>
      <c r="GJ49" s="37"/>
      <c r="GK49" s="37"/>
      <c r="GL49" s="37"/>
      <c r="GM49" s="37"/>
      <c r="GN49" s="37"/>
      <c r="GO49" s="37"/>
      <c r="GP49" s="37"/>
      <c r="GQ49" s="37"/>
      <c r="GR49" s="37"/>
      <c r="GS49" s="37"/>
      <c r="GT49" s="37"/>
      <c r="GU49" s="37"/>
      <c r="GV49" s="37"/>
      <c r="GW49" s="37"/>
      <c r="GX49" s="37"/>
      <c r="GY49" s="37"/>
      <c r="GZ49" s="37"/>
      <c r="HA49" s="37"/>
      <c r="HB49" s="37"/>
      <c r="HC49" s="37"/>
      <c r="HD49" s="37"/>
      <c r="HE49" s="37"/>
      <c r="HF49" s="37"/>
      <c r="HG49" s="37"/>
      <c r="HH49" s="37"/>
      <c r="HI49" s="37"/>
      <c r="HJ49" s="37"/>
      <c r="HK49" s="37"/>
      <c r="HL49" s="37"/>
      <c r="HM49" s="37"/>
      <c r="HN49" s="37"/>
      <c r="HO49" s="37"/>
      <c r="HP49" s="37"/>
      <c r="HQ49" s="37"/>
      <c r="HR49" s="37"/>
      <c r="HS49" s="37"/>
      <c r="HT49" s="37"/>
      <c r="HU49" s="37"/>
      <c r="HV49" s="37"/>
      <c r="HW49" s="37"/>
      <c r="HX49" s="37"/>
      <c r="HY49" s="37"/>
      <c r="HZ49" s="37"/>
      <c r="IA49" s="37"/>
      <c r="IB49" s="37"/>
      <c r="IC49" s="37"/>
    </row>
    <row r="50" spans="1:237" s="40" customFormat="1" x14ac:dyDescent="0.2">
      <c r="A50" s="59"/>
      <c r="B50" s="60"/>
      <c r="C50" s="61"/>
      <c r="D50" s="61"/>
      <c r="E50" s="61"/>
      <c r="F50" s="61"/>
      <c r="G50" s="61"/>
      <c r="H50" s="61"/>
      <c r="I50" s="61"/>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7"/>
      <c r="CF50" s="37"/>
      <c r="CG50" s="37"/>
      <c r="CH50" s="37"/>
      <c r="CI50" s="37"/>
      <c r="CJ50" s="37"/>
      <c r="CK50" s="37"/>
      <c r="CL50" s="37"/>
      <c r="CM50" s="37"/>
      <c r="CN50" s="37"/>
      <c r="CO50" s="37"/>
      <c r="CP50" s="37"/>
      <c r="CQ50" s="37"/>
      <c r="CR50" s="37"/>
      <c r="CS50" s="37"/>
      <c r="CT50" s="37"/>
      <c r="CU50" s="37"/>
      <c r="CV50" s="37"/>
      <c r="CW50" s="37"/>
      <c r="CX50" s="37"/>
      <c r="CY50" s="37"/>
      <c r="CZ50" s="37"/>
      <c r="DA50" s="37"/>
      <c r="DB50" s="37"/>
      <c r="DC50" s="37"/>
      <c r="DD50" s="37"/>
      <c r="DE50" s="37"/>
      <c r="DF50" s="37"/>
      <c r="DG50" s="37"/>
      <c r="DH50" s="37"/>
      <c r="DI50" s="37"/>
      <c r="DJ50" s="37"/>
      <c r="DK50" s="37"/>
      <c r="DL50" s="37"/>
      <c r="DM50" s="37"/>
      <c r="DN50" s="37"/>
      <c r="DO50" s="37"/>
      <c r="DP50" s="37"/>
      <c r="DQ50" s="37"/>
      <c r="DR50" s="37"/>
      <c r="DS50" s="37"/>
      <c r="DT50" s="37"/>
      <c r="DU50" s="37"/>
      <c r="DV50" s="37"/>
      <c r="DW50" s="37"/>
      <c r="DX50" s="37"/>
      <c r="DY50" s="37"/>
      <c r="DZ50" s="37"/>
      <c r="EA50" s="37"/>
      <c r="EB50" s="37"/>
      <c r="EC50" s="37"/>
      <c r="ED50" s="37"/>
      <c r="EE50" s="37"/>
      <c r="EF50" s="37"/>
      <c r="EG50" s="37"/>
      <c r="EH50" s="37"/>
      <c r="EI50" s="37"/>
      <c r="EJ50" s="37"/>
      <c r="EK50" s="37"/>
      <c r="EL50" s="37"/>
      <c r="EM50" s="37"/>
      <c r="EN50" s="37"/>
      <c r="EO50" s="37"/>
      <c r="EP50" s="37"/>
      <c r="EQ50" s="37"/>
      <c r="ER50" s="37"/>
      <c r="ES50" s="37"/>
      <c r="ET50" s="37"/>
      <c r="EU50" s="37"/>
      <c r="EV50" s="37"/>
      <c r="EW50" s="37"/>
      <c r="EX50" s="37"/>
      <c r="EY50" s="37"/>
      <c r="EZ50" s="37"/>
      <c r="FA50" s="37"/>
      <c r="FB50" s="37"/>
      <c r="FC50" s="37"/>
      <c r="FD50" s="37"/>
      <c r="FE50" s="37"/>
      <c r="FF50" s="37"/>
      <c r="FG50" s="37"/>
      <c r="FH50" s="37"/>
      <c r="FI50" s="37"/>
      <c r="FJ50" s="37"/>
      <c r="FK50" s="37"/>
      <c r="FL50" s="37"/>
      <c r="FM50" s="37"/>
      <c r="FN50" s="37"/>
      <c r="FO50" s="37"/>
      <c r="FP50" s="37"/>
      <c r="FQ50" s="37"/>
      <c r="FR50" s="37"/>
      <c r="FS50" s="37"/>
      <c r="FT50" s="37"/>
      <c r="FU50" s="37"/>
      <c r="FV50" s="37"/>
      <c r="FW50" s="37"/>
      <c r="FX50" s="37"/>
      <c r="FY50" s="37"/>
      <c r="FZ50" s="37"/>
      <c r="GA50" s="37"/>
      <c r="GB50" s="37"/>
      <c r="GC50" s="37"/>
      <c r="GD50" s="37"/>
      <c r="GE50" s="37"/>
      <c r="GF50" s="37"/>
      <c r="GG50" s="37"/>
      <c r="GH50" s="37"/>
      <c r="GI50" s="37"/>
      <c r="GJ50" s="37"/>
      <c r="GK50" s="37"/>
      <c r="GL50" s="37"/>
      <c r="GM50" s="37"/>
      <c r="GN50" s="37"/>
      <c r="GO50" s="37"/>
      <c r="GP50" s="37"/>
      <c r="GQ50" s="37"/>
      <c r="GR50" s="37"/>
      <c r="GS50" s="37"/>
      <c r="GT50" s="37"/>
      <c r="GU50" s="37"/>
      <c r="GV50" s="37"/>
      <c r="GW50" s="37"/>
      <c r="GX50" s="37"/>
      <c r="GY50" s="37"/>
      <c r="GZ50" s="37"/>
      <c r="HA50" s="37"/>
      <c r="HB50" s="37"/>
      <c r="HC50" s="37"/>
      <c r="HD50" s="37"/>
      <c r="HE50" s="37"/>
      <c r="HF50" s="37"/>
      <c r="HG50" s="37"/>
      <c r="HH50" s="37"/>
      <c r="HI50" s="37"/>
      <c r="HJ50" s="37"/>
      <c r="HK50" s="37"/>
      <c r="HL50" s="37"/>
      <c r="HM50" s="37"/>
      <c r="HN50" s="37"/>
      <c r="HO50" s="37"/>
      <c r="HP50" s="37"/>
      <c r="HQ50" s="37"/>
      <c r="HR50" s="37"/>
      <c r="HS50" s="37"/>
      <c r="HT50" s="37"/>
      <c r="HU50" s="37"/>
      <c r="HV50" s="37"/>
      <c r="HW50" s="37"/>
      <c r="HX50" s="37"/>
      <c r="HY50" s="37"/>
      <c r="HZ50" s="37"/>
      <c r="IA50" s="37"/>
      <c r="IB50" s="37"/>
      <c r="IC50" s="37"/>
    </row>
    <row r="51" spans="1:237" s="40" customFormat="1" x14ac:dyDescent="0.2">
      <c r="A51" s="59"/>
      <c r="B51" s="60"/>
      <c r="C51" s="61"/>
      <c r="D51" s="61"/>
      <c r="E51" s="61"/>
      <c r="F51" s="61"/>
      <c r="G51" s="61"/>
      <c r="H51" s="61"/>
      <c r="I51" s="61"/>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7"/>
      <c r="CG51" s="37"/>
      <c r="CH51" s="37"/>
      <c r="CI51" s="37"/>
      <c r="CJ51" s="37"/>
      <c r="CK51" s="37"/>
      <c r="CL51" s="37"/>
      <c r="CM51" s="37"/>
      <c r="CN51" s="37"/>
      <c r="CO51" s="37"/>
      <c r="CP51" s="37"/>
      <c r="CQ51" s="37"/>
      <c r="CR51" s="37"/>
      <c r="CS51" s="37"/>
      <c r="CT51" s="37"/>
      <c r="CU51" s="37"/>
      <c r="CV51" s="37"/>
      <c r="CW51" s="37"/>
      <c r="CX51" s="37"/>
      <c r="CY51" s="37"/>
      <c r="CZ51" s="37"/>
      <c r="DA51" s="37"/>
      <c r="DB51" s="37"/>
      <c r="DC51" s="37"/>
      <c r="DD51" s="37"/>
      <c r="DE51" s="37"/>
      <c r="DF51" s="37"/>
      <c r="DG51" s="37"/>
      <c r="DH51" s="37"/>
      <c r="DI51" s="37"/>
      <c r="DJ51" s="37"/>
      <c r="DK51" s="37"/>
      <c r="DL51" s="37"/>
      <c r="DM51" s="37"/>
      <c r="DN51" s="37"/>
      <c r="DO51" s="37"/>
      <c r="DP51" s="37"/>
      <c r="DQ51" s="37"/>
      <c r="DR51" s="37"/>
      <c r="DS51" s="37"/>
      <c r="DT51" s="37"/>
      <c r="DU51" s="37"/>
      <c r="DV51" s="37"/>
      <c r="DW51" s="37"/>
      <c r="DX51" s="37"/>
      <c r="DY51" s="37"/>
      <c r="DZ51" s="37"/>
      <c r="EA51" s="37"/>
      <c r="EB51" s="37"/>
      <c r="EC51" s="37"/>
      <c r="ED51" s="37"/>
      <c r="EE51" s="37"/>
      <c r="EF51" s="37"/>
      <c r="EG51" s="37"/>
      <c r="EH51" s="37"/>
      <c r="EI51" s="37"/>
      <c r="EJ51" s="37"/>
      <c r="EK51" s="37"/>
      <c r="EL51" s="37"/>
      <c r="EM51" s="37"/>
      <c r="EN51" s="37"/>
      <c r="EO51" s="37"/>
      <c r="EP51" s="37"/>
      <c r="EQ51" s="37"/>
      <c r="ER51" s="37"/>
      <c r="ES51" s="37"/>
      <c r="ET51" s="37"/>
      <c r="EU51" s="37"/>
      <c r="EV51" s="37"/>
      <c r="EW51" s="37"/>
      <c r="EX51" s="37"/>
      <c r="EY51" s="37"/>
      <c r="EZ51" s="37"/>
      <c r="FA51" s="37"/>
      <c r="FB51" s="37"/>
      <c r="FC51" s="37"/>
      <c r="FD51" s="37"/>
      <c r="FE51" s="37"/>
      <c r="FF51" s="37"/>
      <c r="FG51" s="37"/>
      <c r="FH51" s="37"/>
      <c r="FI51" s="37"/>
      <c r="FJ51" s="37"/>
      <c r="FK51" s="37"/>
      <c r="FL51" s="37"/>
      <c r="FM51" s="37"/>
      <c r="FN51" s="37"/>
      <c r="FO51" s="37"/>
      <c r="FP51" s="37"/>
      <c r="FQ51" s="37"/>
      <c r="FR51" s="37"/>
      <c r="FS51" s="37"/>
      <c r="FT51" s="37"/>
      <c r="FU51" s="37"/>
      <c r="FV51" s="37"/>
      <c r="FW51" s="37"/>
      <c r="FX51" s="37"/>
      <c r="FY51" s="37"/>
      <c r="FZ51" s="37"/>
      <c r="GA51" s="37"/>
      <c r="GB51" s="37"/>
      <c r="GC51" s="37"/>
      <c r="GD51" s="37"/>
      <c r="GE51" s="37"/>
      <c r="GF51" s="37"/>
      <c r="GG51" s="37"/>
      <c r="GH51" s="37"/>
      <c r="GI51" s="37"/>
      <c r="GJ51" s="37"/>
      <c r="GK51" s="37"/>
      <c r="GL51" s="37"/>
      <c r="GM51" s="37"/>
      <c r="GN51" s="37"/>
      <c r="GO51" s="37"/>
      <c r="GP51" s="37"/>
      <c r="GQ51" s="37"/>
      <c r="GR51" s="37"/>
      <c r="GS51" s="37"/>
      <c r="GT51" s="37"/>
      <c r="GU51" s="37"/>
      <c r="GV51" s="37"/>
      <c r="GW51" s="37"/>
      <c r="GX51" s="37"/>
      <c r="GY51" s="37"/>
      <c r="GZ51" s="37"/>
      <c r="HA51" s="37"/>
      <c r="HB51" s="37"/>
      <c r="HC51" s="37"/>
      <c r="HD51" s="37"/>
      <c r="HE51" s="37"/>
      <c r="HF51" s="37"/>
      <c r="HG51" s="37"/>
      <c r="HH51" s="37"/>
      <c r="HI51" s="37"/>
      <c r="HJ51" s="37"/>
      <c r="HK51" s="37"/>
      <c r="HL51" s="37"/>
      <c r="HM51" s="37"/>
      <c r="HN51" s="37"/>
      <c r="HO51" s="37"/>
      <c r="HP51" s="37"/>
      <c r="HQ51" s="37"/>
      <c r="HR51" s="37"/>
      <c r="HS51" s="37"/>
      <c r="HT51" s="37"/>
      <c r="HU51" s="37"/>
      <c r="HV51" s="37"/>
      <c r="HW51" s="37"/>
      <c r="HX51" s="37"/>
      <c r="HY51" s="37"/>
      <c r="HZ51" s="37"/>
      <c r="IA51" s="37"/>
      <c r="IB51" s="37"/>
      <c r="IC51" s="37"/>
    </row>
    <row r="52" spans="1:237" s="40" customFormat="1" x14ac:dyDescent="0.2">
      <c r="A52" s="59"/>
      <c r="B52" s="60"/>
      <c r="C52" s="61"/>
      <c r="D52" s="61"/>
      <c r="E52" s="61"/>
      <c r="F52" s="61"/>
      <c r="G52" s="61"/>
      <c r="H52" s="61"/>
      <c r="I52" s="61"/>
      <c r="J52" s="37"/>
      <c r="K52" s="37"/>
      <c r="L52" s="37"/>
      <c r="M52" s="3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7"/>
      <c r="CF52" s="37"/>
      <c r="CG52" s="37"/>
      <c r="CH52" s="37"/>
      <c r="CI52" s="37"/>
      <c r="CJ52" s="37"/>
      <c r="CK52" s="37"/>
      <c r="CL52" s="37"/>
      <c r="CM52" s="37"/>
      <c r="CN52" s="37"/>
      <c r="CO52" s="37"/>
      <c r="CP52" s="37"/>
      <c r="CQ52" s="37"/>
      <c r="CR52" s="37"/>
      <c r="CS52" s="37"/>
      <c r="CT52" s="37"/>
      <c r="CU52" s="37"/>
      <c r="CV52" s="37"/>
      <c r="CW52" s="37"/>
      <c r="CX52" s="37"/>
      <c r="CY52" s="37"/>
      <c r="CZ52" s="37"/>
      <c r="DA52" s="37"/>
      <c r="DB52" s="37"/>
      <c r="DC52" s="37"/>
      <c r="DD52" s="37"/>
      <c r="DE52" s="37"/>
      <c r="DF52" s="37"/>
      <c r="DG52" s="37"/>
      <c r="DH52" s="37"/>
      <c r="DI52" s="37"/>
      <c r="DJ52" s="37"/>
      <c r="DK52" s="37"/>
      <c r="DL52" s="37"/>
      <c r="DM52" s="37"/>
      <c r="DN52" s="37"/>
      <c r="DO52" s="37"/>
      <c r="DP52" s="37"/>
      <c r="DQ52" s="37"/>
      <c r="DR52" s="37"/>
      <c r="DS52" s="37"/>
      <c r="DT52" s="37"/>
      <c r="DU52" s="37"/>
      <c r="DV52" s="37"/>
      <c r="DW52" s="37"/>
      <c r="DX52" s="37"/>
      <c r="DY52" s="37"/>
      <c r="DZ52" s="37"/>
      <c r="EA52" s="37"/>
      <c r="EB52" s="37"/>
      <c r="EC52" s="37"/>
      <c r="ED52" s="37"/>
      <c r="EE52" s="37"/>
      <c r="EF52" s="37"/>
      <c r="EG52" s="37"/>
      <c r="EH52" s="37"/>
      <c r="EI52" s="37"/>
      <c r="EJ52" s="37"/>
      <c r="EK52" s="37"/>
      <c r="EL52" s="37"/>
      <c r="EM52" s="37"/>
      <c r="EN52" s="37"/>
      <c r="EO52" s="37"/>
      <c r="EP52" s="37"/>
      <c r="EQ52" s="37"/>
      <c r="ER52" s="37"/>
      <c r="ES52" s="37"/>
      <c r="ET52" s="37"/>
      <c r="EU52" s="37"/>
      <c r="EV52" s="37"/>
      <c r="EW52" s="37"/>
      <c r="EX52" s="37"/>
      <c r="EY52" s="37"/>
      <c r="EZ52" s="37"/>
      <c r="FA52" s="37"/>
      <c r="FB52" s="37"/>
      <c r="FC52" s="37"/>
      <c r="FD52" s="37"/>
      <c r="FE52" s="37"/>
      <c r="FF52" s="37"/>
      <c r="FG52" s="37"/>
      <c r="FH52" s="37"/>
      <c r="FI52" s="37"/>
      <c r="FJ52" s="37"/>
      <c r="FK52" s="37"/>
      <c r="FL52" s="37"/>
      <c r="FM52" s="37"/>
      <c r="FN52" s="37"/>
      <c r="FO52" s="37"/>
      <c r="FP52" s="37"/>
      <c r="FQ52" s="37"/>
      <c r="FR52" s="37"/>
      <c r="FS52" s="37"/>
      <c r="FT52" s="37"/>
      <c r="FU52" s="37"/>
      <c r="FV52" s="37"/>
      <c r="FW52" s="37"/>
      <c r="FX52" s="37"/>
      <c r="FY52" s="37"/>
      <c r="FZ52" s="37"/>
      <c r="GA52" s="37"/>
      <c r="GB52" s="37"/>
      <c r="GC52" s="37"/>
      <c r="GD52" s="37"/>
      <c r="GE52" s="37"/>
      <c r="GF52" s="37"/>
      <c r="GG52" s="37"/>
      <c r="GH52" s="37"/>
      <c r="GI52" s="37"/>
      <c r="GJ52" s="37"/>
      <c r="GK52" s="37"/>
      <c r="GL52" s="37"/>
      <c r="GM52" s="37"/>
      <c r="GN52" s="37"/>
      <c r="GO52" s="37"/>
      <c r="GP52" s="37"/>
      <c r="GQ52" s="37"/>
      <c r="GR52" s="37"/>
      <c r="GS52" s="37"/>
      <c r="GT52" s="37"/>
      <c r="GU52" s="37"/>
      <c r="GV52" s="37"/>
      <c r="GW52" s="37"/>
      <c r="GX52" s="37"/>
      <c r="GY52" s="37"/>
      <c r="GZ52" s="37"/>
      <c r="HA52" s="37"/>
      <c r="HB52" s="37"/>
      <c r="HC52" s="37"/>
      <c r="HD52" s="37"/>
      <c r="HE52" s="37"/>
      <c r="HF52" s="37"/>
      <c r="HG52" s="37"/>
      <c r="HH52" s="37"/>
      <c r="HI52" s="37"/>
      <c r="HJ52" s="37"/>
      <c r="HK52" s="37"/>
      <c r="HL52" s="37"/>
      <c r="HM52" s="37"/>
      <c r="HN52" s="37"/>
      <c r="HO52" s="37"/>
      <c r="HP52" s="37"/>
      <c r="HQ52" s="37"/>
      <c r="HR52" s="37"/>
      <c r="HS52" s="37"/>
      <c r="HT52" s="37"/>
      <c r="HU52" s="37"/>
      <c r="HV52" s="37"/>
      <c r="HW52" s="37"/>
      <c r="HX52" s="37"/>
      <c r="HY52" s="37"/>
      <c r="HZ52" s="37"/>
      <c r="IA52" s="37"/>
      <c r="IB52" s="37"/>
      <c r="IC52" s="37"/>
    </row>
    <row r="53" spans="1:237" s="40" customFormat="1" x14ac:dyDescent="0.2">
      <c r="A53" s="59"/>
      <c r="B53" s="60"/>
      <c r="C53" s="61"/>
      <c r="D53" s="61"/>
      <c r="E53" s="61"/>
      <c r="F53" s="61"/>
      <c r="G53" s="61"/>
      <c r="H53" s="61"/>
      <c r="I53" s="61"/>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7"/>
      <c r="CR53" s="37"/>
      <c r="CS53" s="37"/>
      <c r="CT53" s="37"/>
      <c r="CU53" s="37"/>
      <c r="CV53" s="37"/>
      <c r="CW53" s="37"/>
      <c r="CX53" s="37"/>
      <c r="CY53" s="37"/>
      <c r="CZ53" s="37"/>
      <c r="DA53" s="37"/>
      <c r="DB53" s="37"/>
      <c r="DC53" s="37"/>
      <c r="DD53" s="37"/>
      <c r="DE53" s="37"/>
      <c r="DF53" s="37"/>
      <c r="DG53" s="37"/>
      <c r="DH53" s="37"/>
      <c r="DI53" s="37"/>
      <c r="DJ53" s="37"/>
      <c r="DK53" s="37"/>
      <c r="DL53" s="37"/>
      <c r="DM53" s="37"/>
      <c r="DN53" s="37"/>
      <c r="DO53" s="37"/>
      <c r="DP53" s="37"/>
      <c r="DQ53" s="37"/>
      <c r="DR53" s="37"/>
      <c r="DS53" s="37"/>
      <c r="DT53" s="37"/>
      <c r="DU53" s="37"/>
      <c r="DV53" s="37"/>
      <c r="DW53" s="37"/>
      <c r="DX53" s="37"/>
      <c r="DY53" s="37"/>
      <c r="DZ53" s="37"/>
      <c r="EA53" s="37"/>
      <c r="EB53" s="37"/>
      <c r="EC53" s="37"/>
      <c r="ED53" s="37"/>
      <c r="EE53" s="37"/>
      <c r="EF53" s="37"/>
      <c r="EG53" s="37"/>
      <c r="EH53" s="37"/>
      <c r="EI53" s="37"/>
      <c r="EJ53" s="37"/>
      <c r="EK53" s="37"/>
      <c r="EL53" s="37"/>
      <c r="EM53" s="37"/>
      <c r="EN53" s="37"/>
      <c r="EO53" s="37"/>
      <c r="EP53" s="37"/>
      <c r="EQ53" s="37"/>
      <c r="ER53" s="37"/>
      <c r="ES53" s="37"/>
      <c r="ET53" s="37"/>
      <c r="EU53" s="37"/>
      <c r="EV53" s="37"/>
      <c r="EW53" s="37"/>
      <c r="EX53" s="37"/>
      <c r="EY53" s="37"/>
      <c r="EZ53" s="37"/>
      <c r="FA53" s="37"/>
      <c r="FB53" s="37"/>
      <c r="FC53" s="37"/>
      <c r="FD53" s="37"/>
      <c r="FE53" s="37"/>
      <c r="FF53" s="37"/>
      <c r="FG53" s="37"/>
      <c r="FH53" s="37"/>
      <c r="FI53" s="37"/>
      <c r="FJ53" s="37"/>
      <c r="FK53" s="37"/>
      <c r="FL53" s="37"/>
      <c r="FM53" s="37"/>
      <c r="FN53" s="37"/>
      <c r="FO53" s="37"/>
      <c r="FP53" s="37"/>
      <c r="FQ53" s="37"/>
      <c r="FR53" s="37"/>
      <c r="FS53" s="37"/>
      <c r="FT53" s="37"/>
      <c r="FU53" s="37"/>
      <c r="FV53" s="37"/>
      <c r="FW53" s="37"/>
      <c r="FX53" s="37"/>
      <c r="FY53" s="37"/>
      <c r="FZ53" s="37"/>
      <c r="GA53" s="37"/>
      <c r="GB53" s="37"/>
      <c r="GC53" s="37"/>
      <c r="GD53" s="37"/>
      <c r="GE53" s="37"/>
      <c r="GF53" s="37"/>
      <c r="GG53" s="37"/>
      <c r="GH53" s="37"/>
      <c r="GI53" s="37"/>
      <c r="GJ53" s="37"/>
      <c r="GK53" s="37"/>
      <c r="GL53" s="37"/>
      <c r="GM53" s="37"/>
      <c r="GN53" s="37"/>
      <c r="GO53" s="37"/>
      <c r="GP53" s="37"/>
      <c r="GQ53" s="37"/>
      <c r="GR53" s="37"/>
      <c r="GS53" s="37"/>
      <c r="GT53" s="37"/>
      <c r="GU53" s="37"/>
      <c r="GV53" s="37"/>
      <c r="GW53" s="37"/>
      <c r="GX53" s="37"/>
      <c r="GY53" s="37"/>
      <c r="GZ53" s="37"/>
      <c r="HA53" s="37"/>
      <c r="HB53" s="37"/>
      <c r="HC53" s="37"/>
      <c r="HD53" s="37"/>
      <c r="HE53" s="37"/>
      <c r="HF53" s="37"/>
      <c r="HG53" s="37"/>
      <c r="HH53" s="37"/>
      <c r="HI53" s="37"/>
      <c r="HJ53" s="37"/>
      <c r="HK53" s="37"/>
      <c r="HL53" s="37"/>
      <c r="HM53" s="37"/>
      <c r="HN53" s="37"/>
      <c r="HO53" s="37"/>
      <c r="HP53" s="37"/>
      <c r="HQ53" s="37"/>
      <c r="HR53" s="37"/>
      <c r="HS53" s="37"/>
      <c r="HT53" s="37"/>
      <c r="HU53" s="37"/>
      <c r="HV53" s="37"/>
      <c r="HW53" s="37"/>
      <c r="HX53" s="37"/>
      <c r="HY53" s="37"/>
      <c r="HZ53" s="37"/>
      <c r="IA53" s="37"/>
      <c r="IB53" s="37"/>
      <c r="IC53" s="37"/>
    </row>
    <row r="54" spans="1:237" s="40" customFormat="1" x14ac:dyDescent="0.2">
      <c r="A54" s="59"/>
      <c r="B54" s="60"/>
      <c r="C54" s="61"/>
      <c r="D54" s="61"/>
      <c r="E54" s="61"/>
      <c r="F54" s="61"/>
      <c r="G54" s="61"/>
      <c r="H54" s="61"/>
      <c r="I54" s="61"/>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7"/>
      <c r="CG54" s="37"/>
      <c r="CH54" s="37"/>
      <c r="CI54" s="37"/>
      <c r="CJ54" s="37"/>
      <c r="CK54" s="37"/>
      <c r="CL54" s="37"/>
      <c r="CM54" s="37"/>
      <c r="CN54" s="37"/>
      <c r="CO54" s="37"/>
      <c r="CP54" s="37"/>
      <c r="CQ54" s="37"/>
      <c r="CR54" s="37"/>
      <c r="CS54" s="37"/>
      <c r="CT54" s="37"/>
      <c r="CU54" s="37"/>
      <c r="CV54" s="37"/>
      <c r="CW54" s="37"/>
      <c r="CX54" s="37"/>
      <c r="CY54" s="37"/>
      <c r="CZ54" s="37"/>
      <c r="DA54" s="37"/>
      <c r="DB54" s="37"/>
      <c r="DC54" s="37"/>
      <c r="DD54" s="37"/>
      <c r="DE54" s="37"/>
      <c r="DF54" s="37"/>
      <c r="DG54" s="37"/>
      <c r="DH54" s="37"/>
      <c r="DI54" s="37"/>
      <c r="DJ54" s="37"/>
      <c r="DK54" s="37"/>
      <c r="DL54" s="37"/>
      <c r="DM54" s="37"/>
      <c r="DN54" s="37"/>
      <c r="DO54" s="37"/>
      <c r="DP54" s="37"/>
      <c r="DQ54" s="37"/>
      <c r="DR54" s="37"/>
      <c r="DS54" s="37"/>
      <c r="DT54" s="37"/>
      <c r="DU54" s="37"/>
      <c r="DV54" s="37"/>
      <c r="DW54" s="37"/>
      <c r="DX54" s="37"/>
      <c r="DY54" s="37"/>
      <c r="DZ54" s="37"/>
      <c r="EA54" s="37"/>
      <c r="EB54" s="37"/>
      <c r="EC54" s="37"/>
      <c r="ED54" s="37"/>
      <c r="EE54" s="37"/>
      <c r="EF54" s="37"/>
      <c r="EG54" s="37"/>
      <c r="EH54" s="37"/>
      <c r="EI54" s="37"/>
      <c r="EJ54" s="37"/>
      <c r="EK54" s="37"/>
      <c r="EL54" s="37"/>
      <c r="EM54" s="37"/>
      <c r="EN54" s="37"/>
      <c r="EO54" s="37"/>
      <c r="EP54" s="37"/>
      <c r="EQ54" s="37"/>
      <c r="ER54" s="37"/>
      <c r="ES54" s="37"/>
      <c r="ET54" s="37"/>
      <c r="EU54" s="37"/>
      <c r="EV54" s="37"/>
      <c r="EW54" s="37"/>
      <c r="EX54" s="37"/>
      <c r="EY54" s="37"/>
      <c r="EZ54" s="37"/>
      <c r="FA54" s="37"/>
      <c r="FB54" s="37"/>
      <c r="FC54" s="37"/>
      <c r="FD54" s="37"/>
      <c r="FE54" s="37"/>
      <c r="FF54" s="37"/>
      <c r="FG54" s="37"/>
      <c r="FH54" s="37"/>
      <c r="FI54" s="37"/>
      <c r="FJ54" s="37"/>
      <c r="FK54" s="37"/>
      <c r="FL54" s="37"/>
      <c r="FM54" s="37"/>
      <c r="FN54" s="37"/>
      <c r="FO54" s="37"/>
      <c r="FP54" s="37"/>
      <c r="FQ54" s="37"/>
      <c r="FR54" s="37"/>
      <c r="FS54" s="37"/>
      <c r="FT54" s="37"/>
      <c r="FU54" s="37"/>
      <c r="FV54" s="37"/>
      <c r="FW54" s="37"/>
      <c r="FX54" s="37"/>
      <c r="FY54" s="37"/>
      <c r="FZ54" s="37"/>
      <c r="GA54" s="37"/>
      <c r="GB54" s="37"/>
      <c r="GC54" s="37"/>
      <c r="GD54" s="37"/>
      <c r="GE54" s="37"/>
      <c r="GF54" s="37"/>
      <c r="GG54" s="37"/>
      <c r="GH54" s="37"/>
      <c r="GI54" s="37"/>
      <c r="GJ54" s="37"/>
      <c r="GK54" s="37"/>
      <c r="GL54" s="37"/>
      <c r="GM54" s="37"/>
      <c r="GN54" s="37"/>
      <c r="GO54" s="37"/>
      <c r="GP54" s="37"/>
      <c r="GQ54" s="37"/>
      <c r="GR54" s="37"/>
      <c r="GS54" s="37"/>
      <c r="GT54" s="37"/>
      <c r="GU54" s="37"/>
      <c r="GV54" s="37"/>
      <c r="GW54" s="37"/>
      <c r="GX54" s="37"/>
      <c r="GY54" s="37"/>
      <c r="GZ54" s="37"/>
      <c r="HA54" s="37"/>
      <c r="HB54" s="37"/>
      <c r="HC54" s="37"/>
      <c r="HD54" s="37"/>
      <c r="HE54" s="37"/>
      <c r="HF54" s="37"/>
      <c r="HG54" s="37"/>
      <c r="HH54" s="37"/>
      <c r="HI54" s="37"/>
      <c r="HJ54" s="37"/>
      <c r="HK54" s="37"/>
      <c r="HL54" s="37"/>
      <c r="HM54" s="37"/>
      <c r="HN54" s="37"/>
      <c r="HO54" s="37"/>
      <c r="HP54" s="37"/>
      <c r="HQ54" s="37"/>
      <c r="HR54" s="37"/>
      <c r="HS54" s="37"/>
      <c r="HT54" s="37"/>
      <c r="HU54" s="37"/>
      <c r="HV54" s="37"/>
      <c r="HW54" s="37"/>
      <c r="HX54" s="37"/>
      <c r="HY54" s="37"/>
      <c r="HZ54" s="37"/>
      <c r="IA54" s="37"/>
      <c r="IB54" s="37"/>
      <c r="IC54" s="37"/>
    </row>
    <row r="55" spans="1:237" s="40" customFormat="1" x14ac:dyDescent="0.2">
      <c r="A55" s="59"/>
      <c r="B55" s="60"/>
      <c r="C55" s="61"/>
      <c r="D55" s="61"/>
      <c r="E55" s="61"/>
      <c r="F55" s="61"/>
      <c r="G55" s="61"/>
      <c r="H55" s="61"/>
      <c r="I55" s="61"/>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K55" s="37"/>
      <c r="DL55" s="37"/>
      <c r="DM55" s="37"/>
      <c r="DN55" s="37"/>
      <c r="DO55" s="37"/>
      <c r="DP55" s="37"/>
      <c r="DQ55" s="37"/>
      <c r="DR55" s="37"/>
      <c r="DS55" s="37"/>
      <c r="DT55" s="37"/>
      <c r="DU55" s="37"/>
      <c r="DV55" s="37"/>
      <c r="DW55" s="37"/>
      <c r="DX55" s="37"/>
      <c r="DY55" s="37"/>
      <c r="DZ55" s="37"/>
      <c r="EA55" s="37"/>
      <c r="EB55" s="37"/>
      <c r="EC55" s="37"/>
      <c r="ED55" s="37"/>
      <c r="EE55" s="37"/>
      <c r="EF55" s="37"/>
      <c r="EG55" s="37"/>
      <c r="EH55" s="37"/>
      <c r="EI55" s="37"/>
      <c r="EJ55" s="37"/>
      <c r="EK55" s="37"/>
      <c r="EL55" s="37"/>
      <c r="EM55" s="37"/>
      <c r="EN55" s="37"/>
      <c r="EO55" s="37"/>
      <c r="EP55" s="37"/>
      <c r="EQ55" s="37"/>
      <c r="ER55" s="37"/>
      <c r="ES55" s="37"/>
      <c r="ET55" s="37"/>
      <c r="EU55" s="37"/>
      <c r="EV55" s="37"/>
      <c r="EW55" s="37"/>
      <c r="EX55" s="37"/>
      <c r="EY55" s="37"/>
      <c r="EZ55" s="37"/>
      <c r="FA55" s="37"/>
      <c r="FB55" s="37"/>
      <c r="FC55" s="37"/>
      <c r="FD55" s="37"/>
      <c r="FE55" s="37"/>
      <c r="FF55" s="37"/>
      <c r="FG55" s="37"/>
      <c r="FH55" s="37"/>
      <c r="FI55" s="37"/>
      <c r="FJ55" s="37"/>
      <c r="FK55" s="37"/>
      <c r="FL55" s="37"/>
      <c r="FM55" s="37"/>
      <c r="FN55" s="37"/>
      <c r="FO55" s="37"/>
      <c r="FP55" s="37"/>
      <c r="FQ55" s="37"/>
      <c r="FR55" s="37"/>
      <c r="FS55" s="37"/>
      <c r="FT55" s="37"/>
      <c r="FU55" s="37"/>
      <c r="FV55" s="37"/>
      <c r="FW55" s="37"/>
      <c r="FX55" s="37"/>
      <c r="FY55" s="37"/>
      <c r="FZ55" s="37"/>
      <c r="GA55" s="37"/>
      <c r="GB55" s="37"/>
      <c r="GC55" s="37"/>
      <c r="GD55" s="37"/>
      <c r="GE55" s="37"/>
      <c r="GF55" s="37"/>
      <c r="GG55" s="37"/>
      <c r="GH55" s="37"/>
      <c r="GI55" s="37"/>
      <c r="GJ55" s="37"/>
      <c r="GK55" s="37"/>
      <c r="GL55" s="37"/>
      <c r="GM55" s="37"/>
      <c r="GN55" s="37"/>
      <c r="GO55" s="37"/>
      <c r="GP55" s="37"/>
      <c r="GQ55" s="37"/>
      <c r="GR55" s="37"/>
      <c r="GS55" s="37"/>
      <c r="GT55" s="37"/>
      <c r="GU55" s="37"/>
      <c r="GV55" s="37"/>
      <c r="GW55" s="37"/>
      <c r="GX55" s="37"/>
      <c r="GY55" s="37"/>
      <c r="GZ55" s="37"/>
      <c r="HA55" s="37"/>
      <c r="HB55" s="37"/>
      <c r="HC55" s="37"/>
      <c r="HD55" s="37"/>
      <c r="HE55" s="37"/>
      <c r="HF55" s="37"/>
      <c r="HG55" s="37"/>
      <c r="HH55" s="37"/>
      <c r="HI55" s="37"/>
      <c r="HJ55" s="37"/>
      <c r="HK55" s="37"/>
      <c r="HL55" s="37"/>
      <c r="HM55" s="37"/>
      <c r="HN55" s="37"/>
      <c r="HO55" s="37"/>
      <c r="HP55" s="37"/>
      <c r="HQ55" s="37"/>
      <c r="HR55" s="37"/>
      <c r="HS55" s="37"/>
      <c r="HT55" s="37"/>
      <c r="HU55" s="37"/>
      <c r="HV55" s="37"/>
      <c r="HW55" s="37"/>
      <c r="HX55" s="37"/>
      <c r="HY55" s="37"/>
      <c r="HZ55" s="37"/>
      <c r="IA55" s="37"/>
      <c r="IB55" s="37"/>
      <c r="IC55" s="37"/>
    </row>
    <row r="56" spans="1:237" s="40" customFormat="1" x14ac:dyDescent="0.2">
      <c r="A56" s="62"/>
      <c r="B56" s="63"/>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7"/>
      <c r="CF56" s="37"/>
      <c r="CG56" s="37"/>
      <c r="CH56" s="37"/>
      <c r="CI56" s="37"/>
      <c r="CJ56" s="37"/>
      <c r="CK56" s="37"/>
      <c r="CL56" s="37"/>
      <c r="CM56" s="37"/>
      <c r="CN56" s="37"/>
      <c r="CO56" s="37"/>
      <c r="CP56" s="37"/>
      <c r="CQ56" s="37"/>
      <c r="CR56" s="37"/>
      <c r="CS56" s="37"/>
      <c r="CT56" s="37"/>
      <c r="CU56" s="37"/>
      <c r="CV56" s="37"/>
      <c r="CW56" s="37"/>
      <c r="CX56" s="37"/>
      <c r="CY56" s="37"/>
      <c r="CZ56" s="37"/>
      <c r="DA56" s="37"/>
      <c r="DB56" s="37"/>
      <c r="DC56" s="37"/>
      <c r="DD56" s="37"/>
      <c r="DE56" s="37"/>
      <c r="DF56" s="37"/>
      <c r="DG56" s="37"/>
      <c r="DH56" s="37"/>
      <c r="DI56" s="37"/>
      <c r="DJ56" s="37"/>
      <c r="DK56" s="37"/>
      <c r="DL56" s="37"/>
      <c r="DM56" s="37"/>
      <c r="DN56" s="37"/>
      <c r="DO56" s="37"/>
      <c r="DP56" s="37"/>
      <c r="DQ56" s="37"/>
      <c r="DR56" s="37"/>
      <c r="DS56" s="37"/>
      <c r="DT56" s="37"/>
      <c r="DU56" s="37"/>
      <c r="DV56" s="37"/>
      <c r="DW56" s="37"/>
      <c r="DX56" s="37"/>
      <c r="DY56" s="37"/>
      <c r="DZ56" s="37"/>
      <c r="EA56" s="37"/>
      <c r="EB56" s="37"/>
      <c r="EC56" s="37"/>
      <c r="ED56" s="37"/>
      <c r="EE56" s="37"/>
      <c r="EF56" s="37"/>
      <c r="EG56" s="37"/>
      <c r="EH56" s="37"/>
      <c r="EI56" s="37"/>
      <c r="EJ56" s="37"/>
      <c r="EK56" s="37"/>
      <c r="EL56" s="37"/>
      <c r="EM56" s="37"/>
      <c r="EN56" s="37"/>
      <c r="EO56" s="37"/>
      <c r="EP56" s="37"/>
      <c r="EQ56" s="37"/>
      <c r="ER56" s="37"/>
      <c r="ES56" s="37"/>
      <c r="ET56" s="37"/>
      <c r="EU56" s="37"/>
      <c r="EV56" s="37"/>
      <c r="EW56" s="37"/>
      <c r="EX56" s="37"/>
      <c r="EY56" s="37"/>
      <c r="EZ56" s="37"/>
      <c r="FA56" s="37"/>
      <c r="FB56" s="37"/>
      <c r="FC56" s="37"/>
      <c r="FD56" s="37"/>
      <c r="FE56" s="37"/>
      <c r="FF56" s="37"/>
      <c r="FG56" s="37"/>
      <c r="FH56" s="37"/>
      <c r="FI56" s="37"/>
      <c r="FJ56" s="37"/>
      <c r="FK56" s="37"/>
      <c r="FL56" s="37"/>
      <c r="FM56" s="37"/>
      <c r="FN56" s="37"/>
      <c r="FO56" s="37"/>
      <c r="FP56" s="37"/>
      <c r="FQ56" s="37"/>
      <c r="FR56" s="37"/>
      <c r="FS56" s="37"/>
      <c r="FT56" s="37"/>
      <c r="FU56" s="37"/>
      <c r="FV56" s="37"/>
      <c r="FW56" s="37"/>
      <c r="FX56" s="37"/>
      <c r="FY56" s="37"/>
      <c r="FZ56" s="37"/>
      <c r="GA56" s="37"/>
      <c r="GB56" s="37"/>
      <c r="GC56" s="37"/>
      <c r="GD56" s="37"/>
      <c r="GE56" s="37"/>
      <c r="GF56" s="37"/>
      <c r="GG56" s="37"/>
      <c r="GH56" s="37"/>
      <c r="GI56" s="37"/>
      <c r="GJ56" s="37"/>
      <c r="GK56" s="37"/>
      <c r="GL56" s="37"/>
      <c r="GM56" s="37"/>
      <c r="GN56" s="37"/>
      <c r="GO56" s="37"/>
      <c r="GP56" s="37"/>
      <c r="GQ56" s="37"/>
      <c r="GR56" s="37"/>
      <c r="GS56" s="37"/>
      <c r="GT56" s="37"/>
      <c r="GU56" s="37"/>
      <c r="GV56" s="37"/>
      <c r="GW56" s="37"/>
      <c r="GX56" s="37"/>
      <c r="GY56" s="37"/>
      <c r="GZ56" s="37"/>
      <c r="HA56" s="37"/>
      <c r="HB56" s="37"/>
      <c r="HC56" s="37"/>
      <c r="HD56" s="37"/>
      <c r="HE56" s="37"/>
      <c r="HF56" s="37"/>
      <c r="HG56" s="37"/>
      <c r="HH56" s="37"/>
      <c r="HI56" s="37"/>
      <c r="HJ56" s="37"/>
      <c r="HK56" s="37"/>
      <c r="HL56" s="37"/>
      <c r="HM56" s="37"/>
      <c r="HN56" s="37"/>
      <c r="HO56" s="37"/>
      <c r="HP56" s="37"/>
      <c r="HQ56" s="37"/>
      <c r="HR56" s="37"/>
      <c r="HS56" s="37"/>
      <c r="HT56" s="37"/>
      <c r="HU56" s="37"/>
      <c r="HV56" s="37"/>
      <c r="HW56" s="37"/>
      <c r="HX56" s="37"/>
      <c r="HY56" s="37"/>
      <c r="HZ56" s="37"/>
      <c r="IA56" s="37"/>
      <c r="IB56" s="37"/>
      <c r="IC56" s="37"/>
    </row>
    <row r="57" spans="1:237" s="40" customFormat="1" x14ac:dyDescent="0.2">
      <c r="A57" s="62"/>
      <c r="B57" s="63"/>
      <c r="J57" s="37"/>
      <c r="K57" s="37"/>
      <c r="L57" s="37"/>
      <c r="M57" s="3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7"/>
      <c r="CG57" s="37"/>
      <c r="CH57" s="37"/>
      <c r="CI57" s="37"/>
      <c r="CJ57" s="37"/>
      <c r="CK57" s="37"/>
      <c r="CL57" s="37"/>
      <c r="CM57" s="37"/>
      <c r="CN57" s="37"/>
      <c r="CO57" s="37"/>
      <c r="CP57" s="37"/>
      <c r="CQ57" s="37"/>
      <c r="CR57" s="37"/>
      <c r="CS57" s="37"/>
      <c r="CT57" s="37"/>
      <c r="CU57" s="37"/>
      <c r="CV57" s="37"/>
      <c r="CW57" s="37"/>
      <c r="CX57" s="37"/>
      <c r="CY57" s="37"/>
      <c r="CZ57" s="37"/>
      <c r="DA57" s="37"/>
      <c r="DB57" s="37"/>
      <c r="DC57" s="37"/>
      <c r="DD57" s="37"/>
      <c r="DE57" s="37"/>
      <c r="DF57" s="37"/>
      <c r="DG57" s="37"/>
      <c r="DH57" s="37"/>
      <c r="DI57" s="37"/>
      <c r="DJ57" s="37"/>
      <c r="DK57" s="37"/>
      <c r="DL57" s="37"/>
      <c r="DM57" s="37"/>
      <c r="DN57" s="37"/>
      <c r="DO57" s="37"/>
      <c r="DP57" s="37"/>
      <c r="DQ57" s="37"/>
      <c r="DR57" s="37"/>
      <c r="DS57" s="37"/>
      <c r="DT57" s="37"/>
      <c r="DU57" s="37"/>
      <c r="DV57" s="37"/>
      <c r="DW57" s="37"/>
      <c r="DX57" s="37"/>
      <c r="DY57" s="37"/>
      <c r="DZ57" s="37"/>
      <c r="EA57" s="37"/>
      <c r="EB57" s="37"/>
      <c r="EC57" s="37"/>
      <c r="ED57" s="37"/>
      <c r="EE57" s="37"/>
      <c r="EF57" s="37"/>
      <c r="EG57" s="37"/>
      <c r="EH57" s="37"/>
      <c r="EI57" s="37"/>
      <c r="EJ57" s="37"/>
      <c r="EK57" s="37"/>
      <c r="EL57" s="37"/>
      <c r="EM57" s="37"/>
      <c r="EN57" s="37"/>
      <c r="EO57" s="37"/>
      <c r="EP57" s="37"/>
      <c r="EQ57" s="37"/>
      <c r="ER57" s="37"/>
      <c r="ES57" s="37"/>
      <c r="ET57" s="37"/>
      <c r="EU57" s="37"/>
      <c r="EV57" s="37"/>
      <c r="EW57" s="37"/>
      <c r="EX57" s="37"/>
      <c r="EY57" s="37"/>
      <c r="EZ57" s="37"/>
      <c r="FA57" s="37"/>
      <c r="FB57" s="37"/>
      <c r="FC57" s="37"/>
      <c r="FD57" s="37"/>
      <c r="FE57" s="37"/>
      <c r="FF57" s="37"/>
      <c r="FG57" s="37"/>
      <c r="FH57" s="37"/>
      <c r="FI57" s="37"/>
      <c r="FJ57" s="37"/>
      <c r="FK57" s="37"/>
      <c r="FL57" s="37"/>
      <c r="FM57" s="37"/>
      <c r="FN57" s="37"/>
      <c r="FO57" s="37"/>
      <c r="FP57" s="37"/>
      <c r="FQ57" s="37"/>
      <c r="FR57" s="37"/>
      <c r="FS57" s="37"/>
      <c r="FT57" s="37"/>
      <c r="FU57" s="37"/>
      <c r="FV57" s="37"/>
      <c r="FW57" s="37"/>
      <c r="FX57" s="37"/>
      <c r="FY57" s="37"/>
      <c r="FZ57" s="37"/>
      <c r="GA57" s="37"/>
      <c r="GB57" s="37"/>
      <c r="GC57" s="37"/>
      <c r="GD57" s="37"/>
      <c r="GE57" s="37"/>
      <c r="GF57" s="37"/>
      <c r="GG57" s="37"/>
      <c r="GH57" s="37"/>
      <c r="GI57" s="37"/>
      <c r="GJ57" s="37"/>
      <c r="GK57" s="37"/>
      <c r="GL57" s="37"/>
      <c r="GM57" s="37"/>
      <c r="GN57" s="37"/>
      <c r="GO57" s="37"/>
      <c r="GP57" s="37"/>
      <c r="GQ57" s="37"/>
      <c r="GR57" s="37"/>
      <c r="GS57" s="37"/>
      <c r="GT57" s="37"/>
      <c r="GU57" s="37"/>
      <c r="GV57" s="37"/>
      <c r="GW57" s="37"/>
      <c r="GX57" s="37"/>
      <c r="GY57" s="37"/>
      <c r="GZ57" s="37"/>
      <c r="HA57" s="37"/>
      <c r="HB57" s="37"/>
      <c r="HC57" s="37"/>
      <c r="HD57" s="37"/>
      <c r="HE57" s="37"/>
      <c r="HF57" s="37"/>
      <c r="HG57" s="37"/>
      <c r="HH57" s="37"/>
      <c r="HI57" s="37"/>
      <c r="HJ57" s="37"/>
      <c r="HK57" s="37"/>
      <c r="HL57" s="37"/>
      <c r="HM57" s="37"/>
      <c r="HN57" s="37"/>
      <c r="HO57" s="37"/>
      <c r="HP57" s="37"/>
      <c r="HQ57" s="37"/>
      <c r="HR57" s="37"/>
      <c r="HS57" s="37"/>
      <c r="HT57" s="37"/>
      <c r="HU57" s="37"/>
      <c r="HV57" s="37"/>
      <c r="HW57" s="37"/>
      <c r="HX57" s="37"/>
      <c r="HY57" s="37"/>
      <c r="HZ57" s="37"/>
      <c r="IA57" s="37"/>
      <c r="IB57" s="37"/>
      <c r="IC57" s="37"/>
    </row>
    <row r="58" spans="1:237" s="40" customFormat="1" x14ac:dyDescent="0.2">
      <c r="A58" s="62"/>
      <c r="B58" s="63"/>
      <c r="J58" s="37"/>
      <c r="K58" s="37"/>
      <c r="L58" s="37"/>
      <c r="M58" s="37"/>
      <c r="N58" s="37"/>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7"/>
      <c r="CG58" s="37"/>
      <c r="CH58" s="37"/>
      <c r="CI58" s="37"/>
      <c r="CJ58" s="37"/>
      <c r="CK58" s="37"/>
      <c r="CL58" s="37"/>
      <c r="CM58" s="37"/>
      <c r="CN58" s="37"/>
      <c r="CO58" s="37"/>
      <c r="CP58" s="37"/>
      <c r="CQ58" s="37"/>
      <c r="CR58" s="37"/>
      <c r="CS58" s="37"/>
      <c r="CT58" s="37"/>
      <c r="CU58" s="37"/>
      <c r="CV58" s="37"/>
      <c r="CW58" s="37"/>
      <c r="CX58" s="37"/>
      <c r="CY58" s="37"/>
      <c r="CZ58" s="37"/>
      <c r="DA58" s="37"/>
      <c r="DB58" s="37"/>
      <c r="DC58" s="37"/>
      <c r="DD58" s="37"/>
      <c r="DE58" s="37"/>
      <c r="DF58" s="37"/>
      <c r="DG58" s="37"/>
      <c r="DH58" s="37"/>
      <c r="DI58" s="37"/>
      <c r="DJ58" s="37"/>
      <c r="DK58" s="37"/>
      <c r="DL58" s="37"/>
      <c r="DM58" s="37"/>
      <c r="DN58" s="37"/>
      <c r="DO58" s="37"/>
      <c r="DP58" s="37"/>
      <c r="DQ58" s="37"/>
      <c r="DR58" s="37"/>
      <c r="DS58" s="37"/>
      <c r="DT58" s="37"/>
      <c r="DU58" s="37"/>
      <c r="DV58" s="37"/>
      <c r="DW58" s="37"/>
      <c r="DX58" s="37"/>
      <c r="DY58" s="37"/>
      <c r="DZ58" s="37"/>
      <c r="EA58" s="37"/>
      <c r="EB58" s="37"/>
      <c r="EC58" s="37"/>
      <c r="ED58" s="37"/>
      <c r="EE58" s="37"/>
      <c r="EF58" s="37"/>
      <c r="EG58" s="37"/>
      <c r="EH58" s="37"/>
      <c r="EI58" s="37"/>
      <c r="EJ58" s="37"/>
      <c r="EK58" s="37"/>
      <c r="EL58" s="37"/>
      <c r="EM58" s="37"/>
      <c r="EN58" s="37"/>
      <c r="EO58" s="37"/>
      <c r="EP58" s="37"/>
      <c r="EQ58" s="37"/>
      <c r="ER58" s="37"/>
      <c r="ES58" s="37"/>
      <c r="ET58" s="37"/>
      <c r="EU58" s="37"/>
      <c r="EV58" s="37"/>
      <c r="EW58" s="37"/>
      <c r="EX58" s="37"/>
      <c r="EY58" s="37"/>
      <c r="EZ58" s="37"/>
      <c r="FA58" s="37"/>
      <c r="FB58" s="37"/>
      <c r="FC58" s="37"/>
      <c r="FD58" s="37"/>
      <c r="FE58" s="37"/>
      <c r="FF58" s="37"/>
      <c r="FG58" s="37"/>
      <c r="FH58" s="37"/>
      <c r="FI58" s="37"/>
      <c r="FJ58" s="37"/>
      <c r="FK58" s="37"/>
      <c r="FL58" s="37"/>
      <c r="FM58" s="37"/>
      <c r="FN58" s="37"/>
      <c r="FO58" s="37"/>
      <c r="FP58" s="37"/>
      <c r="FQ58" s="37"/>
      <c r="FR58" s="37"/>
      <c r="FS58" s="37"/>
      <c r="FT58" s="37"/>
      <c r="FU58" s="37"/>
      <c r="FV58" s="37"/>
      <c r="FW58" s="37"/>
      <c r="FX58" s="37"/>
      <c r="FY58" s="37"/>
      <c r="FZ58" s="37"/>
      <c r="GA58" s="37"/>
      <c r="GB58" s="37"/>
      <c r="GC58" s="37"/>
      <c r="GD58" s="37"/>
      <c r="GE58" s="37"/>
      <c r="GF58" s="37"/>
      <c r="GG58" s="37"/>
      <c r="GH58" s="37"/>
      <c r="GI58" s="37"/>
      <c r="GJ58" s="37"/>
      <c r="GK58" s="37"/>
      <c r="GL58" s="37"/>
      <c r="GM58" s="37"/>
      <c r="GN58" s="37"/>
      <c r="GO58" s="37"/>
      <c r="GP58" s="37"/>
      <c r="GQ58" s="37"/>
      <c r="GR58" s="37"/>
      <c r="GS58" s="37"/>
      <c r="GT58" s="37"/>
      <c r="GU58" s="37"/>
      <c r="GV58" s="37"/>
      <c r="GW58" s="37"/>
      <c r="GX58" s="37"/>
      <c r="GY58" s="37"/>
      <c r="GZ58" s="37"/>
      <c r="HA58" s="37"/>
      <c r="HB58" s="37"/>
      <c r="HC58" s="37"/>
      <c r="HD58" s="37"/>
      <c r="HE58" s="37"/>
      <c r="HF58" s="37"/>
      <c r="HG58" s="37"/>
      <c r="HH58" s="37"/>
      <c r="HI58" s="37"/>
      <c r="HJ58" s="37"/>
      <c r="HK58" s="37"/>
      <c r="HL58" s="37"/>
      <c r="HM58" s="37"/>
      <c r="HN58" s="37"/>
      <c r="HO58" s="37"/>
      <c r="HP58" s="37"/>
      <c r="HQ58" s="37"/>
      <c r="HR58" s="37"/>
      <c r="HS58" s="37"/>
      <c r="HT58" s="37"/>
      <c r="HU58" s="37"/>
      <c r="HV58" s="37"/>
      <c r="HW58" s="37"/>
      <c r="HX58" s="37"/>
      <c r="HY58" s="37"/>
      <c r="HZ58" s="37"/>
      <c r="IA58" s="37"/>
      <c r="IB58" s="37"/>
      <c r="IC58" s="37"/>
    </row>
    <row r="59" spans="1:237" s="40" customFormat="1" x14ac:dyDescent="0.2">
      <c r="A59" s="62"/>
      <c r="B59" s="63"/>
      <c r="J59" s="37"/>
      <c r="K59" s="37"/>
      <c r="L59" s="37"/>
      <c r="M59" s="3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c r="CO59" s="37"/>
      <c r="CP59" s="37"/>
      <c r="CQ59" s="37"/>
      <c r="CR59" s="37"/>
      <c r="CS59" s="37"/>
      <c r="CT59" s="37"/>
      <c r="CU59" s="37"/>
      <c r="CV59" s="37"/>
      <c r="CW59" s="37"/>
      <c r="CX59" s="37"/>
      <c r="CY59" s="37"/>
      <c r="CZ59" s="37"/>
      <c r="DA59" s="37"/>
      <c r="DB59" s="37"/>
      <c r="DC59" s="37"/>
      <c r="DD59" s="37"/>
      <c r="DE59" s="37"/>
      <c r="DF59" s="37"/>
      <c r="DG59" s="37"/>
      <c r="DH59" s="37"/>
      <c r="DI59" s="37"/>
      <c r="DJ59" s="37"/>
      <c r="DK59" s="37"/>
      <c r="DL59" s="37"/>
      <c r="DM59" s="37"/>
      <c r="DN59" s="37"/>
      <c r="DO59" s="37"/>
      <c r="DP59" s="37"/>
      <c r="DQ59" s="37"/>
      <c r="DR59" s="37"/>
      <c r="DS59" s="37"/>
      <c r="DT59" s="37"/>
      <c r="DU59" s="37"/>
      <c r="DV59" s="37"/>
      <c r="DW59" s="37"/>
      <c r="DX59" s="37"/>
      <c r="DY59" s="37"/>
      <c r="DZ59" s="37"/>
      <c r="EA59" s="37"/>
      <c r="EB59" s="37"/>
      <c r="EC59" s="37"/>
      <c r="ED59" s="37"/>
      <c r="EE59" s="37"/>
      <c r="EF59" s="37"/>
      <c r="EG59" s="37"/>
      <c r="EH59" s="37"/>
      <c r="EI59" s="37"/>
      <c r="EJ59" s="37"/>
      <c r="EK59" s="37"/>
      <c r="EL59" s="37"/>
      <c r="EM59" s="37"/>
      <c r="EN59" s="37"/>
      <c r="EO59" s="37"/>
      <c r="EP59" s="37"/>
      <c r="EQ59" s="37"/>
      <c r="ER59" s="37"/>
      <c r="ES59" s="37"/>
      <c r="ET59" s="37"/>
      <c r="EU59" s="37"/>
      <c r="EV59" s="37"/>
      <c r="EW59" s="37"/>
      <c r="EX59" s="37"/>
      <c r="EY59" s="37"/>
      <c r="EZ59" s="37"/>
      <c r="FA59" s="37"/>
      <c r="FB59" s="37"/>
      <c r="FC59" s="37"/>
      <c r="FD59" s="37"/>
      <c r="FE59" s="37"/>
      <c r="FF59" s="37"/>
      <c r="FG59" s="37"/>
      <c r="FH59" s="37"/>
      <c r="FI59" s="37"/>
      <c r="FJ59" s="37"/>
      <c r="FK59" s="37"/>
      <c r="FL59" s="37"/>
      <c r="FM59" s="37"/>
      <c r="FN59" s="37"/>
      <c r="FO59" s="37"/>
      <c r="FP59" s="37"/>
      <c r="FQ59" s="37"/>
      <c r="FR59" s="37"/>
      <c r="FS59" s="37"/>
      <c r="FT59" s="37"/>
      <c r="FU59" s="37"/>
      <c r="FV59" s="37"/>
      <c r="FW59" s="37"/>
      <c r="FX59" s="37"/>
      <c r="FY59" s="37"/>
      <c r="FZ59" s="37"/>
      <c r="GA59" s="37"/>
      <c r="GB59" s="37"/>
      <c r="GC59" s="37"/>
      <c r="GD59" s="37"/>
      <c r="GE59" s="37"/>
      <c r="GF59" s="37"/>
      <c r="GG59" s="37"/>
      <c r="GH59" s="37"/>
      <c r="GI59" s="37"/>
      <c r="GJ59" s="37"/>
      <c r="GK59" s="37"/>
      <c r="GL59" s="37"/>
      <c r="GM59" s="37"/>
      <c r="GN59" s="37"/>
      <c r="GO59" s="37"/>
      <c r="GP59" s="37"/>
      <c r="GQ59" s="37"/>
      <c r="GR59" s="37"/>
      <c r="GS59" s="37"/>
      <c r="GT59" s="37"/>
      <c r="GU59" s="37"/>
      <c r="GV59" s="37"/>
      <c r="GW59" s="37"/>
      <c r="GX59" s="37"/>
      <c r="GY59" s="37"/>
      <c r="GZ59" s="37"/>
      <c r="HA59" s="37"/>
      <c r="HB59" s="37"/>
      <c r="HC59" s="37"/>
      <c r="HD59" s="37"/>
      <c r="HE59" s="37"/>
      <c r="HF59" s="37"/>
      <c r="HG59" s="37"/>
      <c r="HH59" s="37"/>
      <c r="HI59" s="37"/>
      <c r="HJ59" s="37"/>
      <c r="HK59" s="37"/>
      <c r="HL59" s="37"/>
      <c r="HM59" s="37"/>
      <c r="HN59" s="37"/>
      <c r="HO59" s="37"/>
      <c r="HP59" s="37"/>
      <c r="HQ59" s="37"/>
      <c r="HR59" s="37"/>
      <c r="HS59" s="37"/>
      <c r="HT59" s="37"/>
      <c r="HU59" s="37"/>
      <c r="HV59" s="37"/>
      <c r="HW59" s="37"/>
      <c r="HX59" s="37"/>
      <c r="HY59" s="37"/>
      <c r="HZ59" s="37"/>
      <c r="IA59" s="37"/>
      <c r="IB59" s="37"/>
      <c r="IC59" s="37"/>
    </row>
    <row r="60" spans="1:237" s="40" customFormat="1" x14ac:dyDescent="0.2">
      <c r="A60" s="62"/>
      <c r="B60" s="63"/>
      <c r="J60" s="37"/>
      <c r="K60" s="37"/>
      <c r="L60" s="37"/>
      <c r="M60" s="3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c r="BZ60" s="37"/>
      <c r="CA60" s="37"/>
      <c r="CB60" s="37"/>
      <c r="CC60" s="37"/>
      <c r="CD60" s="37"/>
      <c r="CE60" s="37"/>
      <c r="CF60" s="37"/>
      <c r="CG60" s="37"/>
      <c r="CH60" s="37"/>
      <c r="CI60" s="37"/>
      <c r="CJ60" s="37"/>
      <c r="CK60" s="37"/>
      <c r="CL60" s="37"/>
      <c r="CM60" s="37"/>
      <c r="CN60" s="37"/>
      <c r="CO60" s="37"/>
      <c r="CP60" s="37"/>
      <c r="CQ60" s="37"/>
      <c r="CR60" s="37"/>
      <c r="CS60" s="37"/>
      <c r="CT60" s="37"/>
      <c r="CU60" s="37"/>
      <c r="CV60" s="37"/>
      <c r="CW60" s="37"/>
      <c r="CX60" s="37"/>
      <c r="CY60" s="37"/>
      <c r="CZ60" s="37"/>
      <c r="DA60" s="37"/>
      <c r="DB60" s="37"/>
      <c r="DC60" s="37"/>
      <c r="DD60" s="37"/>
      <c r="DE60" s="37"/>
      <c r="DF60" s="37"/>
      <c r="DG60" s="37"/>
      <c r="DH60" s="37"/>
      <c r="DI60" s="37"/>
      <c r="DJ60" s="37"/>
      <c r="DK60" s="37"/>
      <c r="DL60" s="37"/>
      <c r="DM60" s="37"/>
      <c r="DN60" s="37"/>
      <c r="DO60" s="37"/>
      <c r="DP60" s="37"/>
      <c r="DQ60" s="37"/>
      <c r="DR60" s="37"/>
      <c r="DS60" s="37"/>
      <c r="DT60" s="37"/>
      <c r="DU60" s="37"/>
      <c r="DV60" s="37"/>
      <c r="DW60" s="37"/>
      <c r="DX60" s="37"/>
      <c r="DY60" s="37"/>
      <c r="DZ60" s="37"/>
      <c r="EA60" s="37"/>
      <c r="EB60" s="37"/>
      <c r="EC60" s="37"/>
      <c r="ED60" s="37"/>
      <c r="EE60" s="37"/>
      <c r="EF60" s="37"/>
      <c r="EG60" s="37"/>
      <c r="EH60" s="37"/>
      <c r="EI60" s="37"/>
      <c r="EJ60" s="37"/>
      <c r="EK60" s="37"/>
      <c r="EL60" s="37"/>
      <c r="EM60" s="37"/>
      <c r="EN60" s="37"/>
      <c r="EO60" s="37"/>
      <c r="EP60" s="37"/>
      <c r="EQ60" s="37"/>
      <c r="ER60" s="37"/>
      <c r="ES60" s="37"/>
      <c r="ET60" s="37"/>
      <c r="EU60" s="37"/>
      <c r="EV60" s="37"/>
      <c r="EW60" s="37"/>
      <c r="EX60" s="37"/>
      <c r="EY60" s="37"/>
      <c r="EZ60" s="37"/>
      <c r="FA60" s="37"/>
      <c r="FB60" s="37"/>
      <c r="FC60" s="37"/>
      <c r="FD60" s="37"/>
      <c r="FE60" s="37"/>
      <c r="FF60" s="37"/>
      <c r="FG60" s="37"/>
      <c r="FH60" s="37"/>
      <c r="FI60" s="37"/>
      <c r="FJ60" s="37"/>
      <c r="FK60" s="37"/>
      <c r="FL60" s="37"/>
      <c r="FM60" s="37"/>
      <c r="FN60" s="37"/>
      <c r="FO60" s="37"/>
      <c r="FP60" s="37"/>
      <c r="FQ60" s="37"/>
      <c r="FR60" s="37"/>
      <c r="FS60" s="37"/>
      <c r="FT60" s="37"/>
      <c r="FU60" s="37"/>
      <c r="FV60" s="37"/>
      <c r="FW60" s="37"/>
      <c r="FX60" s="37"/>
      <c r="FY60" s="37"/>
      <c r="FZ60" s="37"/>
      <c r="GA60" s="37"/>
      <c r="GB60" s="37"/>
      <c r="GC60" s="37"/>
      <c r="GD60" s="37"/>
      <c r="GE60" s="37"/>
      <c r="GF60" s="37"/>
      <c r="GG60" s="37"/>
      <c r="GH60" s="37"/>
      <c r="GI60" s="37"/>
      <c r="GJ60" s="37"/>
      <c r="GK60" s="37"/>
      <c r="GL60" s="37"/>
      <c r="GM60" s="37"/>
      <c r="GN60" s="37"/>
      <c r="GO60" s="37"/>
      <c r="GP60" s="37"/>
      <c r="GQ60" s="37"/>
      <c r="GR60" s="37"/>
      <c r="GS60" s="37"/>
      <c r="GT60" s="37"/>
      <c r="GU60" s="37"/>
      <c r="GV60" s="37"/>
      <c r="GW60" s="37"/>
      <c r="GX60" s="37"/>
      <c r="GY60" s="37"/>
      <c r="GZ60" s="37"/>
      <c r="HA60" s="37"/>
      <c r="HB60" s="37"/>
      <c r="HC60" s="37"/>
      <c r="HD60" s="37"/>
      <c r="HE60" s="37"/>
      <c r="HF60" s="37"/>
      <c r="HG60" s="37"/>
      <c r="HH60" s="37"/>
      <c r="HI60" s="37"/>
      <c r="HJ60" s="37"/>
      <c r="HK60" s="37"/>
      <c r="HL60" s="37"/>
      <c r="HM60" s="37"/>
      <c r="HN60" s="37"/>
      <c r="HO60" s="37"/>
      <c r="HP60" s="37"/>
      <c r="HQ60" s="37"/>
      <c r="HR60" s="37"/>
      <c r="HS60" s="37"/>
      <c r="HT60" s="37"/>
      <c r="HU60" s="37"/>
      <c r="HV60" s="37"/>
      <c r="HW60" s="37"/>
      <c r="HX60" s="37"/>
      <c r="HY60" s="37"/>
      <c r="HZ60" s="37"/>
      <c r="IA60" s="37"/>
      <c r="IB60" s="37"/>
      <c r="IC60" s="37"/>
    </row>
    <row r="61" spans="1:237" s="40" customFormat="1" x14ac:dyDescent="0.2">
      <c r="A61" s="62"/>
      <c r="B61" s="63"/>
      <c r="J61" s="37"/>
      <c r="K61" s="37"/>
      <c r="L61" s="37"/>
      <c r="M61" s="3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37"/>
      <c r="CA61" s="37"/>
      <c r="CB61" s="37"/>
      <c r="CC61" s="37"/>
      <c r="CD61" s="37"/>
      <c r="CE61" s="37"/>
      <c r="CF61" s="37"/>
      <c r="CG61" s="37"/>
      <c r="CH61" s="37"/>
      <c r="CI61" s="37"/>
      <c r="CJ61" s="37"/>
      <c r="CK61" s="37"/>
      <c r="CL61" s="37"/>
      <c r="CM61" s="37"/>
      <c r="CN61" s="37"/>
      <c r="CO61" s="37"/>
      <c r="CP61" s="37"/>
      <c r="CQ61" s="37"/>
      <c r="CR61" s="37"/>
      <c r="CS61" s="37"/>
      <c r="CT61" s="37"/>
      <c r="CU61" s="37"/>
      <c r="CV61" s="37"/>
      <c r="CW61" s="37"/>
      <c r="CX61" s="37"/>
      <c r="CY61" s="37"/>
      <c r="CZ61" s="37"/>
      <c r="DA61" s="37"/>
      <c r="DB61" s="37"/>
      <c r="DC61" s="37"/>
      <c r="DD61" s="37"/>
      <c r="DE61" s="37"/>
      <c r="DF61" s="37"/>
      <c r="DG61" s="37"/>
      <c r="DH61" s="37"/>
      <c r="DI61" s="37"/>
      <c r="DJ61" s="37"/>
      <c r="DK61" s="37"/>
      <c r="DL61" s="37"/>
      <c r="DM61" s="37"/>
      <c r="DN61" s="37"/>
      <c r="DO61" s="37"/>
      <c r="DP61" s="37"/>
      <c r="DQ61" s="37"/>
      <c r="DR61" s="37"/>
      <c r="DS61" s="37"/>
      <c r="DT61" s="37"/>
      <c r="DU61" s="37"/>
      <c r="DV61" s="37"/>
      <c r="DW61" s="37"/>
      <c r="DX61" s="37"/>
      <c r="DY61" s="37"/>
      <c r="DZ61" s="37"/>
      <c r="EA61" s="37"/>
      <c r="EB61" s="37"/>
      <c r="EC61" s="37"/>
      <c r="ED61" s="37"/>
      <c r="EE61" s="37"/>
      <c r="EF61" s="37"/>
      <c r="EG61" s="37"/>
      <c r="EH61" s="37"/>
      <c r="EI61" s="37"/>
      <c r="EJ61" s="37"/>
      <c r="EK61" s="37"/>
      <c r="EL61" s="37"/>
      <c r="EM61" s="37"/>
      <c r="EN61" s="37"/>
      <c r="EO61" s="37"/>
      <c r="EP61" s="37"/>
      <c r="EQ61" s="37"/>
      <c r="ER61" s="37"/>
      <c r="ES61" s="37"/>
      <c r="ET61" s="37"/>
      <c r="EU61" s="37"/>
      <c r="EV61" s="37"/>
      <c r="EW61" s="37"/>
      <c r="EX61" s="37"/>
      <c r="EY61" s="37"/>
      <c r="EZ61" s="37"/>
      <c r="FA61" s="37"/>
      <c r="FB61" s="37"/>
      <c r="FC61" s="37"/>
      <c r="FD61" s="37"/>
      <c r="FE61" s="37"/>
      <c r="FF61" s="37"/>
      <c r="FG61" s="37"/>
      <c r="FH61" s="37"/>
      <c r="FI61" s="37"/>
      <c r="FJ61" s="37"/>
      <c r="FK61" s="37"/>
      <c r="FL61" s="37"/>
      <c r="FM61" s="37"/>
      <c r="FN61" s="37"/>
      <c r="FO61" s="37"/>
      <c r="FP61" s="37"/>
      <c r="FQ61" s="37"/>
      <c r="FR61" s="37"/>
      <c r="FS61" s="37"/>
      <c r="FT61" s="37"/>
      <c r="FU61" s="37"/>
      <c r="FV61" s="37"/>
      <c r="FW61" s="37"/>
      <c r="FX61" s="37"/>
      <c r="FY61" s="37"/>
      <c r="FZ61" s="37"/>
      <c r="GA61" s="37"/>
      <c r="GB61" s="37"/>
      <c r="GC61" s="37"/>
      <c r="GD61" s="37"/>
      <c r="GE61" s="37"/>
      <c r="GF61" s="37"/>
      <c r="GG61" s="37"/>
      <c r="GH61" s="37"/>
      <c r="GI61" s="37"/>
      <c r="GJ61" s="37"/>
      <c r="GK61" s="37"/>
      <c r="GL61" s="37"/>
      <c r="GM61" s="37"/>
      <c r="GN61" s="37"/>
      <c r="GO61" s="37"/>
      <c r="GP61" s="37"/>
      <c r="GQ61" s="37"/>
      <c r="GR61" s="37"/>
      <c r="GS61" s="37"/>
      <c r="GT61" s="37"/>
      <c r="GU61" s="37"/>
      <c r="GV61" s="37"/>
      <c r="GW61" s="37"/>
      <c r="GX61" s="37"/>
      <c r="GY61" s="37"/>
      <c r="GZ61" s="37"/>
      <c r="HA61" s="37"/>
      <c r="HB61" s="37"/>
      <c r="HC61" s="37"/>
      <c r="HD61" s="37"/>
      <c r="HE61" s="37"/>
      <c r="HF61" s="37"/>
      <c r="HG61" s="37"/>
      <c r="HH61" s="37"/>
      <c r="HI61" s="37"/>
      <c r="HJ61" s="37"/>
      <c r="HK61" s="37"/>
      <c r="HL61" s="37"/>
      <c r="HM61" s="37"/>
      <c r="HN61" s="37"/>
      <c r="HO61" s="37"/>
      <c r="HP61" s="37"/>
      <c r="HQ61" s="37"/>
      <c r="HR61" s="37"/>
      <c r="HS61" s="37"/>
      <c r="HT61" s="37"/>
      <c r="HU61" s="37"/>
      <c r="HV61" s="37"/>
      <c r="HW61" s="37"/>
      <c r="HX61" s="37"/>
      <c r="HY61" s="37"/>
      <c r="HZ61" s="37"/>
      <c r="IA61" s="37"/>
      <c r="IB61" s="37"/>
      <c r="IC61" s="37"/>
    </row>
    <row r="62" spans="1:237" s="40" customFormat="1" x14ac:dyDescent="0.2">
      <c r="A62" s="62"/>
      <c r="B62" s="63"/>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K62" s="37"/>
      <c r="DL62" s="37"/>
      <c r="DM62" s="37"/>
      <c r="DN62" s="37"/>
      <c r="DO62" s="37"/>
      <c r="DP62" s="37"/>
      <c r="DQ62" s="37"/>
      <c r="DR62" s="37"/>
      <c r="DS62" s="37"/>
      <c r="DT62" s="37"/>
      <c r="DU62" s="37"/>
      <c r="DV62" s="37"/>
      <c r="DW62" s="37"/>
      <c r="DX62" s="37"/>
      <c r="DY62" s="37"/>
      <c r="DZ62" s="37"/>
      <c r="EA62" s="37"/>
      <c r="EB62" s="37"/>
      <c r="EC62" s="37"/>
      <c r="ED62" s="37"/>
      <c r="EE62" s="37"/>
      <c r="EF62" s="37"/>
      <c r="EG62" s="37"/>
      <c r="EH62" s="37"/>
      <c r="EI62" s="37"/>
      <c r="EJ62" s="37"/>
      <c r="EK62" s="37"/>
      <c r="EL62" s="37"/>
      <c r="EM62" s="37"/>
      <c r="EN62" s="37"/>
      <c r="EO62" s="37"/>
      <c r="EP62" s="37"/>
      <c r="EQ62" s="37"/>
      <c r="ER62" s="37"/>
      <c r="ES62" s="37"/>
      <c r="ET62" s="37"/>
      <c r="EU62" s="37"/>
      <c r="EV62" s="37"/>
      <c r="EW62" s="37"/>
      <c r="EX62" s="37"/>
      <c r="EY62" s="37"/>
      <c r="EZ62" s="37"/>
      <c r="FA62" s="37"/>
      <c r="FB62" s="37"/>
      <c r="FC62" s="37"/>
      <c r="FD62" s="37"/>
      <c r="FE62" s="37"/>
      <c r="FF62" s="37"/>
      <c r="FG62" s="37"/>
      <c r="FH62" s="37"/>
      <c r="FI62" s="37"/>
      <c r="FJ62" s="37"/>
      <c r="FK62" s="37"/>
      <c r="FL62" s="37"/>
      <c r="FM62" s="37"/>
      <c r="FN62" s="37"/>
      <c r="FO62" s="37"/>
      <c r="FP62" s="37"/>
      <c r="FQ62" s="37"/>
      <c r="FR62" s="37"/>
      <c r="FS62" s="37"/>
      <c r="FT62" s="37"/>
      <c r="FU62" s="37"/>
      <c r="FV62" s="37"/>
      <c r="FW62" s="37"/>
      <c r="FX62" s="37"/>
      <c r="FY62" s="37"/>
      <c r="FZ62" s="37"/>
      <c r="GA62" s="37"/>
      <c r="GB62" s="37"/>
      <c r="GC62" s="37"/>
      <c r="GD62" s="37"/>
      <c r="GE62" s="37"/>
      <c r="GF62" s="37"/>
      <c r="GG62" s="37"/>
      <c r="GH62" s="37"/>
      <c r="GI62" s="37"/>
      <c r="GJ62" s="37"/>
      <c r="GK62" s="37"/>
      <c r="GL62" s="37"/>
      <c r="GM62" s="37"/>
      <c r="GN62" s="37"/>
      <c r="GO62" s="37"/>
      <c r="GP62" s="37"/>
      <c r="GQ62" s="37"/>
      <c r="GR62" s="37"/>
      <c r="GS62" s="37"/>
      <c r="GT62" s="37"/>
      <c r="GU62" s="37"/>
      <c r="GV62" s="37"/>
      <c r="GW62" s="37"/>
      <c r="GX62" s="37"/>
      <c r="GY62" s="37"/>
      <c r="GZ62" s="37"/>
      <c r="HA62" s="37"/>
      <c r="HB62" s="37"/>
      <c r="HC62" s="37"/>
      <c r="HD62" s="37"/>
      <c r="HE62" s="37"/>
      <c r="HF62" s="37"/>
      <c r="HG62" s="37"/>
      <c r="HH62" s="37"/>
      <c r="HI62" s="37"/>
      <c r="HJ62" s="37"/>
      <c r="HK62" s="37"/>
      <c r="HL62" s="37"/>
      <c r="HM62" s="37"/>
      <c r="HN62" s="37"/>
      <c r="HO62" s="37"/>
      <c r="HP62" s="37"/>
      <c r="HQ62" s="37"/>
      <c r="HR62" s="37"/>
      <c r="HS62" s="37"/>
      <c r="HT62" s="37"/>
      <c r="HU62" s="37"/>
      <c r="HV62" s="37"/>
      <c r="HW62" s="37"/>
      <c r="HX62" s="37"/>
      <c r="HY62" s="37"/>
      <c r="HZ62" s="37"/>
      <c r="IA62" s="37"/>
      <c r="IB62" s="37"/>
      <c r="IC62" s="37"/>
    </row>
    <row r="63" spans="1:237" s="40" customFormat="1" x14ac:dyDescent="0.2">
      <c r="A63" s="62"/>
      <c r="B63" s="63"/>
      <c r="J63" s="37"/>
      <c r="K63" s="37"/>
      <c r="L63" s="37"/>
      <c r="M63" s="37"/>
      <c r="N63" s="37"/>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c r="BB63" s="37"/>
      <c r="BC63" s="37"/>
      <c r="BD63" s="37"/>
      <c r="BE63" s="37"/>
      <c r="BF63" s="37"/>
      <c r="BG63" s="37"/>
      <c r="BH63" s="37"/>
      <c r="BI63" s="37"/>
      <c r="BJ63" s="37"/>
      <c r="BK63" s="37"/>
      <c r="BL63" s="37"/>
      <c r="BM63" s="37"/>
      <c r="BN63" s="37"/>
      <c r="BO63" s="37"/>
      <c r="BP63" s="37"/>
      <c r="BQ63" s="37"/>
      <c r="BR63" s="37"/>
      <c r="BS63" s="37"/>
      <c r="BT63" s="37"/>
      <c r="BU63" s="37"/>
      <c r="BV63" s="37"/>
      <c r="BW63" s="37"/>
      <c r="BX63" s="37"/>
      <c r="BY63" s="37"/>
      <c r="BZ63" s="37"/>
      <c r="CA63" s="37"/>
      <c r="CB63" s="37"/>
      <c r="CC63" s="37"/>
      <c r="CD63" s="37"/>
      <c r="CE63" s="37"/>
      <c r="CF63" s="37"/>
      <c r="CG63" s="37"/>
      <c r="CH63" s="37"/>
      <c r="CI63" s="37"/>
      <c r="CJ63" s="37"/>
      <c r="CK63" s="37"/>
      <c r="CL63" s="37"/>
      <c r="CM63" s="37"/>
      <c r="CN63" s="37"/>
      <c r="CO63" s="37"/>
      <c r="CP63" s="37"/>
      <c r="CQ63" s="37"/>
      <c r="CR63" s="37"/>
      <c r="CS63" s="37"/>
      <c r="CT63" s="37"/>
      <c r="CU63" s="37"/>
      <c r="CV63" s="37"/>
      <c r="CW63" s="37"/>
      <c r="CX63" s="37"/>
      <c r="CY63" s="37"/>
      <c r="CZ63" s="37"/>
      <c r="DA63" s="37"/>
      <c r="DB63" s="37"/>
      <c r="DC63" s="37"/>
      <c r="DD63" s="37"/>
      <c r="DE63" s="37"/>
      <c r="DF63" s="37"/>
      <c r="DG63" s="37"/>
      <c r="DH63" s="37"/>
      <c r="DI63" s="37"/>
      <c r="DJ63" s="37"/>
      <c r="DK63" s="37"/>
      <c r="DL63" s="37"/>
      <c r="DM63" s="37"/>
      <c r="DN63" s="37"/>
      <c r="DO63" s="37"/>
      <c r="DP63" s="37"/>
      <c r="DQ63" s="37"/>
      <c r="DR63" s="37"/>
      <c r="DS63" s="37"/>
      <c r="DT63" s="37"/>
      <c r="DU63" s="37"/>
      <c r="DV63" s="37"/>
      <c r="DW63" s="37"/>
      <c r="DX63" s="37"/>
      <c r="DY63" s="37"/>
      <c r="DZ63" s="37"/>
      <c r="EA63" s="37"/>
      <c r="EB63" s="37"/>
      <c r="EC63" s="37"/>
      <c r="ED63" s="37"/>
      <c r="EE63" s="37"/>
      <c r="EF63" s="37"/>
      <c r="EG63" s="37"/>
      <c r="EH63" s="37"/>
      <c r="EI63" s="37"/>
      <c r="EJ63" s="37"/>
      <c r="EK63" s="37"/>
      <c r="EL63" s="37"/>
      <c r="EM63" s="37"/>
      <c r="EN63" s="37"/>
      <c r="EO63" s="37"/>
      <c r="EP63" s="37"/>
      <c r="EQ63" s="37"/>
      <c r="ER63" s="37"/>
      <c r="ES63" s="37"/>
      <c r="ET63" s="37"/>
      <c r="EU63" s="37"/>
      <c r="EV63" s="37"/>
      <c r="EW63" s="37"/>
      <c r="EX63" s="37"/>
      <c r="EY63" s="37"/>
      <c r="EZ63" s="37"/>
      <c r="FA63" s="37"/>
      <c r="FB63" s="37"/>
      <c r="FC63" s="37"/>
      <c r="FD63" s="37"/>
      <c r="FE63" s="37"/>
      <c r="FF63" s="37"/>
      <c r="FG63" s="37"/>
      <c r="FH63" s="37"/>
      <c r="FI63" s="37"/>
      <c r="FJ63" s="37"/>
      <c r="FK63" s="37"/>
      <c r="FL63" s="37"/>
      <c r="FM63" s="37"/>
      <c r="FN63" s="37"/>
      <c r="FO63" s="37"/>
      <c r="FP63" s="37"/>
      <c r="FQ63" s="37"/>
      <c r="FR63" s="37"/>
      <c r="FS63" s="37"/>
      <c r="FT63" s="37"/>
      <c r="FU63" s="37"/>
      <c r="FV63" s="37"/>
      <c r="FW63" s="37"/>
      <c r="FX63" s="37"/>
      <c r="FY63" s="37"/>
      <c r="FZ63" s="37"/>
      <c r="GA63" s="37"/>
      <c r="GB63" s="37"/>
      <c r="GC63" s="37"/>
      <c r="GD63" s="37"/>
      <c r="GE63" s="37"/>
      <c r="GF63" s="37"/>
      <c r="GG63" s="37"/>
      <c r="GH63" s="37"/>
      <c r="GI63" s="37"/>
      <c r="GJ63" s="37"/>
      <c r="GK63" s="37"/>
      <c r="GL63" s="37"/>
      <c r="GM63" s="37"/>
      <c r="GN63" s="37"/>
      <c r="GO63" s="37"/>
      <c r="GP63" s="37"/>
      <c r="GQ63" s="37"/>
      <c r="GR63" s="37"/>
      <c r="GS63" s="37"/>
      <c r="GT63" s="37"/>
      <c r="GU63" s="37"/>
      <c r="GV63" s="37"/>
      <c r="GW63" s="37"/>
      <c r="GX63" s="37"/>
      <c r="GY63" s="37"/>
      <c r="GZ63" s="37"/>
      <c r="HA63" s="37"/>
      <c r="HB63" s="37"/>
      <c r="HC63" s="37"/>
      <c r="HD63" s="37"/>
      <c r="HE63" s="37"/>
      <c r="HF63" s="37"/>
      <c r="HG63" s="37"/>
      <c r="HH63" s="37"/>
      <c r="HI63" s="37"/>
      <c r="HJ63" s="37"/>
      <c r="HK63" s="37"/>
      <c r="HL63" s="37"/>
      <c r="HM63" s="37"/>
      <c r="HN63" s="37"/>
      <c r="HO63" s="37"/>
      <c r="HP63" s="37"/>
      <c r="HQ63" s="37"/>
      <c r="HR63" s="37"/>
      <c r="HS63" s="37"/>
      <c r="HT63" s="37"/>
      <c r="HU63" s="37"/>
      <c r="HV63" s="37"/>
      <c r="HW63" s="37"/>
      <c r="HX63" s="37"/>
      <c r="HY63" s="37"/>
      <c r="HZ63" s="37"/>
      <c r="IA63" s="37"/>
      <c r="IB63" s="37"/>
      <c r="IC63" s="37"/>
    </row>
    <row r="64" spans="1:237" s="40" customFormat="1" x14ac:dyDescent="0.2">
      <c r="A64" s="62"/>
      <c r="B64" s="63"/>
      <c r="J64" s="37"/>
      <c r="K64" s="37"/>
      <c r="L64" s="37"/>
      <c r="M64" s="37"/>
      <c r="N64" s="37"/>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37"/>
      <c r="CN64" s="37"/>
      <c r="CO64" s="37"/>
      <c r="CP64" s="37"/>
      <c r="CQ64" s="37"/>
      <c r="CR64" s="37"/>
      <c r="CS64" s="37"/>
      <c r="CT64" s="37"/>
      <c r="CU64" s="37"/>
      <c r="CV64" s="37"/>
      <c r="CW64" s="37"/>
      <c r="CX64" s="37"/>
      <c r="CY64" s="37"/>
      <c r="CZ64" s="37"/>
      <c r="DA64" s="37"/>
      <c r="DB64" s="37"/>
      <c r="DC64" s="37"/>
      <c r="DD64" s="37"/>
      <c r="DE64" s="37"/>
      <c r="DF64" s="37"/>
      <c r="DG64" s="37"/>
      <c r="DH64" s="37"/>
      <c r="DI64" s="37"/>
      <c r="DJ64" s="37"/>
      <c r="DK64" s="37"/>
      <c r="DL64" s="37"/>
      <c r="DM64" s="37"/>
      <c r="DN64" s="37"/>
      <c r="DO64" s="37"/>
      <c r="DP64" s="37"/>
      <c r="DQ64" s="37"/>
      <c r="DR64" s="37"/>
      <c r="DS64" s="37"/>
      <c r="DT64" s="37"/>
      <c r="DU64" s="37"/>
      <c r="DV64" s="37"/>
      <c r="DW64" s="37"/>
      <c r="DX64" s="37"/>
      <c r="DY64" s="37"/>
      <c r="DZ64" s="37"/>
      <c r="EA64" s="37"/>
      <c r="EB64" s="37"/>
      <c r="EC64" s="37"/>
      <c r="ED64" s="37"/>
      <c r="EE64" s="37"/>
      <c r="EF64" s="37"/>
      <c r="EG64" s="37"/>
      <c r="EH64" s="37"/>
      <c r="EI64" s="37"/>
      <c r="EJ64" s="37"/>
      <c r="EK64" s="37"/>
      <c r="EL64" s="37"/>
      <c r="EM64" s="37"/>
      <c r="EN64" s="37"/>
      <c r="EO64" s="37"/>
      <c r="EP64" s="37"/>
      <c r="EQ64" s="37"/>
      <c r="ER64" s="37"/>
      <c r="ES64" s="37"/>
      <c r="ET64" s="37"/>
      <c r="EU64" s="37"/>
      <c r="EV64" s="37"/>
      <c r="EW64" s="37"/>
      <c r="EX64" s="37"/>
      <c r="EY64" s="37"/>
      <c r="EZ64" s="37"/>
      <c r="FA64" s="37"/>
      <c r="FB64" s="37"/>
      <c r="FC64" s="37"/>
      <c r="FD64" s="37"/>
      <c r="FE64" s="37"/>
      <c r="FF64" s="37"/>
      <c r="FG64" s="37"/>
      <c r="FH64" s="37"/>
      <c r="FI64" s="37"/>
      <c r="FJ64" s="37"/>
      <c r="FK64" s="37"/>
      <c r="FL64" s="37"/>
      <c r="FM64" s="37"/>
      <c r="FN64" s="37"/>
      <c r="FO64" s="37"/>
      <c r="FP64" s="37"/>
      <c r="FQ64" s="37"/>
      <c r="FR64" s="37"/>
      <c r="FS64" s="37"/>
      <c r="FT64" s="37"/>
      <c r="FU64" s="37"/>
      <c r="FV64" s="37"/>
      <c r="FW64" s="37"/>
      <c r="FX64" s="37"/>
      <c r="FY64" s="37"/>
      <c r="FZ64" s="37"/>
      <c r="GA64" s="37"/>
      <c r="GB64" s="37"/>
      <c r="GC64" s="37"/>
      <c r="GD64" s="37"/>
      <c r="GE64" s="37"/>
      <c r="GF64" s="37"/>
      <c r="GG64" s="37"/>
      <c r="GH64" s="37"/>
      <c r="GI64" s="37"/>
      <c r="GJ64" s="37"/>
      <c r="GK64" s="37"/>
      <c r="GL64" s="37"/>
      <c r="GM64" s="37"/>
      <c r="GN64" s="37"/>
      <c r="GO64" s="37"/>
      <c r="GP64" s="37"/>
      <c r="GQ64" s="37"/>
      <c r="GR64" s="37"/>
      <c r="GS64" s="37"/>
      <c r="GT64" s="37"/>
      <c r="GU64" s="37"/>
      <c r="GV64" s="37"/>
      <c r="GW64" s="37"/>
      <c r="GX64" s="37"/>
      <c r="GY64" s="37"/>
      <c r="GZ64" s="37"/>
      <c r="HA64" s="37"/>
      <c r="HB64" s="37"/>
      <c r="HC64" s="37"/>
      <c r="HD64" s="37"/>
      <c r="HE64" s="37"/>
      <c r="HF64" s="37"/>
      <c r="HG64" s="37"/>
      <c r="HH64" s="37"/>
      <c r="HI64" s="37"/>
      <c r="HJ64" s="37"/>
      <c r="HK64" s="37"/>
      <c r="HL64" s="37"/>
      <c r="HM64" s="37"/>
      <c r="HN64" s="37"/>
      <c r="HO64" s="37"/>
      <c r="HP64" s="37"/>
      <c r="HQ64" s="37"/>
      <c r="HR64" s="37"/>
      <c r="HS64" s="37"/>
      <c r="HT64" s="37"/>
      <c r="HU64" s="37"/>
      <c r="HV64" s="37"/>
      <c r="HW64" s="37"/>
      <c r="HX64" s="37"/>
      <c r="HY64" s="37"/>
      <c r="HZ64" s="37"/>
      <c r="IA64" s="37"/>
      <c r="IB64" s="37"/>
      <c r="IC64" s="37"/>
    </row>
    <row r="65" spans="1:237" s="40" customFormat="1" x14ac:dyDescent="0.2">
      <c r="A65" s="62"/>
      <c r="B65" s="63"/>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37"/>
      <c r="CA65" s="37"/>
      <c r="CB65" s="37"/>
      <c r="CC65" s="37"/>
      <c r="CD65" s="37"/>
      <c r="CE65" s="37"/>
      <c r="CF65" s="37"/>
      <c r="CG65" s="37"/>
      <c r="CH65" s="37"/>
      <c r="CI65" s="37"/>
      <c r="CJ65" s="37"/>
      <c r="CK65" s="37"/>
      <c r="CL65" s="37"/>
      <c r="CM65" s="37"/>
      <c r="CN65" s="37"/>
      <c r="CO65" s="37"/>
      <c r="CP65" s="37"/>
      <c r="CQ65" s="37"/>
      <c r="CR65" s="37"/>
      <c r="CS65" s="37"/>
      <c r="CT65" s="37"/>
      <c r="CU65" s="37"/>
      <c r="CV65" s="37"/>
      <c r="CW65" s="37"/>
      <c r="CX65" s="37"/>
      <c r="CY65" s="37"/>
      <c r="CZ65" s="37"/>
      <c r="DA65" s="37"/>
      <c r="DB65" s="37"/>
      <c r="DC65" s="37"/>
      <c r="DD65" s="37"/>
      <c r="DE65" s="37"/>
      <c r="DF65" s="37"/>
      <c r="DG65" s="37"/>
      <c r="DH65" s="37"/>
      <c r="DI65" s="37"/>
      <c r="DJ65" s="37"/>
      <c r="DK65" s="37"/>
      <c r="DL65" s="37"/>
      <c r="DM65" s="37"/>
      <c r="DN65" s="37"/>
      <c r="DO65" s="37"/>
      <c r="DP65" s="37"/>
      <c r="DQ65" s="37"/>
      <c r="DR65" s="37"/>
      <c r="DS65" s="37"/>
      <c r="DT65" s="37"/>
      <c r="DU65" s="37"/>
      <c r="DV65" s="37"/>
      <c r="DW65" s="37"/>
      <c r="DX65" s="37"/>
      <c r="DY65" s="37"/>
      <c r="DZ65" s="37"/>
      <c r="EA65" s="37"/>
      <c r="EB65" s="37"/>
      <c r="EC65" s="37"/>
      <c r="ED65" s="37"/>
      <c r="EE65" s="37"/>
      <c r="EF65" s="37"/>
      <c r="EG65" s="37"/>
      <c r="EH65" s="37"/>
      <c r="EI65" s="37"/>
      <c r="EJ65" s="37"/>
      <c r="EK65" s="37"/>
      <c r="EL65" s="37"/>
      <c r="EM65" s="37"/>
      <c r="EN65" s="37"/>
      <c r="EO65" s="37"/>
      <c r="EP65" s="37"/>
      <c r="EQ65" s="37"/>
      <c r="ER65" s="37"/>
      <c r="ES65" s="37"/>
      <c r="ET65" s="37"/>
      <c r="EU65" s="37"/>
      <c r="EV65" s="37"/>
      <c r="EW65" s="37"/>
      <c r="EX65" s="37"/>
      <c r="EY65" s="37"/>
      <c r="EZ65" s="37"/>
      <c r="FA65" s="37"/>
      <c r="FB65" s="37"/>
      <c r="FC65" s="37"/>
      <c r="FD65" s="37"/>
      <c r="FE65" s="37"/>
      <c r="FF65" s="37"/>
      <c r="FG65" s="37"/>
      <c r="FH65" s="37"/>
      <c r="FI65" s="37"/>
      <c r="FJ65" s="37"/>
      <c r="FK65" s="37"/>
      <c r="FL65" s="37"/>
      <c r="FM65" s="37"/>
      <c r="FN65" s="37"/>
      <c r="FO65" s="37"/>
      <c r="FP65" s="37"/>
      <c r="FQ65" s="37"/>
      <c r="FR65" s="37"/>
      <c r="FS65" s="37"/>
      <c r="FT65" s="37"/>
      <c r="FU65" s="37"/>
      <c r="FV65" s="37"/>
      <c r="FW65" s="37"/>
      <c r="FX65" s="37"/>
      <c r="FY65" s="37"/>
      <c r="FZ65" s="37"/>
      <c r="GA65" s="37"/>
      <c r="GB65" s="37"/>
      <c r="GC65" s="37"/>
      <c r="GD65" s="37"/>
      <c r="GE65" s="37"/>
      <c r="GF65" s="37"/>
      <c r="GG65" s="37"/>
      <c r="GH65" s="37"/>
      <c r="GI65" s="37"/>
      <c r="GJ65" s="37"/>
      <c r="GK65" s="37"/>
      <c r="GL65" s="37"/>
      <c r="GM65" s="37"/>
      <c r="GN65" s="37"/>
      <c r="GO65" s="37"/>
      <c r="GP65" s="37"/>
      <c r="GQ65" s="37"/>
      <c r="GR65" s="37"/>
      <c r="GS65" s="37"/>
      <c r="GT65" s="37"/>
      <c r="GU65" s="37"/>
      <c r="GV65" s="37"/>
      <c r="GW65" s="37"/>
      <c r="GX65" s="37"/>
      <c r="GY65" s="37"/>
      <c r="GZ65" s="37"/>
      <c r="HA65" s="37"/>
      <c r="HB65" s="37"/>
      <c r="HC65" s="37"/>
      <c r="HD65" s="37"/>
      <c r="HE65" s="37"/>
      <c r="HF65" s="37"/>
      <c r="HG65" s="37"/>
      <c r="HH65" s="37"/>
      <c r="HI65" s="37"/>
      <c r="HJ65" s="37"/>
      <c r="HK65" s="37"/>
      <c r="HL65" s="37"/>
      <c r="HM65" s="37"/>
      <c r="HN65" s="37"/>
      <c r="HO65" s="37"/>
      <c r="HP65" s="37"/>
      <c r="HQ65" s="37"/>
      <c r="HR65" s="37"/>
      <c r="HS65" s="37"/>
      <c r="HT65" s="37"/>
      <c r="HU65" s="37"/>
      <c r="HV65" s="37"/>
      <c r="HW65" s="37"/>
      <c r="HX65" s="37"/>
      <c r="HY65" s="37"/>
      <c r="HZ65" s="37"/>
      <c r="IA65" s="37"/>
      <c r="IB65" s="37"/>
      <c r="IC65" s="37"/>
    </row>
    <row r="66" spans="1:237" s="40" customFormat="1" x14ac:dyDescent="0.2">
      <c r="A66" s="62"/>
      <c r="B66" s="63"/>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c r="BS66" s="37"/>
      <c r="BT66" s="37"/>
      <c r="BU66" s="37"/>
      <c r="BV66" s="37"/>
      <c r="BW66" s="37"/>
      <c r="BX66" s="37"/>
      <c r="BY66" s="37"/>
      <c r="BZ66" s="37"/>
      <c r="CA66" s="37"/>
      <c r="CB66" s="37"/>
      <c r="CC66" s="37"/>
      <c r="CD66" s="37"/>
      <c r="CE66" s="37"/>
      <c r="CF66" s="37"/>
      <c r="CG66" s="37"/>
      <c r="CH66" s="37"/>
      <c r="CI66" s="37"/>
      <c r="CJ66" s="37"/>
      <c r="CK66" s="37"/>
      <c r="CL66" s="37"/>
      <c r="CM66" s="37"/>
      <c r="CN66" s="37"/>
      <c r="CO66" s="37"/>
      <c r="CP66" s="37"/>
      <c r="CQ66" s="37"/>
      <c r="CR66" s="37"/>
      <c r="CS66" s="37"/>
      <c r="CT66" s="37"/>
      <c r="CU66" s="37"/>
      <c r="CV66" s="37"/>
      <c r="CW66" s="37"/>
      <c r="CX66" s="37"/>
      <c r="CY66" s="37"/>
      <c r="CZ66" s="37"/>
      <c r="DA66" s="37"/>
      <c r="DB66" s="37"/>
      <c r="DC66" s="37"/>
      <c r="DD66" s="37"/>
      <c r="DE66" s="37"/>
      <c r="DF66" s="37"/>
      <c r="DG66" s="37"/>
      <c r="DH66" s="37"/>
      <c r="DI66" s="37"/>
      <c r="DJ66" s="37"/>
      <c r="DK66" s="37"/>
      <c r="DL66" s="37"/>
      <c r="DM66" s="37"/>
      <c r="DN66" s="37"/>
      <c r="DO66" s="37"/>
      <c r="DP66" s="37"/>
      <c r="DQ66" s="37"/>
      <c r="DR66" s="37"/>
      <c r="DS66" s="37"/>
      <c r="DT66" s="37"/>
      <c r="DU66" s="37"/>
      <c r="DV66" s="37"/>
      <c r="DW66" s="37"/>
      <c r="DX66" s="37"/>
      <c r="DY66" s="37"/>
      <c r="DZ66" s="37"/>
      <c r="EA66" s="37"/>
      <c r="EB66" s="37"/>
      <c r="EC66" s="37"/>
      <c r="ED66" s="37"/>
      <c r="EE66" s="37"/>
      <c r="EF66" s="37"/>
      <c r="EG66" s="37"/>
      <c r="EH66" s="37"/>
      <c r="EI66" s="37"/>
      <c r="EJ66" s="37"/>
      <c r="EK66" s="37"/>
      <c r="EL66" s="37"/>
      <c r="EM66" s="37"/>
      <c r="EN66" s="37"/>
      <c r="EO66" s="37"/>
      <c r="EP66" s="37"/>
      <c r="EQ66" s="37"/>
      <c r="ER66" s="37"/>
      <c r="ES66" s="37"/>
      <c r="ET66" s="37"/>
      <c r="EU66" s="37"/>
      <c r="EV66" s="37"/>
      <c r="EW66" s="37"/>
      <c r="EX66" s="37"/>
      <c r="EY66" s="37"/>
      <c r="EZ66" s="37"/>
      <c r="FA66" s="37"/>
      <c r="FB66" s="37"/>
      <c r="FC66" s="37"/>
      <c r="FD66" s="37"/>
      <c r="FE66" s="37"/>
      <c r="FF66" s="37"/>
      <c r="FG66" s="37"/>
      <c r="FH66" s="37"/>
      <c r="FI66" s="37"/>
      <c r="FJ66" s="37"/>
      <c r="FK66" s="37"/>
      <c r="FL66" s="37"/>
      <c r="FM66" s="37"/>
      <c r="FN66" s="37"/>
      <c r="FO66" s="37"/>
      <c r="FP66" s="37"/>
      <c r="FQ66" s="37"/>
      <c r="FR66" s="37"/>
      <c r="FS66" s="37"/>
      <c r="FT66" s="37"/>
      <c r="FU66" s="37"/>
      <c r="FV66" s="37"/>
      <c r="FW66" s="37"/>
      <c r="FX66" s="37"/>
      <c r="FY66" s="37"/>
      <c r="FZ66" s="37"/>
      <c r="GA66" s="37"/>
      <c r="GB66" s="37"/>
      <c r="GC66" s="37"/>
      <c r="GD66" s="37"/>
      <c r="GE66" s="37"/>
      <c r="GF66" s="37"/>
      <c r="GG66" s="37"/>
      <c r="GH66" s="37"/>
      <c r="GI66" s="37"/>
      <c r="GJ66" s="37"/>
      <c r="GK66" s="37"/>
      <c r="GL66" s="37"/>
      <c r="GM66" s="37"/>
      <c r="GN66" s="37"/>
      <c r="GO66" s="37"/>
      <c r="GP66" s="37"/>
      <c r="GQ66" s="37"/>
      <c r="GR66" s="37"/>
      <c r="GS66" s="37"/>
      <c r="GT66" s="37"/>
      <c r="GU66" s="37"/>
      <c r="GV66" s="37"/>
      <c r="GW66" s="37"/>
      <c r="GX66" s="37"/>
      <c r="GY66" s="37"/>
      <c r="GZ66" s="37"/>
      <c r="HA66" s="37"/>
      <c r="HB66" s="37"/>
      <c r="HC66" s="37"/>
      <c r="HD66" s="37"/>
      <c r="HE66" s="37"/>
      <c r="HF66" s="37"/>
      <c r="HG66" s="37"/>
      <c r="HH66" s="37"/>
      <c r="HI66" s="37"/>
      <c r="HJ66" s="37"/>
      <c r="HK66" s="37"/>
      <c r="HL66" s="37"/>
      <c r="HM66" s="37"/>
      <c r="HN66" s="37"/>
      <c r="HO66" s="37"/>
      <c r="HP66" s="37"/>
      <c r="HQ66" s="37"/>
      <c r="HR66" s="37"/>
      <c r="HS66" s="37"/>
      <c r="HT66" s="37"/>
      <c r="HU66" s="37"/>
      <c r="HV66" s="37"/>
      <c r="HW66" s="37"/>
      <c r="HX66" s="37"/>
      <c r="HY66" s="37"/>
      <c r="HZ66" s="37"/>
      <c r="IA66" s="37"/>
      <c r="IB66" s="37"/>
      <c r="IC66" s="37"/>
    </row>
    <row r="67" spans="1:237" s="40" customFormat="1" x14ac:dyDescent="0.2">
      <c r="A67" s="62"/>
      <c r="B67" s="63"/>
      <c r="J67" s="37"/>
      <c r="K67" s="37"/>
      <c r="L67" s="37"/>
      <c r="M67" s="37"/>
      <c r="N67" s="37"/>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c r="CO67" s="37"/>
      <c r="CP67" s="37"/>
      <c r="CQ67" s="37"/>
      <c r="CR67" s="37"/>
      <c r="CS67" s="37"/>
      <c r="CT67" s="37"/>
      <c r="CU67" s="37"/>
      <c r="CV67" s="37"/>
      <c r="CW67" s="37"/>
      <c r="CX67" s="37"/>
      <c r="CY67" s="37"/>
      <c r="CZ67" s="37"/>
      <c r="DA67" s="37"/>
      <c r="DB67" s="37"/>
      <c r="DC67" s="37"/>
      <c r="DD67" s="37"/>
      <c r="DE67" s="37"/>
      <c r="DF67" s="37"/>
      <c r="DG67" s="37"/>
      <c r="DH67" s="37"/>
      <c r="DI67" s="37"/>
      <c r="DJ67" s="37"/>
      <c r="DK67" s="37"/>
      <c r="DL67" s="37"/>
      <c r="DM67" s="37"/>
      <c r="DN67" s="37"/>
      <c r="DO67" s="37"/>
      <c r="DP67" s="37"/>
      <c r="DQ67" s="37"/>
      <c r="DR67" s="37"/>
      <c r="DS67" s="37"/>
      <c r="DT67" s="37"/>
      <c r="DU67" s="37"/>
      <c r="DV67" s="37"/>
      <c r="DW67" s="37"/>
      <c r="DX67" s="37"/>
      <c r="DY67" s="37"/>
      <c r="DZ67" s="37"/>
      <c r="EA67" s="37"/>
      <c r="EB67" s="37"/>
      <c r="EC67" s="37"/>
      <c r="ED67" s="37"/>
      <c r="EE67" s="37"/>
      <c r="EF67" s="37"/>
      <c r="EG67" s="37"/>
      <c r="EH67" s="37"/>
      <c r="EI67" s="37"/>
      <c r="EJ67" s="37"/>
      <c r="EK67" s="37"/>
      <c r="EL67" s="37"/>
      <c r="EM67" s="37"/>
      <c r="EN67" s="37"/>
      <c r="EO67" s="37"/>
      <c r="EP67" s="37"/>
      <c r="EQ67" s="37"/>
      <c r="ER67" s="37"/>
      <c r="ES67" s="37"/>
      <c r="ET67" s="37"/>
      <c r="EU67" s="37"/>
      <c r="EV67" s="37"/>
      <c r="EW67" s="37"/>
      <c r="EX67" s="37"/>
      <c r="EY67" s="37"/>
      <c r="EZ67" s="37"/>
      <c r="FA67" s="37"/>
      <c r="FB67" s="37"/>
      <c r="FC67" s="37"/>
      <c r="FD67" s="37"/>
      <c r="FE67" s="37"/>
      <c r="FF67" s="37"/>
      <c r="FG67" s="37"/>
      <c r="FH67" s="37"/>
      <c r="FI67" s="37"/>
      <c r="FJ67" s="37"/>
      <c r="FK67" s="37"/>
      <c r="FL67" s="37"/>
      <c r="FM67" s="37"/>
      <c r="FN67" s="37"/>
      <c r="FO67" s="37"/>
      <c r="FP67" s="37"/>
      <c r="FQ67" s="37"/>
      <c r="FR67" s="37"/>
      <c r="FS67" s="37"/>
      <c r="FT67" s="37"/>
      <c r="FU67" s="37"/>
      <c r="FV67" s="37"/>
      <c r="FW67" s="37"/>
      <c r="FX67" s="37"/>
      <c r="FY67" s="37"/>
      <c r="FZ67" s="37"/>
      <c r="GA67" s="37"/>
      <c r="GB67" s="37"/>
      <c r="GC67" s="37"/>
      <c r="GD67" s="37"/>
      <c r="GE67" s="37"/>
      <c r="GF67" s="37"/>
      <c r="GG67" s="37"/>
      <c r="GH67" s="37"/>
      <c r="GI67" s="37"/>
      <c r="GJ67" s="37"/>
      <c r="GK67" s="37"/>
      <c r="GL67" s="37"/>
      <c r="GM67" s="37"/>
      <c r="GN67" s="37"/>
      <c r="GO67" s="37"/>
      <c r="GP67" s="37"/>
      <c r="GQ67" s="37"/>
      <c r="GR67" s="37"/>
      <c r="GS67" s="37"/>
      <c r="GT67" s="37"/>
      <c r="GU67" s="37"/>
      <c r="GV67" s="37"/>
      <c r="GW67" s="37"/>
      <c r="GX67" s="37"/>
      <c r="GY67" s="37"/>
      <c r="GZ67" s="37"/>
      <c r="HA67" s="37"/>
      <c r="HB67" s="37"/>
      <c r="HC67" s="37"/>
      <c r="HD67" s="37"/>
      <c r="HE67" s="37"/>
      <c r="HF67" s="37"/>
      <c r="HG67" s="37"/>
      <c r="HH67" s="37"/>
      <c r="HI67" s="37"/>
      <c r="HJ67" s="37"/>
      <c r="HK67" s="37"/>
      <c r="HL67" s="37"/>
      <c r="HM67" s="37"/>
      <c r="HN67" s="37"/>
      <c r="HO67" s="37"/>
      <c r="HP67" s="37"/>
      <c r="HQ67" s="37"/>
      <c r="HR67" s="37"/>
      <c r="HS67" s="37"/>
      <c r="HT67" s="37"/>
      <c r="HU67" s="37"/>
      <c r="HV67" s="37"/>
      <c r="HW67" s="37"/>
      <c r="HX67" s="37"/>
      <c r="HY67" s="37"/>
      <c r="HZ67" s="37"/>
      <c r="IA67" s="37"/>
      <c r="IB67" s="37"/>
      <c r="IC67" s="37"/>
    </row>
    <row r="68" spans="1:237" s="40" customFormat="1" x14ac:dyDescent="0.2">
      <c r="A68" s="62"/>
      <c r="B68" s="63"/>
      <c r="J68" s="37"/>
      <c r="K68" s="37"/>
      <c r="L68" s="37"/>
      <c r="M68" s="37"/>
      <c r="N68" s="37"/>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37"/>
      <c r="CE68" s="37"/>
      <c r="CF68" s="37"/>
      <c r="CG68" s="37"/>
      <c r="CH68" s="37"/>
      <c r="CI68" s="37"/>
      <c r="CJ68" s="37"/>
      <c r="CK68" s="37"/>
      <c r="CL68" s="37"/>
      <c r="CM68" s="37"/>
      <c r="CN68" s="37"/>
      <c r="CO68" s="37"/>
      <c r="CP68" s="37"/>
      <c r="CQ68" s="37"/>
      <c r="CR68" s="37"/>
      <c r="CS68" s="37"/>
      <c r="CT68" s="37"/>
      <c r="CU68" s="37"/>
      <c r="CV68" s="37"/>
      <c r="CW68" s="37"/>
      <c r="CX68" s="37"/>
      <c r="CY68" s="37"/>
      <c r="CZ68" s="37"/>
      <c r="DA68" s="37"/>
      <c r="DB68" s="37"/>
      <c r="DC68" s="37"/>
      <c r="DD68" s="37"/>
      <c r="DE68" s="37"/>
      <c r="DF68" s="37"/>
      <c r="DG68" s="37"/>
      <c r="DH68" s="37"/>
      <c r="DI68" s="37"/>
      <c r="DJ68" s="37"/>
      <c r="DK68" s="37"/>
      <c r="DL68" s="37"/>
      <c r="DM68" s="37"/>
      <c r="DN68" s="37"/>
      <c r="DO68" s="37"/>
      <c r="DP68" s="37"/>
      <c r="DQ68" s="37"/>
      <c r="DR68" s="37"/>
      <c r="DS68" s="37"/>
      <c r="DT68" s="37"/>
      <c r="DU68" s="37"/>
      <c r="DV68" s="37"/>
      <c r="DW68" s="37"/>
      <c r="DX68" s="37"/>
      <c r="DY68" s="37"/>
      <c r="DZ68" s="37"/>
      <c r="EA68" s="37"/>
      <c r="EB68" s="37"/>
      <c r="EC68" s="37"/>
      <c r="ED68" s="37"/>
      <c r="EE68" s="37"/>
      <c r="EF68" s="37"/>
      <c r="EG68" s="37"/>
      <c r="EH68" s="37"/>
      <c r="EI68" s="37"/>
      <c r="EJ68" s="37"/>
      <c r="EK68" s="37"/>
      <c r="EL68" s="37"/>
      <c r="EM68" s="37"/>
      <c r="EN68" s="37"/>
      <c r="EO68" s="37"/>
      <c r="EP68" s="37"/>
      <c r="EQ68" s="37"/>
      <c r="ER68" s="37"/>
      <c r="ES68" s="37"/>
      <c r="ET68" s="37"/>
      <c r="EU68" s="37"/>
      <c r="EV68" s="37"/>
      <c r="EW68" s="37"/>
      <c r="EX68" s="37"/>
      <c r="EY68" s="37"/>
      <c r="EZ68" s="37"/>
      <c r="FA68" s="37"/>
      <c r="FB68" s="37"/>
      <c r="FC68" s="37"/>
      <c r="FD68" s="37"/>
      <c r="FE68" s="37"/>
      <c r="FF68" s="37"/>
      <c r="FG68" s="37"/>
      <c r="FH68" s="37"/>
      <c r="FI68" s="37"/>
      <c r="FJ68" s="37"/>
      <c r="FK68" s="37"/>
      <c r="FL68" s="37"/>
      <c r="FM68" s="37"/>
      <c r="FN68" s="37"/>
      <c r="FO68" s="37"/>
      <c r="FP68" s="37"/>
      <c r="FQ68" s="37"/>
      <c r="FR68" s="37"/>
      <c r="FS68" s="37"/>
      <c r="FT68" s="37"/>
      <c r="FU68" s="37"/>
      <c r="FV68" s="37"/>
      <c r="FW68" s="37"/>
      <c r="FX68" s="37"/>
      <c r="FY68" s="37"/>
      <c r="FZ68" s="37"/>
      <c r="GA68" s="37"/>
      <c r="GB68" s="37"/>
      <c r="GC68" s="37"/>
      <c r="GD68" s="37"/>
      <c r="GE68" s="37"/>
      <c r="GF68" s="37"/>
      <c r="GG68" s="37"/>
      <c r="GH68" s="37"/>
      <c r="GI68" s="37"/>
      <c r="GJ68" s="37"/>
      <c r="GK68" s="37"/>
      <c r="GL68" s="37"/>
      <c r="GM68" s="37"/>
      <c r="GN68" s="37"/>
      <c r="GO68" s="37"/>
      <c r="GP68" s="37"/>
      <c r="GQ68" s="37"/>
      <c r="GR68" s="37"/>
      <c r="GS68" s="37"/>
      <c r="GT68" s="37"/>
      <c r="GU68" s="37"/>
      <c r="GV68" s="37"/>
      <c r="GW68" s="37"/>
      <c r="GX68" s="37"/>
      <c r="GY68" s="37"/>
      <c r="GZ68" s="37"/>
      <c r="HA68" s="37"/>
      <c r="HB68" s="37"/>
      <c r="HC68" s="37"/>
      <c r="HD68" s="37"/>
      <c r="HE68" s="37"/>
      <c r="HF68" s="37"/>
      <c r="HG68" s="37"/>
      <c r="HH68" s="37"/>
      <c r="HI68" s="37"/>
      <c r="HJ68" s="37"/>
      <c r="HK68" s="37"/>
      <c r="HL68" s="37"/>
      <c r="HM68" s="37"/>
      <c r="HN68" s="37"/>
      <c r="HO68" s="37"/>
      <c r="HP68" s="37"/>
      <c r="HQ68" s="37"/>
      <c r="HR68" s="37"/>
      <c r="HS68" s="37"/>
      <c r="HT68" s="37"/>
      <c r="HU68" s="37"/>
      <c r="HV68" s="37"/>
      <c r="HW68" s="37"/>
      <c r="HX68" s="37"/>
      <c r="HY68" s="37"/>
      <c r="HZ68" s="37"/>
      <c r="IA68" s="37"/>
      <c r="IB68" s="37"/>
      <c r="IC68" s="37"/>
    </row>
    <row r="69" spans="1:237" s="40" customFormat="1" x14ac:dyDescent="0.2">
      <c r="A69" s="62"/>
      <c r="B69" s="63"/>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K69" s="37"/>
      <c r="DL69" s="37"/>
      <c r="DM69" s="37"/>
      <c r="DN69" s="37"/>
      <c r="DO69" s="37"/>
      <c r="DP69" s="37"/>
      <c r="DQ69" s="37"/>
      <c r="DR69" s="37"/>
      <c r="DS69" s="37"/>
      <c r="DT69" s="37"/>
      <c r="DU69" s="37"/>
      <c r="DV69" s="37"/>
      <c r="DW69" s="37"/>
      <c r="DX69" s="37"/>
      <c r="DY69" s="37"/>
      <c r="DZ69" s="37"/>
      <c r="EA69" s="37"/>
      <c r="EB69" s="37"/>
      <c r="EC69" s="37"/>
      <c r="ED69" s="37"/>
      <c r="EE69" s="37"/>
      <c r="EF69" s="37"/>
      <c r="EG69" s="37"/>
      <c r="EH69" s="37"/>
      <c r="EI69" s="37"/>
      <c r="EJ69" s="37"/>
      <c r="EK69" s="37"/>
      <c r="EL69" s="37"/>
      <c r="EM69" s="37"/>
      <c r="EN69" s="37"/>
      <c r="EO69" s="37"/>
      <c r="EP69" s="37"/>
      <c r="EQ69" s="37"/>
      <c r="ER69" s="37"/>
      <c r="ES69" s="37"/>
      <c r="ET69" s="37"/>
      <c r="EU69" s="37"/>
      <c r="EV69" s="37"/>
      <c r="EW69" s="37"/>
      <c r="EX69" s="37"/>
      <c r="EY69" s="37"/>
      <c r="EZ69" s="37"/>
      <c r="FA69" s="37"/>
      <c r="FB69" s="37"/>
      <c r="FC69" s="37"/>
      <c r="FD69" s="37"/>
      <c r="FE69" s="37"/>
      <c r="FF69" s="37"/>
      <c r="FG69" s="37"/>
      <c r="FH69" s="37"/>
      <c r="FI69" s="37"/>
      <c r="FJ69" s="37"/>
      <c r="FK69" s="37"/>
      <c r="FL69" s="37"/>
      <c r="FM69" s="37"/>
      <c r="FN69" s="37"/>
      <c r="FO69" s="37"/>
      <c r="FP69" s="37"/>
      <c r="FQ69" s="37"/>
      <c r="FR69" s="37"/>
      <c r="FS69" s="37"/>
      <c r="FT69" s="37"/>
      <c r="FU69" s="37"/>
      <c r="FV69" s="37"/>
      <c r="FW69" s="37"/>
      <c r="FX69" s="37"/>
      <c r="FY69" s="37"/>
      <c r="FZ69" s="37"/>
      <c r="GA69" s="37"/>
      <c r="GB69" s="37"/>
      <c r="GC69" s="37"/>
      <c r="GD69" s="37"/>
      <c r="GE69" s="37"/>
      <c r="GF69" s="37"/>
      <c r="GG69" s="37"/>
      <c r="GH69" s="37"/>
      <c r="GI69" s="37"/>
      <c r="GJ69" s="37"/>
      <c r="GK69" s="37"/>
      <c r="GL69" s="37"/>
      <c r="GM69" s="37"/>
      <c r="GN69" s="37"/>
      <c r="GO69" s="37"/>
      <c r="GP69" s="37"/>
      <c r="GQ69" s="37"/>
      <c r="GR69" s="37"/>
      <c r="GS69" s="37"/>
      <c r="GT69" s="37"/>
      <c r="GU69" s="37"/>
      <c r="GV69" s="37"/>
      <c r="GW69" s="37"/>
      <c r="GX69" s="37"/>
      <c r="GY69" s="37"/>
      <c r="GZ69" s="37"/>
      <c r="HA69" s="37"/>
      <c r="HB69" s="37"/>
      <c r="HC69" s="37"/>
      <c r="HD69" s="37"/>
      <c r="HE69" s="37"/>
      <c r="HF69" s="37"/>
      <c r="HG69" s="37"/>
      <c r="HH69" s="37"/>
      <c r="HI69" s="37"/>
      <c r="HJ69" s="37"/>
      <c r="HK69" s="37"/>
      <c r="HL69" s="37"/>
      <c r="HM69" s="37"/>
      <c r="HN69" s="37"/>
      <c r="HO69" s="37"/>
      <c r="HP69" s="37"/>
      <c r="HQ69" s="37"/>
      <c r="HR69" s="37"/>
      <c r="HS69" s="37"/>
      <c r="HT69" s="37"/>
      <c r="HU69" s="37"/>
      <c r="HV69" s="37"/>
      <c r="HW69" s="37"/>
      <c r="HX69" s="37"/>
      <c r="HY69" s="37"/>
      <c r="HZ69" s="37"/>
      <c r="IA69" s="37"/>
      <c r="IB69" s="37"/>
      <c r="IC69" s="37"/>
    </row>
    <row r="70" spans="1:237" s="40" customFormat="1" x14ac:dyDescent="0.2">
      <c r="A70" s="62"/>
      <c r="B70" s="63"/>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7"/>
      <c r="CF70" s="37"/>
      <c r="CG70" s="37"/>
      <c r="CH70" s="37"/>
      <c r="CI70" s="37"/>
      <c r="CJ70" s="37"/>
      <c r="CK70" s="37"/>
      <c r="CL70" s="37"/>
      <c r="CM70" s="37"/>
      <c r="CN70" s="37"/>
      <c r="CO70" s="37"/>
      <c r="CP70" s="37"/>
      <c r="CQ70" s="37"/>
      <c r="CR70" s="37"/>
      <c r="CS70" s="37"/>
      <c r="CT70" s="37"/>
      <c r="CU70" s="37"/>
      <c r="CV70" s="37"/>
      <c r="CW70" s="37"/>
      <c r="CX70" s="37"/>
      <c r="CY70" s="37"/>
      <c r="CZ70" s="37"/>
      <c r="DA70" s="37"/>
      <c r="DB70" s="37"/>
      <c r="DC70" s="37"/>
      <c r="DD70" s="37"/>
      <c r="DE70" s="37"/>
      <c r="DF70" s="37"/>
      <c r="DG70" s="37"/>
      <c r="DH70" s="37"/>
      <c r="DI70" s="37"/>
      <c r="DJ70" s="37"/>
      <c r="DK70" s="37"/>
      <c r="DL70" s="37"/>
      <c r="DM70" s="37"/>
      <c r="DN70" s="37"/>
      <c r="DO70" s="37"/>
      <c r="DP70" s="37"/>
      <c r="DQ70" s="37"/>
      <c r="DR70" s="37"/>
      <c r="DS70" s="37"/>
      <c r="DT70" s="37"/>
      <c r="DU70" s="37"/>
      <c r="DV70" s="37"/>
      <c r="DW70" s="37"/>
      <c r="DX70" s="37"/>
      <c r="DY70" s="37"/>
      <c r="DZ70" s="37"/>
      <c r="EA70" s="37"/>
      <c r="EB70" s="37"/>
      <c r="EC70" s="37"/>
      <c r="ED70" s="37"/>
      <c r="EE70" s="37"/>
      <c r="EF70" s="37"/>
      <c r="EG70" s="37"/>
      <c r="EH70" s="37"/>
      <c r="EI70" s="37"/>
      <c r="EJ70" s="37"/>
      <c r="EK70" s="37"/>
      <c r="EL70" s="37"/>
      <c r="EM70" s="37"/>
      <c r="EN70" s="37"/>
      <c r="EO70" s="37"/>
      <c r="EP70" s="37"/>
      <c r="EQ70" s="37"/>
      <c r="ER70" s="37"/>
      <c r="ES70" s="37"/>
      <c r="ET70" s="37"/>
      <c r="EU70" s="37"/>
      <c r="EV70" s="37"/>
      <c r="EW70" s="37"/>
      <c r="EX70" s="37"/>
      <c r="EY70" s="37"/>
      <c r="EZ70" s="37"/>
      <c r="FA70" s="37"/>
      <c r="FB70" s="37"/>
      <c r="FC70" s="37"/>
      <c r="FD70" s="37"/>
      <c r="FE70" s="37"/>
      <c r="FF70" s="37"/>
      <c r="FG70" s="37"/>
      <c r="FH70" s="37"/>
      <c r="FI70" s="37"/>
      <c r="FJ70" s="37"/>
      <c r="FK70" s="37"/>
      <c r="FL70" s="37"/>
      <c r="FM70" s="37"/>
      <c r="FN70" s="37"/>
      <c r="FO70" s="37"/>
      <c r="FP70" s="37"/>
      <c r="FQ70" s="37"/>
      <c r="FR70" s="37"/>
      <c r="FS70" s="37"/>
      <c r="FT70" s="37"/>
      <c r="FU70" s="37"/>
      <c r="FV70" s="37"/>
      <c r="FW70" s="37"/>
      <c r="FX70" s="37"/>
      <c r="FY70" s="37"/>
      <c r="FZ70" s="37"/>
      <c r="GA70" s="37"/>
      <c r="GB70" s="37"/>
      <c r="GC70" s="37"/>
      <c r="GD70" s="37"/>
      <c r="GE70" s="37"/>
      <c r="GF70" s="37"/>
      <c r="GG70" s="37"/>
      <c r="GH70" s="37"/>
      <c r="GI70" s="37"/>
      <c r="GJ70" s="37"/>
      <c r="GK70" s="37"/>
      <c r="GL70" s="37"/>
      <c r="GM70" s="37"/>
      <c r="GN70" s="37"/>
      <c r="GO70" s="37"/>
      <c r="GP70" s="37"/>
      <c r="GQ70" s="37"/>
      <c r="GR70" s="37"/>
      <c r="GS70" s="37"/>
      <c r="GT70" s="37"/>
      <c r="GU70" s="37"/>
      <c r="GV70" s="37"/>
      <c r="GW70" s="37"/>
      <c r="GX70" s="37"/>
      <c r="GY70" s="37"/>
      <c r="GZ70" s="37"/>
      <c r="HA70" s="37"/>
      <c r="HB70" s="37"/>
      <c r="HC70" s="37"/>
      <c r="HD70" s="37"/>
      <c r="HE70" s="37"/>
      <c r="HF70" s="37"/>
      <c r="HG70" s="37"/>
      <c r="HH70" s="37"/>
      <c r="HI70" s="37"/>
      <c r="HJ70" s="37"/>
      <c r="HK70" s="37"/>
      <c r="HL70" s="37"/>
      <c r="HM70" s="37"/>
      <c r="HN70" s="37"/>
      <c r="HO70" s="37"/>
      <c r="HP70" s="37"/>
      <c r="HQ70" s="37"/>
      <c r="HR70" s="37"/>
      <c r="HS70" s="37"/>
      <c r="HT70" s="37"/>
      <c r="HU70" s="37"/>
      <c r="HV70" s="37"/>
      <c r="HW70" s="37"/>
      <c r="HX70" s="37"/>
      <c r="HY70" s="37"/>
      <c r="HZ70" s="37"/>
      <c r="IA70" s="37"/>
      <c r="IB70" s="37"/>
      <c r="IC70" s="37"/>
    </row>
    <row r="71" spans="1:237" s="40" customFormat="1" x14ac:dyDescent="0.2">
      <c r="A71" s="62"/>
      <c r="B71" s="63"/>
      <c r="J71" s="37"/>
      <c r="K71" s="37"/>
      <c r="L71" s="37"/>
      <c r="M71" s="3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37"/>
      <c r="BL71" s="37"/>
      <c r="BM71" s="37"/>
      <c r="BN71" s="37"/>
      <c r="BO71" s="37"/>
      <c r="BP71" s="37"/>
      <c r="BQ71" s="37"/>
      <c r="BR71" s="37"/>
      <c r="BS71" s="37"/>
      <c r="BT71" s="37"/>
      <c r="BU71" s="37"/>
      <c r="BV71" s="37"/>
      <c r="BW71" s="37"/>
      <c r="BX71" s="37"/>
      <c r="BY71" s="37"/>
      <c r="BZ71" s="37"/>
      <c r="CA71" s="37"/>
      <c r="CB71" s="37"/>
      <c r="CC71" s="37"/>
      <c r="CD71" s="37"/>
      <c r="CE71" s="37"/>
      <c r="CF71" s="37"/>
      <c r="CG71" s="37"/>
      <c r="CH71" s="37"/>
      <c r="CI71" s="37"/>
      <c r="CJ71" s="37"/>
      <c r="CK71" s="37"/>
      <c r="CL71" s="37"/>
      <c r="CM71" s="37"/>
      <c r="CN71" s="37"/>
      <c r="CO71" s="37"/>
      <c r="CP71" s="37"/>
      <c r="CQ71" s="37"/>
      <c r="CR71" s="37"/>
      <c r="CS71" s="37"/>
      <c r="CT71" s="37"/>
      <c r="CU71" s="37"/>
      <c r="CV71" s="37"/>
      <c r="CW71" s="37"/>
      <c r="CX71" s="37"/>
      <c r="CY71" s="37"/>
      <c r="CZ71" s="37"/>
      <c r="DA71" s="37"/>
      <c r="DB71" s="37"/>
      <c r="DC71" s="37"/>
      <c r="DD71" s="37"/>
      <c r="DE71" s="37"/>
      <c r="DF71" s="37"/>
      <c r="DG71" s="37"/>
      <c r="DH71" s="37"/>
      <c r="DI71" s="37"/>
      <c r="DJ71" s="37"/>
      <c r="DK71" s="37"/>
      <c r="DL71" s="37"/>
      <c r="DM71" s="37"/>
      <c r="DN71" s="37"/>
      <c r="DO71" s="37"/>
      <c r="DP71" s="37"/>
      <c r="DQ71" s="37"/>
      <c r="DR71" s="37"/>
      <c r="DS71" s="37"/>
      <c r="DT71" s="37"/>
      <c r="DU71" s="37"/>
      <c r="DV71" s="37"/>
      <c r="DW71" s="37"/>
      <c r="DX71" s="37"/>
      <c r="DY71" s="37"/>
      <c r="DZ71" s="37"/>
      <c r="EA71" s="37"/>
      <c r="EB71" s="37"/>
      <c r="EC71" s="37"/>
      <c r="ED71" s="37"/>
      <c r="EE71" s="37"/>
      <c r="EF71" s="37"/>
      <c r="EG71" s="37"/>
      <c r="EH71" s="37"/>
      <c r="EI71" s="37"/>
      <c r="EJ71" s="37"/>
      <c r="EK71" s="37"/>
      <c r="EL71" s="37"/>
      <c r="EM71" s="37"/>
      <c r="EN71" s="37"/>
      <c r="EO71" s="37"/>
      <c r="EP71" s="37"/>
      <c r="EQ71" s="37"/>
      <c r="ER71" s="37"/>
      <c r="ES71" s="37"/>
      <c r="ET71" s="37"/>
      <c r="EU71" s="37"/>
      <c r="EV71" s="37"/>
      <c r="EW71" s="37"/>
      <c r="EX71" s="37"/>
      <c r="EY71" s="37"/>
      <c r="EZ71" s="37"/>
      <c r="FA71" s="37"/>
      <c r="FB71" s="37"/>
      <c r="FC71" s="37"/>
      <c r="FD71" s="37"/>
      <c r="FE71" s="37"/>
      <c r="FF71" s="37"/>
      <c r="FG71" s="37"/>
      <c r="FH71" s="37"/>
      <c r="FI71" s="37"/>
      <c r="FJ71" s="37"/>
      <c r="FK71" s="37"/>
      <c r="FL71" s="37"/>
      <c r="FM71" s="37"/>
      <c r="FN71" s="37"/>
      <c r="FO71" s="37"/>
      <c r="FP71" s="37"/>
      <c r="FQ71" s="37"/>
      <c r="FR71" s="37"/>
      <c r="FS71" s="37"/>
      <c r="FT71" s="37"/>
      <c r="FU71" s="37"/>
      <c r="FV71" s="37"/>
      <c r="FW71" s="37"/>
      <c r="FX71" s="37"/>
      <c r="FY71" s="37"/>
      <c r="FZ71" s="37"/>
      <c r="GA71" s="37"/>
      <c r="GB71" s="37"/>
      <c r="GC71" s="37"/>
      <c r="GD71" s="37"/>
      <c r="GE71" s="37"/>
      <c r="GF71" s="37"/>
      <c r="GG71" s="37"/>
      <c r="GH71" s="37"/>
      <c r="GI71" s="37"/>
      <c r="GJ71" s="37"/>
      <c r="GK71" s="37"/>
      <c r="GL71" s="37"/>
      <c r="GM71" s="37"/>
      <c r="GN71" s="37"/>
      <c r="GO71" s="37"/>
      <c r="GP71" s="37"/>
      <c r="GQ71" s="37"/>
      <c r="GR71" s="37"/>
      <c r="GS71" s="37"/>
      <c r="GT71" s="37"/>
      <c r="GU71" s="37"/>
      <c r="GV71" s="37"/>
      <c r="GW71" s="37"/>
      <c r="GX71" s="37"/>
      <c r="GY71" s="37"/>
      <c r="GZ71" s="37"/>
      <c r="HA71" s="37"/>
      <c r="HB71" s="37"/>
      <c r="HC71" s="37"/>
      <c r="HD71" s="37"/>
      <c r="HE71" s="37"/>
      <c r="HF71" s="37"/>
      <c r="HG71" s="37"/>
      <c r="HH71" s="37"/>
      <c r="HI71" s="37"/>
      <c r="HJ71" s="37"/>
      <c r="HK71" s="37"/>
      <c r="HL71" s="37"/>
      <c r="HM71" s="37"/>
      <c r="HN71" s="37"/>
      <c r="HO71" s="37"/>
      <c r="HP71" s="37"/>
      <c r="HQ71" s="37"/>
      <c r="HR71" s="37"/>
      <c r="HS71" s="37"/>
      <c r="HT71" s="37"/>
      <c r="HU71" s="37"/>
      <c r="HV71" s="37"/>
      <c r="HW71" s="37"/>
      <c r="HX71" s="37"/>
      <c r="HY71" s="37"/>
      <c r="HZ71" s="37"/>
      <c r="IA71" s="37"/>
      <c r="IB71" s="37"/>
      <c r="IC71" s="37"/>
    </row>
    <row r="72" spans="1:237" s="40" customFormat="1" x14ac:dyDescent="0.2">
      <c r="A72" s="62"/>
      <c r="B72" s="63"/>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K72" s="37"/>
      <c r="DL72" s="37"/>
      <c r="DM72" s="37"/>
      <c r="DN72" s="37"/>
      <c r="DO72" s="37"/>
      <c r="DP72" s="37"/>
      <c r="DQ72" s="37"/>
      <c r="DR72" s="37"/>
      <c r="DS72" s="37"/>
      <c r="DT72" s="37"/>
      <c r="DU72" s="37"/>
      <c r="DV72" s="37"/>
      <c r="DW72" s="37"/>
      <c r="DX72" s="37"/>
      <c r="DY72" s="37"/>
      <c r="DZ72" s="37"/>
      <c r="EA72" s="37"/>
      <c r="EB72" s="37"/>
      <c r="EC72" s="37"/>
      <c r="ED72" s="37"/>
      <c r="EE72" s="37"/>
      <c r="EF72" s="37"/>
      <c r="EG72" s="37"/>
      <c r="EH72" s="37"/>
      <c r="EI72" s="37"/>
      <c r="EJ72" s="37"/>
      <c r="EK72" s="37"/>
      <c r="EL72" s="37"/>
      <c r="EM72" s="37"/>
      <c r="EN72" s="37"/>
      <c r="EO72" s="37"/>
      <c r="EP72" s="37"/>
      <c r="EQ72" s="37"/>
      <c r="ER72" s="37"/>
      <c r="ES72" s="37"/>
      <c r="ET72" s="37"/>
      <c r="EU72" s="37"/>
      <c r="EV72" s="37"/>
      <c r="EW72" s="37"/>
      <c r="EX72" s="37"/>
      <c r="EY72" s="37"/>
      <c r="EZ72" s="37"/>
      <c r="FA72" s="37"/>
      <c r="FB72" s="37"/>
      <c r="FC72" s="37"/>
      <c r="FD72" s="37"/>
      <c r="FE72" s="37"/>
      <c r="FF72" s="37"/>
      <c r="FG72" s="37"/>
      <c r="FH72" s="37"/>
      <c r="FI72" s="37"/>
      <c r="FJ72" s="37"/>
      <c r="FK72" s="37"/>
      <c r="FL72" s="37"/>
      <c r="FM72" s="37"/>
      <c r="FN72" s="37"/>
      <c r="FO72" s="37"/>
      <c r="FP72" s="37"/>
      <c r="FQ72" s="37"/>
      <c r="FR72" s="37"/>
      <c r="FS72" s="37"/>
      <c r="FT72" s="37"/>
      <c r="FU72" s="37"/>
      <c r="FV72" s="37"/>
      <c r="FW72" s="37"/>
      <c r="FX72" s="37"/>
      <c r="FY72" s="37"/>
      <c r="FZ72" s="37"/>
      <c r="GA72" s="37"/>
      <c r="GB72" s="37"/>
      <c r="GC72" s="37"/>
      <c r="GD72" s="37"/>
      <c r="GE72" s="37"/>
      <c r="GF72" s="37"/>
      <c r="GG72" s="37"/>
      <c r="GH72" s="37"/>
      <c r="GI72" s="37"/>
      <c r="GJ72" s="37"/>
      <c r="GK72" s="37"/>
      <c r="GL72" s="37"/>
      <c r="GM72" s="37"/>
      <c r="GN72" s="37"/>
      <c r="GO72" s="37"/>
      <c r="GP72" s="37"/>
      <c r="GQ72" s="37"/>
      <c r="GR72" s="37"/>
      <c r="GS72" s="37"/>
      <c r="GT72" s="37"/>
      <c r="GU72" s="37"/>
      <c r="GV72" s="37"/>
      <c r="GW72" s="37"/>
      <c r="GX72" s="37"/>
      <c r="GY72" s="37"/>
      <c r="GZ72" s="37"/>
      <c r="HA72" s="37"/>
      <c r="HB72" s="37"/>
      <c r="HC72" s="37"/>
      <c r="HD72" s="37"/>
      <c r="HE72" s="37"/>
      <c r="HF72" s="37"/>
      <c r="HG72" s="37"/>
      <c r="HH72" s="37"/>
      <c r="HI72" s="37"/>
      <c r="HJ72" s="37"/>
      <c r="HK72" s="37"/>
      <c r="HL72" s="37"/>
      <c r="HM72" s="37"/>
      <c r="HN72" s="37"/>
      <c r="HO72" s="37"/>
      <c r="HP72" s="37"/>
      <c r="HQ72" s="37"/>
      <c r="HR72" s="37"/>
      <c r="HS72" s="37"/>
      <c r="HT72" s="37"/>
      <c r="HU72" s="37"/>
      <c r="HV72" s="37"/>
      <c r="HW72" s="37"/>
      <c r="HX72" s="37"/>
      <c r="HY72" s="37"/>
      <c r="HZ72" s="37"/>
      <c r="IA72" s="37"/>
      <c r="IB72" s="37"/>
      <c r="IC72" s="37"/>
    </row>
    <row r="73" spans="1:237" s="40" customFormat="1" x14ac:dyDescent="0.2">
      <c r="A73" s="62"/>
      <c r="B73" s="63"/>
      <c r="J73" s="37"/>
      <c r="K73" s="37"/>
      <c r="L73" s="37"/>
      <c r="M73" s="3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c r="CF73" s="37"/>
      <c r="CG73" s="37"/>
      <c r="CH73" s="37"/>
      <c r="CI73" s="37"/>
      <c r="CJ73" s="37"/>
      <c r="CK73" s="37"/>
      <c r="CL73" s="37"/>
      <c r="CM73" s="37"/>
      <c r="CN73" s="37"/>
      <c r="CO73" s="37"/>
      <c r="CP73" s="37"/>
      <c r="CQ73" s="37"/>
      <c r="CR73" s="37"/>
      <c r="CS73" s="37"/>
      <c r="CT73" s="37"/>
      <c r="CU73" s="37"/>
      <c r="CV73" s="37"/>
      <c r="CW73" s="37"/>
      <c r="CX73" s="37"/>
      <c r="CY73" s="37"/>
      <c r="CZ73" s="37"/>
      <c r="DA73" s="37"/>
      <c r="DB73" s="37"/>
      <c r="DC73" s="37"/>
      <c r="DD73" s="37"/>
      <c r="DE73" s="37"/>
      <c r="DF73" s="37"/>
      <c r="DG73" s="37"/>
      <c r="DH73" s="37"/>
      <c r="DI73" s="37"/>
      <c r="DJ73" s="37"/>
      <c r="DK73" s="37"/>
      <c r="DL73" s="37"/>
      <c r="DM73" s="37"/>
      <c r="DN73" s="37"/>
      <c r="DO73" s="37"/>
      <c r="DP73" s="37"/>
      <c r="DQ73" s="37"/>
      <c r="DR73" s="37"/>
      <c r="DS73" s="37"/>
      <c r="DT73" s="37"/>
      <c r="DU73" s="37"/>
      <c r="DV73" s="37"/>
      <c r="DW73" s="37"/>
      <c r="DX73" s="37"/>
      <c r="DY73" s="37"/>
      <c r="DZ73" s="37"/>
      <c r="EA73" s="37"/>
      <c r="EB73" s="37"/>
      <c r="EC73" s="37"/>
      <c r="ED73" s="37"/>
      <c r="EE73" s="37"/>
      <c r="EF73" s="37"/>
      <c r="EG73" s="37"/>
      <c r="EH73" s="37"/>
      <c r="EI73" s="37"/>
      <c r="EJ73" s="37"/>
      <c r="EK73" s="37"/>
      <c r="EL73" s="37"/>
      <c r="EM73" s="37"/>
      <c r="EN73" s="37"/>
      <c r="EO73" s="37"/>
      <c r="EP73" s="37"/>
      <c r="EQ73" s="37"/>
      <c r="ER73" s="37"/>
      <c r="ES73" s="37"/>
      <c r="ET73" s="37"/>
      <c r="EU73" s="37"/>
      <c r="EV73" s="37"/>
      <c r="EW73" s="37"/>
      <c r="EX73" s="37"/>
      <c r="EY73" s="37"/>
      <c r="EZ73" s="37"/>
      <c r="FA73" s="37"/>
      <c r="FB73" s="37"/>
      <c r="FC73" s="37"/>
      <c r="FD73" s="37"/>
      <c r="FE73" s="37"/>
      <c r="FF73" s="37"/>
      <c r="FG73" s="37"/>
      <c r="FH73" s="37"/>
      <c r="FI73" s="37"/>
      <c r="FJ73" s="37"/>
      <c r="FK73" s="37"/>
      <c r="FL73" s="37"/>
      <c r="FM73" s="37"/>
      <c r="FN73" s="37"/>
      <c r="FO73" s="37"/>
      <c r="FP73" s="37"/>
      <c r="FQ73" s="37"/>
      <c r="FR73" s="37"/>
      <c r="FS73" s="37"/>
      <c r="FT73" s="37"/>
      <c r="FU73" s="37"/>
      <c r="FV73" s="37"/>
      <c r="FW73" s="37"/>
      <c r="FX73" s="37"/>
      <c r="FY73" s="37"/>
      <c r="FZ73" s="37"/>
      <c r="GA73" s="37"/>
      <c r="GB73" s="37"/>
      <c r="GC73" s="37"/>
      <c r="GD73" s="37"/>
      <c r="GE73" s="37"/>
      <c r="GF73" s="37"/>
      <c r="GG73" s="37"/>
      <c r="GH73" s="37"/>
      <c r="GI73" s="37"/>
      <c r="GJ73" s="37"/>
      <c r="GK73" s="37"/>
      <c r="GL73" s="37"/>
      <c r="GM73" s="37"/>
      <c r="GN73" s="37"/>
      <c r="GO73" s="37"/>
      <c r="GP73" s="37"/>
      <c r="GQ73" s="37"/>
      <c r="GR73" s="37"/>
      <c r="GS73" s="37"/>
      <c r="GT73" s="37"/>
      <c r="GU73" s="37"/>
      <c r="GV73" s="37"/>
      <c r="GW73" s="37"/>
      <c r="GX73" s="37"/>
      <c r="GY73" s="37"/>
      <c r="GZ73" s="37"/>
      <c r="HA73" s="37"/>
      <c r="HB73" s="37"/>
      <c r="HC73" s="37"/>
      <c r="HD73" s="37"/>
      <c r="HE73" s="37"/>
      <c r="HF73" s="37"/>
      <c r="HG73" s="37"/>
      <c r="HH73" s="37"/>
      <c r="HI73" s="37"/>
      <c r="HJ73" s="37"/>
      <c r="HK73" s="37"/>
      <c r="HL73" s="37"/>
      <c r="HM73" s="37"/>
      <c r="HN73" s="37"/>
      <c r="HO73" s="37"/>
      <c r="HP73" s="37"/>
      <c r="HQ73" s="37"/>
      <c r="HR73" s="37"/>
      <c r="HS73" s="37"/>
      <c r="HT73" s="37"/>
      <c r="HU73" s="37"/>
      <c r="HV73" s="37"/>
      <c r="HW73" s="37"/>
      <c r="HX73" s="37"/>
      <c r="HY73" s="37"/>
      <c r="HZ73" s="37"/>
      <c r="IA73" s="37"/>
      <c r="IB73" s="37"/>
      <c r="IC73" s="37"/>
    </row>
    <row r="74" spans="1:237" s="40" customFormat="1" x14ac:dyDescent="0.2">
      <c r="A74" s="62"/>
      <c r="B74" s="63"/>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c r="CA74" s="37"/>
      <c r="CB74" s="37"/>
      <c r="CC74" s="37"/>
      <c r="CD74" s="37"/>
      <c r="CE74" s="37"/>
      <c r="CF74" s="37"/>
      <c r="CG74" s="37"/>
      <c r="CH74" s="37"/>
      <c r="CI74" s="37"/>
      <c r="CJ74" s="37"/>
      <c r="CK74" s="37"/>
      <c r="CL74" s="37"/>
      <c r="CM74" s="37"/>
      <c r="CN74" s="37"/>
      <c r="CO74" s="37"/>
      <c r="CP74" s="37"/>
      <c r="CQ74" s="37"/>
      <c r="CR74" s="37"/>
      <c r="CS74" s="37"/>
      <c r="CT74" s="37"/>
      <c r="CU74" s="37"/>
      <c r="CV74" s="37"/>
      <c r="CW74" s="37"/>
      <c r="CX74" s="37"/>
      <c r="CY74" s="37"/>
      <c r="CZ74" s="37"/>
      <c r="DA74" s="37"/>
      <c r="DB74" s="37"/>
      <c r="DC74" s="37"/>
      <c r="DD74" s="37"/>
      <c r="DE74" s="37"/>
      <c r="DF74" s="37"/>
      <c r="DG74" s="37"/>
      <c r="DH74" s="37"/>
      <c r="DI74" s="37"/>
      <c r="DJ74" s="37"/>
      <c r="DK74" s="37"/>
      <c r="DL74" s="37"/>
      <c r="DM74" s="37"/>
      <c r="DN74" s="37"/>
      <c r="DO74" s="37"/>
      <c r="DP74" s="37"/>
      <c r="DQ74" s="37"/>
      <c r="DR74" s="37"/>
      <c r="DS74" s="37"/>
      <c r="DT74" s="37"/>
      <c r="DU74" s="37"/>
      <c r="DV74" s="37"/>
      <c r="DW74" s="37"/>
      <c r="DX74" s="37"/>
      <c r="DY74" s="37"/>
      <c r="DZ74" s="37"/>
      <c r="EA74" s="37"/>
      <c r="EB74" s="37"/>
      <c r="EC74" s="37"/>
      <c r="ED74" s="37"/>
      <c r="EE74" s="37"/>
      <c r="EF74" s="37"/>
      <c r="EG74" s="37"/>
      <c r="EH74" s="37"/>
      <c r="EI74" s="37"/>
      <c r="EJ74" s="37"/>
      <c r="EK74" s="37"/>
      <c r="EL74" s="37"/>
      <c r="EM74" s="37"/>
      <c r="EN74" s="37"/>
      <c r="EO74" s="37"/>
      <c r="EP74" s="37"/>
      <c r="EQ74" s="37"/>
      <c r="ER74" s="37"/>
      <c r="ES74" s="37"/>
      <c r="ET74" s="37"/>
      <c r="EU74" s="37"/>
      <c r="EV74" s="37"/>
      <c r="EW74" s="37"/>
      <c r="EX74" s="37"/>
      <c r="EY74" s="37"/>
      <c r="EZ74" s="37"/>
      <c r="FA74" s="37"/>
      <c r="FB74" s="37"/>
      <c r="FC74" s="37"/>
      <c r="FD74" s="37"/>
      <c r="FE74" s="37"/>
      <c r="FF74" s="37"/>
      <c r="FG74" s="37"/>
      <c r="FH74" s="37"/>
      <c r="FI74" s="37"/>
      <c r="FJ74" s="37"/>
      <c r="FK74" s="37"/>
      <c r="FL74" s="37"/>
      <c r="FM74" s="37"/>
      <c r="FN74" s="37"/>
      <c r="FO74" s="37"/>
      <c r="FP74" s="37"/>
      <c r="FQ74" s="37"/>
      <c r="FR74" s="37"/>
      <c r="FS74" s="37"/>
      <c r="FT74" s="37"/>
      <c r="FU74" s="37"/>
      <c r="FV74" s="37"/>
      <c r="FW74" s="37"/>
      <c r="FX74" s="37"/>
      <c r="FY74" s="37"/>
      <c r="FZ74" s="37"/>
      <c r="GA74" s="37"/>
      <c r="GB74" s="37"/>
      <c r="GC74" s="37"/>
      <c r="GD74" s="37"/>
      <c r="GE74" s="37"/>
      <c r="GF74" s="37"/>
      <c r="GG74" s="37"/>
      <c r="GH74" s="37"/>
      <c r="GI74" s="37"/>
      <c r="GJ74" s="37"/>
      <c r="GK74" s="37"/>
      <c r="GL74" s="37"/>
      <c r="GM74" s="37"/>
      <c r="GN74" s="37"/>
      <c r="GO74" s="37"/>
      <c r="GP74" s="37"/>
      <c r="GQ74" s="37"/>
      <c r="GR74" s="37"/>
      <c r="GS74" s="37"/>
      <c r="GT74" s="37"/>
      <c r="GU74" s="37"/>
      <c r="GV74" s="37"/>
      <c r="GW74" s="37"/>
      <c r="GX74" s="37"/>
      <c r="GY74" s="37"/>
      <c r="GZ74" s="37"/>
      <c r="HA74" s="37"/>
      <c r="HB74" s="37"/>
      <c r="HC74" s="37"/>
      <c r="HD74" s="37"/>
      <c r="HE74" s="37"/>
      <c r="HF74" s="37"/>
      <c r="HG74" s="37"/>
      <c r="HH74" s="37"/>
      <c r="HI74" s="37"/>
      <c r="HJ74" s="37"/>
      <c r="HK74" s="37"/>
      <c r="HL74" s="37"/>
      <c r="HM74" s="37"/>
      <c r="HN74" s="37"/>
      <c r="HO74" s="37"/>
      <c r="HP74" s="37"/>
      <c r="HQ74" s="37"/>
      <c r="HR74" s="37"/>
      <c r="HS74" s="37"/>
      <c r="HT74" s="37"/>
      <c r="HU74" s="37"/>
      <c r="HV74" s="37"/>
      <c r="HW74" s="37"/>
      <c r="HX74" s="37"/>
      <c r="HY74" s="37"/>
      <c r="HZ74" s="37"/>
      <c r="IA74" s="37"/>
      <c r="IB74" s="37"/>
      <c r="IC74" s="37"/>
    </row>
    <row r="75" spans="1:237" s="40" customFormat="1" x14ac:dyDescent="0.2">
      <c r="A75" s="62"/>
      <c r="B75" s="63"/>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K75" s="37"/>
      <c r="DL75" s="37"/>
      <c r="DM75" s="37"/>
      <c r="DN75" s="37"/>
      <c r="DO75" s="37"/>
      <c r="DP75" s="37"/>
      <c r="DQ75" s="37"/>
      <c r="DR75" s="37"/>
      <c r="DS75" s="37"/>
      <c r="DT75" s="37"/>
      <c r="DU75" s="37"/>
      <c r="DV75" s="37"/>
      <c r="DW75" s="37"/>
      <c r="DX75" s="37"/>
      <c r="DY75" s="37"/>
      <c r="DZ75" s="37"/>
      <c r="EA75" s="37"/>
      <c r="EB75" s="37"/>
      <c r="EC75" s="37"/>
      <c r="ED75" s="37"/>
      <c r="EE75" s="37"/>
      <c r="EF75" s="37"/>
      <c r="EG75" s="37"/>
      <c r="EH75" s="37"/>
      <c r="EI75" s="37"/>
      <c r="EJ75" s="37"/>
      <c r="EK75" s="37"/>
      <c r="EL75" s="37"/>
      <c r="EM75" s="37"/>
      <c r="EN75" s="37"/>
      <c r="EO75" s="37"/>
      <c r="EP75" s="37"/>
      <c r="EQ75" s="37"/>
      <c r="ER75" s="37"/>
      <c r="ES75" s="37"/>
      <c r="ET75" s="37"/>
      <c r="EU75" s="37"/>
      <c r="EV75" s="37"/>
      <c r="EW75" s="37"/>
      <c r="EX75" s="37"/>
      <c r="EY75" s="37"/>
      <c r="EZ75" s="37"/>
      <c r="FA75" s="37"/>
      <c r="FB75" s="37"/>
      <c r="FC75" s="37"/>
      <c r="FD75" s="37"/>
      <c r="FE75" s="37"/>
      <c r="FF75" s="37"/>
      <c r="FG75" s="37"/>
      <c r="FH75" s="37"/>
      <c r="FI75" s="37"/>
      <c r="FJ75" s="37"/>
      <c r="FK75" s="37"/>
      <c r="FL75" s="37"/>
      <c r="FM75" s="37"/>
      <c r="FN75" s="37"/>
      <c r="FO75" s="37"/>
      <c r="FP75" s="37"/>
      <c r="FQ75" s="37"/>
      <c r="FR75" s="37"/>
      <c r="FS75" s="37"/>
      <c r="FT75" s="37"/>
      <c r="FU75" s="37"/>
      <c r="FV75" s="37"/>
      <c r="FW75" s="37"/>
      <c r="FX75" s="37"/>
      <c r="FY75" s="37"/>
      <c r="FZ75" s="37"/>
      <c r="GA75" s="37"/>
      <c r="GB75" s="37"/>
      <c r="GC75" s="37"/>
      <c r="GD75" s="37"/>
      <c r="GE75" s="37"/>
      <c r="GF75" s="37"/>
      <c r="GG75" s="37"/>
      <c r="GH75" s="37"/>
      <c r="GI75" s="37"/>
      <c r="GJ75" s="37"/>
      <c r="GK75" s="37"/>
      <c r="GL75" s="37"/>
      <c r="GM75" s="37"/>
      <c r="GN75" s="37"/>
      <c r="GO75" s="37"/>
      <c r="GP75" s="37"/>
      <c r="GQ75" s="37"/>
      <c r="GR75" s="37"/>
      <c r="GS75" s="37"/>
      <c r="GT75" s="37"/>
      <c r="GU75" s="37"/>
      <c r="GV75" s="37"/>
      <c r="GW75" s="37"/>
      <c r="GX75" s="37"/>
      <c r="GY75" s="37"/>
      <c r="GZ75" s="37"/>
      <c r="HA75" s="37"/>
      <c r="HB75" s="37"/>
      <c r="HC75" s="37"/>
      <c r="HD75" s="37"/>
      <c r="HE75" s="37"/>
      <c r="HF75" s="37"/>
      <c r="HG75" s="37"/>
      <c r="HH75" s="37"/>
      <c r="HI75" s="37"/>
      <c r="HJ75" s="37"/>
      <c r="HK75" s="37"/>
      <c r="HL75" s="37"/>
      <c r="HM75" s="37"/>
      <c r="HN75" s="37"/>
      <c r="HO75" s="37"/>
      <c r="HP75" s="37"/>
      <c r="HQ75" s="37"/>
      <c r="HR75" s="37"/>
      <c r="HS75" s="37"/>
      <c r="HT75" s="37"/>
      <c r="HU75" s="37"/>
      <c r="HV75" s="37"/>
      <c r="HW75" s="37"/>
      <c r="HX75" s="37"/>
      <c r="HY75" s="37"/>
      <c r="HZ75" s="37"/>
      <c r="IA75" s="37"/>
      <c r="IB75" s="37"/>
      <c r="IC75" s="37"/>
    </row>
    <row r="76" spans="1:237" s="40" customFormat="1" x14ac:dyDescent="0.2">
      <c r="A76" s="62"/>
      <c r="B76" s="63"/>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c r="CA76" s="37"/>
      <c r="CB76" s="37"/>
      <c r="CC76" s="37"/>
      <c r="CD76" s="37"/>
      <c r="CE76" s="37"/>
      <c r="CF76" s="37"/>
      <c r="CG76" s="37"/>
      <c r="CH76" s="37"/>
      <c r="CI76" s="37"/>
      <c r="CJ76" s="37"/>
      <c r="CK76" s="37"/>
      <c r="CL76" s="37"/>
      <c r="CM76" s="37"/>
      <c r="CN76" s="37"/>
      <c r="CO76" s="37"/>
      <c r="CP76" s="37"/>
      <c r="CQ76" s="37"/>
      <c r="CR76" s="37"/>
      <c r="CS76" s="37"/>
      <c r="CT76" s="37"/>
      <c r="CU76" s="37"/>
      <c r="CV76" s="37"/>
      <c r="CW76" s="37"/>
      <c r="CX76" s="37"/>
      <c r="CY76" s="37"/>
      <c r="CZ76" s="37"/>
      <c r="DA76" s="37"/>
      <c r="DB76" s="37"/>
      <c r="DC76" s="37"/>
      <c r="DD76" s="37"/>
      <c r="DE76" s="37"/>
      <c r="DF76" s="37"/>
      <c r="DG76" s="37"/>
      <c r="DH76" s="37"/>
      <c r="DI76" s="37"/>
      <c r="DJ76" s="37"/>
      <c r="DK76" s="37"/>
      <c r="DL76" s="37"/>
      <c r="DM76" s="37"/>
      <c r="DN76" s="37"/>
      <c r="DO76" s="37"/>
      <c r="DP76" s="37"/>
      <c r="DQ76" s="37"/>
      <c r="DR76" s="37"/>
      <c r="DS76" s="37"/>
      <c r="DT76" s="37"/>
      <c r="DU76" s="37"/>
      <c r="DV76" s="37"/>
      <c r="DW76" s="37"/>
      <c r="DX76" s="37"/>
      <c r="DY76" s="37"/>
      <c r="DZ76" s="37"/>
      <c r="EA76" s="37"/>
      <c r="EB76" s="37"/>
      <c r="EC76" s="37"/>
      <c r="ED76" s="37"/>
      <c r="EE76" s="37"/>
      <c r="EF76" s="37"/>
      <c r="EG76" s="37"/>
      <c r="EH76" s="37"/>
      <c r="EI76" s="37"/>
      <c r="EJ76" s="37"/>
      <c r="EK76" s="37"/>
      <c r="EL76" s="37"/>
      <c r="EM76" s="37"/>
      <c r="EN76" s="37"/>
      <c r="EO76" s="37"/>
      <c r="EP76" s="37"/>
      <c r="EQ76" s="37"/>
      <c r="ER76" s="37"/>
      <c r="ES76" s="37"/>
      <c r="ET76" s="37"/>
      <c r="EU76" s="37"/>
      <c r="EV76" s="37"/>
      <c r="EW76" s="37"/>
      <c r="EX76" s="37"/>
      <c r="EY76" s="37"/>
      <c r="EZ76" s="37"/>
      <c r="FA76" s="37"/>
      <c r="FB76" s="37"/>
      <c r="FC76" s="37"/>
      <c r="FD76" s="37"/>
      <c r="FE76" s="37"/>
      <c r="FF76" s="37"/>
      <c r="FG76" s="37"/>
      <c r="FH76" s="37"/>
      <c r="FI76" s="37"/>
      <c r="FJ76" s="37"/>
      <c r="FK76" s="37"/>
      <c r="FL76" s="37"/>
      <c r="FM76" s="37"/>
      <c r="FN76" s="37"/>
      <c r="FO76" s="37"/>
      <c r="FP76" s="37"/>
      <c r="FQ76" s="37"/>
      <c r="FR76" s="37"/>
      <c r="FS76" s="37"/>
      <c r="FT76" s="37"/>
      <c r="FU76" s="37"/>
      <c r="FV76" s="37"/>
      <c r="FW76" s="37"/>
      <c r="FX76" s="37"/>
      <c r="FY76" s="37"/>
      <c r="FZ76" s="37"/>
      <c r="GA76" s="37"/>
      <c r="GB76" s="37"/>
      <c r="GC76" s="37"/>
      <c r="GD76" s="37"/>
      <c r="GE76" s="37"/>
      <c r="GF76" s="37"/>
      <c r="GG76" s="37"/>
      <c r="GH76" s="37"/>
      <c r="GI76" s="37"/>
      <c r="GJ76" s="37"/>
      <c r="GK76" s="37"/>
      <c r="GL76" s="37"/>
      <c r="GM76" s="37"/>
      <c r="GN76" s="37"/>
      <c r="GO76" s="37"/>
      <c r="GP76" s="37"/>
      <c r="GQ76" s="37"/>
      <c r="GR76" s="37"/>
      <c r="GS76" s="37"/>
      <c r="GT76" s="37"/>
      <c r="GU76" s="37"/>
      <c r="GV76" s="37"/>
      <c r="GW76" s="37"/>
      <c r="GX76" s="37"/>
      <c r="GY76" s="37"/>
      <c r="GZ76" s="37"/>
      <c r="HA76" s="37"/>
      <c r="HB76" s="37"/>
      <c r="HC76" s="37"/>
      <c r="HD76" s="37"/>
      <c r="HE76" s="37"/>
      <c r="HF76" s="37"/>
      <c r="HG76" s="37"/>
      <c r="HH76" s="37"/>
      <c r="HI76" s="37"/>
      <c r="HJ76" s="37"/>
      <c r="HK76" s="37"/>
      <c r="HL76" s="37"/>
      <c r="HM76" s="37"/>
      <c r="HN76" s="37"/>
      <c r="HO76" s="37"/>
      <c r="HP76" s="37"/>
      <c r="HQ76" s="37"/>
      <c r="HR76" s="37"/>
      <c r="HS76" s="37"/>
      <c r="HT76" s="37"/>
      <c r="HU76" s="37"/>
      <c r="HV76" s="37"/>
      <c r="HW76" s="37"/>
      <c r="HX76" s="37"/>
      <c r="HY76" s="37"/>
      <c r="HZ76" s="37"/>
      <c r="IA76" s="37"/>
      <c r="IB76" s="37"/>
      <c r="IC76" s="37"/>
    </row>
    <row r="77" spans="1:237" s="40" customFormat="1" x14ac:dyDescent="0.2">
      <c r="A77" s="62"/>
      <c r="B77" s="63"/>
      <c r="J77" s="37"/>
      <c r="K77" s="37"/>
      <c r="L77" s="37"/>
      <c r="M77" s="3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7"/>
      <c r="CF77" s="37"/>
      <c r="CG77" s="37"/>
      <c r="CH77" s="37"/>
      <c r="CI77" s="37"/>
      <c r="CJ77" s="37"/>
      <c r="CK77" s="37"/>
      <c r="CL77" s="37"/>
      <c r="CM77" s="37"/>
      <c r="CN77" s="37"/>
      <c r="CO77" s="37"/>
      <c r="CP77" s="37"/>
      <c r="CQ77" s="37"/>
      <c r="CR77" s="37"/>
      <c r="CS77" s="37"/>
      <c r="CT77" s="37"/>
      <c r="CU77" s="37"/>
      <c r="CV77" s="37"/>
      <c r="CW77" s="37"/>
      <c r="CX77" s="37"/>
      <c r="CY77" s="37"/>
      <c r="CZ77" s="37"/>
      <c r="DA77" s="37"/>
      <c r="DB77" s="37"/>
      <c r="DC77" s="37"/>
      <c r="DD77" s="37"/>
      <c r="DE77" s="37"/>
      <c r="DF77" s="37"/>
      <c r="DG77" s="37"/>
      <c r="DH77" s="37"/>
      <c r="DI77" s="37"/>
      <c r="DJ77" s="37"/>
      <c r="DK77" s="37"/>
      <c r="DL77" s="37"/>
      <c r="DM77" s="37"/>
      <c r="DN77" s="37"/>
      <c r="DO77" s="37"/>
      <c r="DP77" s="37"/>
      <c r="DQ77" s="37"/>
      <c r="DR77" s="37"/>
      <c r="DS77" s="37"/>
      <c r="DT77" s="37"/>
      <c r="DU77" s="37"/>
      <c r="DV77" s="37"/>
      <c r="DW77" s="37"/>
      <c r="DX77" s="37"/>
      <c r="DY77" s="37"/>
      <c r="DZ77" s="37"/>
      <c r="EA77" s="37"/>
      <c r="EB77" s="37"/>
      <c r="EC77" s="37"/>
      <c r="ED77" s="37"/>
      <c r="EE77" s="37"/>
      <c r="EF77" s="37"/>
      <c r="EG77" s="37"/>
      <c r="EH77" s="37"/>
      <c r="EI77" s="37"/>
      <c r="EJ77" s="37"/>
      <c r="EK77" s="37"/>
      <c r="EL77" s="37"/>
      <c r="EM77" s="37"/>
      <c r="EN77" s="37"/>
      <c r="EO77" s="37"/>
      <c r="EP77" s="37"/>
      <c r="EQ77" s="37"/>
      <c r="ER77" s="37"/>
      <c r="ES77" s="37"/>
      <c r="ET77" s="37"/>
      <c r="EU77" s="37"/>
      <c r="EV77" s="37"/>
      <c r="EW77" s="37"/>
      <c r="EX77" s="37"/>
      <c r="EY77" s="37"/>
      <c r="EZ77" s="37"/>
      <c r="FA77" s="37"/>
      <c r="FB77" s="37"/>
      <c r="FC77" s="37"/>
      <c r="FD77" s="37"/>
      <c r="FE77" s="37"/>
      <c r="FF77" s="37"/>
      <c r="FG77" s="37"/>
      <c r="FH77" s="37"/>
      <c r="FI77" s="37"/>
      <c r="FJ77" s="37"/>
      <c r="FK77" s="37"/>
      <c r="FL77" s="37"/>
      <c r="FM77" s="37"/>
      <c r="FN77" s="37"/>
      <c r="FO77" s="37"/>
      <c r="FP77" s="37"/>
      <c r="FQ77" s="37"/>
      <c r="FR77" s="37"/>
      <c r="FS77" s="37"/>
      <c r="FT77" s="37"/>
      <c r="FU77" s="37"/>
      <c r="FV77" s="37"/>
      <c r="FW77" s="37"/>
      <c r="FX77" s="37"/>
      <c r="FY77" s="37"/>
      <c r="FZ77" s="37"/>
      <c r="GA77" s="37"/>
      <c r="GB77" s="37"/>
      <c r="GC77" s="37"/>
      <c r="GD77" s="37"/>
      <c r="GE77" s="37"/>
      <c r="GF77" s="37"/>
      <c r="GG77" s="37"/>
      <c r="GH77" s="37"/>
      <c r="GI77" s="37"/>
      <c r="GJ77" s="37"/>
      <c r="GK77" s="37"/>
      <c r="GL77" s="37"/>
      <c r="GM77" s="37"/>
      <c r="GN77" s="37"/>
      <c r="GO77" s="37"/>
      <c r="GP77" s="37"/>
      <c r="GQ77" s="37"/>
      <c r="GR77" s="37"/>
      <c r="GS77" s="37"/>
      <c r="GT77" s="37"/>
      <c r="GU77" s="37"/>
      <c r="GV77" s="37"/>
      <c r="GW77" s="37"/>
      <c r="GX77" s="37"/>
      <c r="GY77" s="37"/>
      <c r="GZ77" s="37"/>
      <c r="HA77" s="37"/>
      <c r="HB77" s="37"/>
      <c r="HC77" s="37"/>
      <c r="HD77" s="37"/>
      <c r="HE77" s="37"/>
      <c r="HF77" s="37"/>
      <c r="HG77" s="37"/>
      <c r="HH77" s="37"/>
      <c r="HI77" s="37"/>
      <c r="HJ77" s="37"/>
      <c r="HK77" s="37"/>
      <c r="HL77" s="37"/>
      <c r="HM77" s="37"/>
      <c r="HN77" s="37"/>
      <c r="HO77" s="37"/>
      <c r="HP77" s="37"/>
      <c r="HQ77" s="37"/>
      <c r="HR77" s="37"/>
      <c r="HS77" s="37"/>
      <c r="HT77" s="37"/>
      <c r="HU77" s="37"/>
      <c r="HV77" s="37"/>
      <c r="HW77" s="37"/>
      <c r="HX77" s="37"/>
      <c r="HY77" s="37"/>
      <c r="HZ77" s="37"/>
      <c r="IA77" s="37"/>
      <c r="IB77" s="37"/>
      <c r="IC77" s="37"/>
    </row>
    <row r="78" spans="1:237" s="40" customFormat="1" x14ac:dyDescent="0.2">
      <c r="A78" s="62"/>
      <c r="B78" s="63"/>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K78" s="37"/>
      <c r="DL78" s="37"/>
      <c r="DM78" s="37"/>
      <c r="DN78" s="37"/>
      <c r="DO78" s="37"/>
      <c r="DP78" s="37"/>
      <c r="DQ78" s="37"/>
      <c r="DR78" s="37"/>
      <c r="DS78" s="37"/>
      <c r="DT78" s="37"/>
      <c r="DU78" s="37"/>
      <c r="DV78" s="37"/>
      <c r="DW78" s="37"/>
      <c r="DX78" s="37"/>
      <c r="DY78" s="37"/>
      <c r="DZ78" s="37"/>
      <c r="EA78" s="37"/>
      <c r="EB78" s="37"/>
      <c r="EC78" s="37"/>
      <c r="ED78" s="37"/>
      <c r="EE78" s="37"/>
      <c r="EF78" s="37"/>
      <c r="EG78" s="37"/>
      <c r="EH78" s="37"/>
      <c r="EI78" s="37"/>
      <c r="EJ78" s="37"/>
      <c r="EK78" s="37"/>
      <c r="EL78" s="37"/>
      <c r="EM78" s="37"/>
      <c r="EN78" s="37"/>
      <c r="EO78" s="37"/>
      <c r="EP78" s="37"/>
      <c r="EQ78" s="37"/>
      <c r="ER78" s="37"/>
      <c r="ES78" s="37"/>
      <c r="ET78" s="37"/>
      <c r="EU78" s="37"/>
      <c r="EV78" s="37"/>
      <c r="EW78" s="37"/>
      <c r="EX78" s="37"/>
      <c r="EY78" s="37"/>
      <c r="EZ78" s="37"/>
      <c r="FA78" s="37"/>
      <c r="FB78" s="37"/>
      <c r="FC78" s="37"/>
      <c r="FD78" s="37"/>
      <c r="FE78" s="37"/>
      <c r="FF78" s="37"/>
      <c r="FG78" s="37"/>
      <c r="FH78" s="37"/>
      <c r="FI78" s="37"/>
      <c r="FJ78" s="37"/>
      <c r="FK78" s="37"/>
      <c r="FL78" s="37"/>
      <c r="FM78" s="37"/>
      <c r="FN78" s="37"/>
      <c r="FO78" s="37"/>
      <c r="FP78" s="37"/>
      <c r="FQ78" s="37"/>
      <c r="FR78" s="37"/>
      <c r="FS78" s="37"/>
      <c r="FT78" s="37"/>
      <c r="FU78" s="37"/>
      <c r="FV78" s="37"/>
      <c r="FW78" s="37"/>
      <c r="FX78" s="37"/>
      <c r="FY78" s="37"/>
      <c r="FZ78" s="37"/>
      <c r="GA78" s="37"/>
      <c r="GB78" s="37"/>
      <c r="GC78" s="37"/>
      <c r="GD78" s="37"/>
      <c r="GE78" s="37"/>
      <c r="GF78" s="37"/>
      <c r="GG78" s="37"/>
      <c r="GH78" s="37"/>
      <c r="GI78" s="37"/>
      <c r="GJ78" s="37"/>
      <c r="GK78" s="37"/>
      <c r="GL78" s="37"/>
      <c r="GM78" s="37"/>
      <c r="GN78" s="37"/>
      <c r="GO78" s="37"/>
      <c r="GP78" s="37"/>
      <c r="GQ78" s="37"/>
      <c r="GR78" s="37"/>
      <c r="GS78" s="37"/>
      <c r="GT78" s="37"/>
      <c r="GU78" s="37"/>
      <c r="GV78" s="37"/>
      <c r="GW78" s="37"/>
      <c r="GX78" s="37"/>
      <c r="GY78" s="37"/>
      <c r="GZ78" s="37"/>
      <c r="HA78" s="37"/>
      <c r="HB78" s="37"/>
      <c r="HC78" s="37"/>
      <c r="HD78" s="37"/>
      <c r="HE78" s="37"/>
      <c r="HF78" s="37"/>
      <c r="HG78" s="37"/>
      <c r="HH78" s="37"/>
      <c r="HI78" s="37"/>
      <c r="HJ78" s="37"/>
      <c r="HK78" s="37"/>
      <c r="HL78" s="37"/>
      <c r="HM78" s="37"/>
      <c r="HN78" s="37"/>
      <c r="HO78" s="37"/>
      <c r="HP78" s="37"/>
      <c r="HQ78" s="37"/>
      <c r="HR78" s="37"/>
      <c r="HS78" s="37"/>
      <c r="HT78" s="37"/>
      <c r="HU78" s="37"/>
      <c r="HV78" s="37"/>
      <c r="HW78" s="37"/>
      <c r="HX78" s="37"/>
      <c r="HY78" s="37"/>
      <c r="HZ78" s="37"/>
      <c r="IA78" s="37"/>
      <c r="IB78" s="37"/>
      <c r="IC78" s="37"/>
    </row>
    <row r="79" spans="1:237" s="40" customFormat="1" x14ac:dyDescent="0.2">
      <c r="A79" s="62"/>
      <c r="B79" s="63"/>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7"/>
      <c r="BY79" s="37"/>
      <c r="BZ79" s="37"/>
      <c r="CA79" s="37"/>
      <c r="CB79" s="37"/>
      <c r="CC79" s="37"/>
      <c r="CD79" s="37"/>
      <c r="CE79" s="37"/>
      <c r="CF79" s="37"/>
      <c r="CG79" s="37"/>
      <c r="CH79" s="37"/>
      <c r="CI79" s="37"/>
      <c r="CJ79" s="37"/>
      <c r="CK79" s="37"/>
      <c r="CL79" s="37"/>
      <c r="CM79" s="37"/>
      <c r="CN79" s="37"/>
      <c r="CO79" s="37"/>
      <c r="CP79" s="37"/>
      <c r="CQ79" s="37"/>
      <c r="CR79" s="37"/>
      <c r="CS79" s="37"/>
      <c r="CT79" s="37"/>
      <c r="CU79" s="37"/>
      <c r="CV79" s="37"/>
      <c r="CW79" s="37"/>
      <c r="CX79" s="37"/>
      <c r="CY79" s="37"/>
      <c r="CZ79" s="37"/>
      <c r="DA79" s="37"/>
      <c r="DB79" s="37"/>
      <c r="DC79" s="37"/>
      <c r="DD79" s="37"/>
      <c r="DE79" s="37"/>
      <c r="DF79" s="37"/>
      <c r="DG79" s="37"/>
      <c r="DH79" s="37"/>
      <c r="DI79" s="37"/>
      <c r="DJ79" s="37"/>
      <c r="DK79" s="37"/>
      <c r="DL79" s="37"/>
      <c r="DM79" s="37"/>
      <c r="DN79" s="37"/>
      <c r="DO79" s="37"/>
      <c r="DP79" s="37"/>
      <c r="DQ79" s="37"/>
      <c r="DR79" s="37"/>
      <c r="DS79" s="37"/>
      <c r="DT79" s="37"/>
      <c r="DU79" s="37"/>
      <c r="DV79" s="37"/>
      <c r="DW79" s="37"/>
      <c r="DX79" s="37"/>
      <c r="DY79" s="37"/>
      <c r="DZ79" s="37"/>
      <c r="EA79" s="37"/>
      <c r="EB79" s="37"/>
      <c r="EC79" s="37"/>
      <c r="ED79" s="37"/>
      <c r="EE79" s="37"/>
      <c r="EF79" s="37"/>
      <c r="EG79" s="37"/>
      <c r="EH79" s="37"/>
      <c r="EI79" s="37"/>
      <c r="EJ79" s="37"/>
      <c r="EK79" s="37"/>
      <c r="EL79" s="37"/>
      <c r="EM79" s="37"/>
      <c r="EN79" s="37"/>
      <c r="EO79" s="37"/>
      <c r="EP79" s="37"/>
      <c r="EQ79" s="37"/>
      <c r="ER79" s="37"/>
      <c r="ES79" s="37"/>
      <c r="ET79" s="37"/>
      <c r="EU79" s="37"/>
      <c r="EV79" s="37"/>
      <c r="EW79" s="37"/>
      <c r="EX79" s="37"/>
      <c r="EY79" s="37"/>
      <c r="EZ79" s="37"/>
      <c r="FA79" s="37"/>
      <c r="FB79" s="37"/>
      <c r="FC79" s="37"/>
      <c r="FD79" s="37"/>
      <c r="FE79" s="37"/>
      <c r="FF79" s="37"/>
      <c r="FG79" s="37"/>
      <c r="FH79" s="37"/>
      <c r="FI79" s="37"/>
      <c r="FJ79" s="37"/>
      <c r="FK79" s="37"/>
      <c r="FL79" s="37"/>
      <c r="FM79" s="37"/>
      <c r="FN79" s="37"/>
      <c r="FO79" s="37"/>
      <c r="FP79" s="37"/>
      <c r="FQ79" s="37"/>
      <c r="FR79" s="37"/>
      <c r="FS79" s="37"/>
      <c r="FT79" s="37"/>
      <c r="FU79" s="37"/>
      <c r="FV79" s="37"/>
      <c r="FW79" s="37"/>
      <c r="FX79" s="37"/>
      <c r="FY79" s="37"/>
      <c r="FZ79" s="37"/>
      <c r="GA79" s="37"/>
      <c r="GB79" s="37"/>
      <c r="GC79" s="37"/>
      <c r="GD79" s="37"/>
      <c r="GE79" s="37"/>
      <c r="GF79" s="37"/>
      <c r="GG79" s="37"/>
      <c r="GH79" s="37"/>
      <c r="GI79" s="37"/>
      <c r="GJ79" s="37"/>
      <c r="GK79" s="37"/>
      <c r="GL79" s="37"/>
      <c r="GM79" s="37"/>
      <c r="GN79" s="37"/>
      <c r="GO79" s="37"/>
      <c r="GP79" s="37"/>
      <c r="GQ79" s="37"/>
      <c r="GR79" s="37"/>
      <c r="GS79" s="37"/>
      <c r="GT79" s="37"/>
      <c r="GU79" s="37"/>
      <c r="GV79" s="37"/>
      <c r="GW79" s="37"/>
      <c r="GX79" s="37"/>
      <c r="GY79" s="37"/>
      <c r="GZ79" s="37"/>
      <c r="HA79" s="37"/>
      <c r="HB79" s="37"/>
      <c r="HC79" s="37"/>
      <c r="HD79" s="37"/>
      <c r="HE79" s="37"/>
      <c r="HF79" s="37"/>
      <c r="HG79" s="37"/>
      <c r="HH79" s="37"/>
      <c r="HI79" s="37"/>
      <c r="HJ79" s="37"/>
      <c r="HK79" s="37"/>
      <c r="HL79" s="37"/>
      <c r="HM79" s="37"/>
      <c r="HN79" s="37"/>
      <c r="HO79" s="37"/>
      <c r="HP79" s="37"/>
      <c r="HQ79" s="37"/>
      <c r="HR79" s="37"/>
      <c r="HS79" s="37"/>
      <c r="HT79" s="37"/>
      <c r="HU79" s="37"/>
      <c r="HV79" s="37"/>
      <c r="HW79" s="37"/>
      <c r="HX79" s="37"/>
      <c r="HY79" s="37"/>
      <c r="HZ79" s="37"/>
      <c r="IA79" s="37"/>
      <c r="IB79" s="37"/>
      <c r="IC79" s="37"/>
    </row>
    <row r="80" spans="1:237" s="40" customFormat="1" x14ac:dyDescent="0.2">
      <c r="A80" s="62"/>
      <c r="B80" s="63"/>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7"/>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K80" s="37"/>
      <c r="DL80" s="37"/>
      <c r="DM80" s="37"/>
      <c r="DN80" s="37"/>
      <c r="DO80" s="37"/>
      <c r="DP80" s="37"/>
      <c r="DQ80" s="37"/>
      <c r="DR80" s="37"/>
      <c r="DS80" s="37"/>
      <c r="DT80" s="37"/>
      <c r="DU80" s="37"/>
      <c r="DV80" s="37"/>
      <c r="DW80" s="37"/>
      <c r="DX80" s="37"/>
      <c r="DY80" s="37"/>
      <c r="DZ80" s="37"/>
      <c r="EA80" s="37"/>
      <c r="EB80" s="37"/>
      <c r="EC80" s="37"/>
      <c r="ED80" s="37"/>
      <c r="EE80" s="37"/>
      <c r="EF80" s="37"/>
      <c r="EG80" s="37"/>
      <c r="EH80" s="37"/>
      <c r="EI80" s="37"/>
      <c r="EJ80" s="37"/>
      <c r="EK80" s="37"/>
      <c r="EL80" s="37"/>
      <c r="EM80" s="37"/>
      <c r="EN80" s="37"/>
      <c r="EO80" s="37"/>
      <c r="EP80" s="37"/>
      <c r="EQ80" s="37"/>
      <c r="ER80" s="37"/>
      <c r="ES80" s="37"/>
      <c r="ET80" s="37"/>
      <c r="EU80" s="37"/>
      <c r="EV80" s="37"/>
      <c r="EW80" s="37"/>
      <c r="EX80" s="37"/>
      <c r="EY80" s="37"/>
      <c r="EZ80" s="37"/>
      <c r="FA80" s="37"/>
      <c r="FB80" s="37"/>
      <c r="FC80" s="37"/>
      <c r="FD80" s="37"/>
      <c r="FE80" s="37"/>
      <c r="FF80" s="37"/>
      <c r="FG80" s="37"/>
      <c r="FH80" s="37"/>
      <c r="FI80" s="37"/>
      <c r="FJ80" s="37"/>
      <c r="FK80" s="37"/>
      <c r="FL80" s="37"/>
      <c r="FM80" s="37"/>
      <c r="FN80" s="37"/>
      <c r="FO80" s="37"/>
      <c r="FP80" s="37"/>
      <c r="FQ80" s="37"/>
      <c r="FR80" s="37"/>
      <c r="FS80" s="37"/>
      <c r="FT80" s="37"/>
      <c r="FU80" s="37"/>
      <c r="FV80" s="37"/>
      <c r="FW80" s="37"/>
      <c r="FX80" s="37"/>
      <c r="FY80" s="37"/>
      <c r="FZ80" s="37"/>
      <c r="GA80" s="37"/>
      <c r="GB80" s="37"/>
      <c r="GC80" s="37"/>
      <c r="GD80" s="37"/>
      <c r="GE80" s="37"/>
      <c r="GF80" s="37"/>
      <c r="GG80" s="37"/>
      <c r="GH80" s="37"/>
      <c r="GI80" s="37"/>
      <c r="GJ80" s="37"/>
      <c r="GK80" s="37"/>
      <c r="GL80" s="37"/>
      <c r="GM80" s="37"/>
      <c r="GN80" s="37"/>
      <c r="GO80" s="37"/>
      <c r="GP80" s="37"/>
      <c r="GQ80" s="37"/>
      <c r="GR80" s="37"/>
      <c r="GS80" s="37"/>
      <c r="GT80" s="37"/>
      <c r="GU80" s="37"/>
      <c r="GV80" s="37"/>
      <c r="GW80" s="37"/>
      <c r="GX80" s="37"/>
      <c r="GY80" s="37"/>
      <c r="GZ80" s="37"/>
      <c r="HA80" s="37"/>
      <c r="HB80" s="37"/>
      <c r="HC80" s="37"/>
      <c r="HD80" s="37"/>
      <c r="HE80" s="37"/>
      <c r="HF80" s="37"/>
      <c r="HG80" s="37"/>
      <c r="HH80" s="37"/>
      <c r="HI80" s="37"/>
      <c r="HJ80" s="37"/>
      <c r="HK80" s="37"/>
      <c r="HL80" s="37"/>
      <c r="HM80" s="37"/>
      <c r="HN80" s="37"/>
      <c r="HO80" s="37"/>
      <c r="HP80" s="37"/>
      <c r="HQ80" s="37"/>
      <c r="HR80" s="37"/>
      <c r="HS80" s="37"/>
      <c r="HT80" s="37"/>
      <c r="HU80" s="37"/>
      <c r="HV80" s="37"/>
      <c r="HW80" s="37"/>
      <c r="HX80" s="37"/>
      <c r="HY80" s="37"/>
      <c r="HZ80" s="37"/>
      <c r="IA80" s="37"/>
      <c r="IB80" s="37"/>
      <c r="IC80" s="37"/>
    </row>
    <row r="81" spans="1:237" s="40" customFormat="1" x14ac:dyDescent="0.2">
      <c r="A81" s="62"/>
      <c r="B81" s="63"/>
      <c r="J81" s="37"/>
      <c r="K81" s="37"/>
      <c r="L81" s="37"/>
      <c r="M81" s="3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37"/>
      <c r="BQ81" s="37"/>
      <c r="BR81" s="37"/>
      <c r="BS81" s="37"/>
      <c r="BT81" s="37"/>
      <c r="BU81" s="37"/>
      <c r="BV81" s="37"/>
      <c r="BW81" s="37"/>
      <c r="BX81" s="37"/>
      <c r="BY81" s="37"/>
      <c r="BZ81" s="37"/>
      <c r="CA81" s="37"/>
      <c r="CB81" s="37"/>
      <c r="CC81" s="37"/>
      <c r="CD81" s="37"/>
      <c r="CE81" s="37"/>
      <c r="CF81" s="37"/>
      <c r="CG81" s="37"/>
      <c r="CH81" s="37"/>
      <c r="CI81" s="37"/>
      <c r="CJ81" s="37"/>
      <c r="CK81" s="37"/>
      <c r="CL81" s="37"/>
      <c r="CM81" s="37"/>
      <c r="CN81" s="37"/>
      <c r="CO81" s="37"/>
      <c r="CP81" s="37"/>
      <c r="CQ81" s="37"/>
      <c r="CR81" s="37"/>
      <c r="CS81" s="37"/>
      <c r="CT81" s="37"/>
      <c r="CU81" s="37"/>
      <c r="CV81" s="37"/>
      <c r="CW81" s="37"/>
      <c r="CX81" s="37"/>
      <c r="CY81" s="37"/>
      <c r="CZ81" s="37"/>
      <c r="DA81" s="37"/>
      <c r="DB81" s="37"/>
      <c r="DC81" s="37"/>
      <c r="DD81" s="37"/>
      <c r="DE81" s="37"/>
      <c r="DF81" s="37"/>
      <c r="DG81" s="37"/>
      <c r="DH81" s="37"/>
      <c r="DI81" s="37"/>
      <c r="DJ81" s="37"/>
      <c r="DK81" s="37"/>
      <c r="DL81" s="37"/>
      <c r="DM81" s="37"/>
      <c r="DN81" s="37"/>
      <c r="DO81" s="37"/>
      <c r="DP81" s="37"/>
      <c r="DQ81" s="37"/>
      <c r="DR81" s="37"/>
      <c r="DS81" s="37"/>
      <c r="DT81" s="37"/>
      <c r="DU81" s="37"/>
      <c r="DV81" s="37"/>
      <c r="DW81" s="37"/>
      <c r="DX81" s="37"/>
      <c r="DY81" s="37"/>
      <c r="DZ81" s="37"/>
      <c r="EA81" s="37"/>
      <c r="EB81" s="37"/>
      <c r="EC81" s="37"/>
      <c r="ED81" s="37"/>
      <c r="EE81" s="37"/>
      <c r="EF81" s="37"/>
      <c r="EG81" s="37"/>
      <c r="EH81" s="37"/>
      <c r="EI81" s="37"/>
      <c r="EJ81" s="37"/>
      <c r="EK81" s="37"/>
      <c r="EL81" s="37"/>
      <c r="EM81" s="37"/>
      <c r="EN81" s="37"/>
      <c r="EO81" s="37"/>
      <c r="EP81" s="37"/>
      <c r="EQ81" s="37"/>
      <c r="ER81" s="37"/>
      <c r="ES81" s="37"/>
      <c r="ET81" s="37"/>
      <c r="EU81" s="37"/>
      <c r="EV81" s="37"/>
      <c r="EW81" s="37"/>
      <c r="EX81" s="37"/>
      <c r="EY81" s="37"/>
      <c r="EZ81" s="37"/>
      <c r="FA81" s="37"/>
      <c r="FB81" s="37"/>
      <c r="FC81" s="37"/>
      <c r="FD81" s="37"/>
      <c r="FE81" s="37"/>
      <c r="FF81" s="37"/>
      <c r="FG81" s="37"/>
      <c r="FH81" s="37"/>
      <c r="FI81" s="37"/>
      <c r="FJ81" s="37"/>
      <c r="FK81" s="37"/>
      <c r="FL81" s="37"/>
      <c r="FM81" s="37"/>
      <c r="FN81" s="37"/>
      <c r="FO81" s="37"/>
      <c r="FP81" s="37"/>
      <c r="FQ81" s="37"/>
      <c r="FR81" s="37"/>
      <c r="FS81" s="37"/>
      <c r="FT81" s="37"/>
      <c r="FU81" s="37"/>
      <c r="FV81" s="37"/>
      <c r="FW81" s="37"/>
      <c r="FX81" s="37"/>
      <c r="FY81" s="37"/>
      <c r="FZ81" s="37"/>
      <c r="GA81" s="37"/>
      <c r="GB81" s="37"/>
      <c r="GC81" s="37"/>
      <c r="GD81" s="37"/>
      <c r="GE81" s="37"/>
      <c r="GF81" s="37"/>
      <c r="GG81" s="37"/>
      <c r="GH81" s="37"/>
      <c r="GI81" s="37"/>
      <c r="GJ81" s="37"/>
      <c r="GK81" s="37"/>
      <c r="GL81" s="37"/>
      <c r="GM81" s="37"/>
      <c r="GN81" s="37"/>
      <c r="GO81" s="37"/>
      <c r="GP81" s="37"/>
      <c r="GQ81" s="37"/>
      <c r="GR81" s="37"/>
      <c r="GS81" s="37"/>
      <c r="GT81" s="37"/>
      <c r="GU81" s="37"/>
      <c r="GV81" s="37"/>
      <c r="GW81" s="37"/>
      <c r="GX81" s="37"/>
      <c r="GY81" s="37"/>
      <c r="GZ81" s="37"/>
      <c r="HA81" s="37"/>
      <c r="HB81" s="37"/>
      <c r="HC81" s="37"/>
      <c r="HD81" s="37"/>
      <c r="HE81" s="37"/>
      <c r="HF81" s="37"/>
      <c r="HG81" s="37"/>
      <c r="HH81" s="37"/>
      <c r="HI81" s="37"/>
      <c r="HJ81" s="37"/>
      <c r="HK81" s="37"/>
      <c r="HL81" s="37"/>
      <c r="HM81" s="37"/>
      <c r="HN81" s="37"/>
      <c r="HO81" s="37"/>
      <c r="HP81" s="37"/>
      <c r="HQ81" s="37"/>
      <c r="HR81" s="37"/>
      <c r="HS81" s="37"/>
      <c r="HT81" s="37"/>
      <c r="HU81" s="37"/>
      <c r="HV81" s="37"/>
      <c r="HW81" s="37"/>
      <c r="HX81" s="37"/>
      <c r="HY81" s="37"/>
      <c r="HZ81" s="37"/>
      <c r="IA81" s="37"/>
      <c r="IB81" s="37"/>
      <c r="IC81" s="37"/>
    </row>
    <row r="82" spans="1:237" s="40" customFormat="1" x14ac:dyDescent="0.2">
      <c r="A82" s="62"/>
      <c r="B82" s="63"/>
      <c r="J82" s="37"/>
      <c r="K82" s="37"/>
      <c r="L82" s="37"/>
      <c r="M82" s="3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37"/>
      <c r="CA82" s="37"/>
      <c r="CB82" s="37"/>
      <c r="CC82" s="37"/>
      <c r="CD82" s="37"/>
      <c r="CE82" s="37"/>
      <c r="CF82" s="37"/>
      <c r="CG82" s="37"/>
      <c r="CH82" s="37"/>
      <c r="CI82" s="37"/>
      <c r="CJ82" s="37"/>
      <c r="CK82" s="37"/>
      <c r="CL82" s="37"/>
      <c r="CM82" s="37"/>
      <c r="CN82" s="37"/>
      <c r="CO82" s="37"/>
      <c r="CP82" s="37"/>
      <c r="CQ82" s="37"/>
      <c r="CR82" s="37"/>
      <c r="CS82" s="37"/>
      <c r="CT82" s="37"/>
      <c r="CU82" s="37"/>
      <c r="CV82" s="37"/>
      <c r="CW82" s="37"/>
      <c r="CX82" s="37"/>
      <c r="CY82" s="37"/>
      <c r="CZ82" s="37"/>
      <c r="DA82" s="37"/>
      <c r="DB82" s="37"/>
      <c r="DC82" s="37"/>
      <c r="DD82" s="37"/>
      <c r="DE82" s="37"/>
      <c r="DF82" s="37"/>
      <c r="DG82" s="37"/>
      <c r="DH82" s="37"/>
      <c r="DI82" s="37"/>
      <c r="DJ82" s="37"/>
      <c r="DK82" s="37"/>
      <c r="DL82" s="37"/>
      <c r="DM82" s="37"/>
      <c r="DN82" s="37"/>
      <c r="DO82" s="37"/>
      <c r="DP82" s="37"/>
      <c r="DQ82" s="37"/>
      <c r="DR82" s="37"/>
      <c r="DS82" s="37"/>
      <c r="DT82" s="37"/>
      <c r="DU82" s="37"/>
      <c r="DV82" s="37"/>
      <c r="DW82" s="37"/>
      <c r="DX82" s="37"/>
      <c r="DY82" s="37"/>
      <c r="DZ82" s="37"/>
      <c r="EA82" s="37"/>
      <c r="EB82" s="37"/>
      <c r="EC82" s="37"/>
      <c r="ED82" s="37"/>
      <c r="EE82" s="37"/>
      <c r="EF82" s="37"/>
      <c r="EG82" s="37"/>
      <c r="EH82" s="37"/>
      <c r="EI82" s="37"/>
      <c r="EJ82" s="37"/>
      <c r="EK82" s="37"/>
      <c r="EL82" s="37"/>
      <c r="EM82" s="37"/>
      <c r="EN82" s="37"/>
      <c r="EO82" s="37"/>
      <c r="EP82" s="37"/>
      <c r="EQ82" s="37"/>
      <c r="ER82" s="37"/>
      <c r="ES82" s="37"/>
      <c r="ET82" s="37"/>
      <c r="EU82" s="37"/>
      <c r="EV82" s="37"/>
      <c r="EW82" s="37"/>
      <c r="EX82" s="37"/>
      <c r="EY82" s="37"/>
      <c r="EZ82" s="37"/>
      <c r="FA82" s="37"/>
      <c r="FB82" s="37"/>
      <c r="FC82" s="37"/>
      <c r="FD82" s="37"/>
      <c r="FE82" s="37"/>
      <c r="FF82" s="37"/>
      <c r="FG82" s="37"/>
      <c r="FH82" s="37"/>
      <c r="FI82" s="37"/>
      <c r="FJ82" s="37"/>
      <c r="FK82" s="37"/>
      <c r="FL82" s="37"/>
      <c r="FM82" s="37"/>
      <c r="FN82" s="37"/>
      <c r="FO82" s="37"/>
      <c r="FP82" s="37"/>
      <c r="FQ82" s="37"/>
      <c r="FR82" s="37"/>
      <c r="FS82" s="37"/>
      <c r="FT82" s="37"/>
      <c r="FU82" s="37"/>
      <c r="FV82" s="37"/>
      <c r="FW82" s="37"/>
      <c r="FX82" s="37"/>
      <c r="FY82" s="37"/>
      <c r="FZ82" s="37"/>
      <c r="GA82" s="37"/>
      <c r="GB82" s="37"/>
      <c r="GC82" s="37"/>
      <c r="GD82" s="37"/>
      <c r="GE82" s="37"/>
      <c r="GF82" s="37"/>
      <c r="GG82" s="37"/>
      <c r="GH82" s="37"/>
      <c r="GI82" s="37"/>
      <c r="GJ82" s="37"/>
      <c r="GK82" s="37"/>
      <c r="GL82" s="37"/>
      <c r="GM82" s="37"/>
      <c r="GN82" s="37"/>
      <c r="GO82" s="37"/>
      <c r="GP82" s="37"/>
      <c r="GQ82" s="37"/>
      <c r="GR82" s="37"/>
      <c r="GS82" s="37"/>
      <c r="GT82" s="37"/>
      <c r="GU82" s="37"/>
      <c r="GV82" s="37"/>
      <c r="GW82" s="37"/>
      <c r="GX82" s="37"/>
      <c r="GY82" s="37"/>
      <c r="GZ82" s="37"/>
      <c r="HA82" s="37"/>
      <c r="HB82" s="37"/>
      <c r="HC82" s="37"/>
      <c r="HD82" s="37"/>
      <c r="HE82" s="37"/>
      <c r="HF82" s="37"/>
      <c r="HG82" s="37"/>
      <c r="HH82" s="37"/>
      <c r="HI82" s="37"/>
      <c r="HJ82" s="37"/>
      <c r="HK82" s="37"/>
      <c r="HL82" s="37"/>
      <c r="HM82" s="37"/>
      <c r="HN82" s="37"/>
      <c r="HO82" s="37"/>
      <c r="HP82" s="37"/>
      <c r="HQ82" s="37"/>
      <c r="HR82" s="37"/>
      <c r="HS82" s="37"/>
      <c r="HT82" s="37"/>
      <c r="HU82" s="37"/>
      <c r="HV82" s="37"/>
      <c r="HW82" s="37"/>
      <c r="HX82" s="37"/>
      <c r="HY82" s="37"/>
      <c r="HZ82" s="37"/>
      <c r="IA82" s="37"/>
      <c r="IB82" s="37"/>
      <c r="IC82" s="37"/>
    </row>
    <row r="83" spans="1:237" s="40" customFormat="1" x14ac:dyDescent="0.2">
      <c r="A83" s="62"/>
      <c r="B83" s="63"/>
      <c r="J83" s="37"/>
      <c r="K83" s="37"/>
      <c r="L83" s="37"/>
      <c r="M83" s="3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c r="BS83" s="37"/>
      <c r="BT83" s="37"/>
      <c r="BU83" s="37"/>
      <c r="BV83" s="37"/>
      <c r="BW83" s="37"/>
      <c r="BX83" s="37"/>
      <c r="BY83" s="37"/>
      <c r="BZ83" s="37"/>
      <c r="CA83" s="37"/>
      <c r="CB83" s="37"/>
      <c r="CC83" s="37"/>
      <c r="CD83" s="37"/>
      <c r="CE83" s="37"/>
      <c r="CF83" s="37"/>
      <c r="CG83" s="37"/>
      <c r="CH83" s="37"/>
      <c r="CI83" s="37"/>
      <c r="CJ83" s="37"/>
      <c r="CK83" s="37"/>
      <c r="CL83" s="37"/>
      <c r="CM83" s="37"/>
      <c r="CN83" s="37"/>
      <c r="CO83" s="37"/>
      <c r="CP83" s="37"/>
      <c r="CQ83" s="37"/>
      <c r="CR83" s="37"/>
      <c r="CS83" s="37"/>
      <c r="CT83" s="37"/>
      <c r="CU83" s="37"/>
      <c r="CV83" s="37"/>
      <c r="CW83" s="37"/>
      <c r="CX83" s="37"/>
      <c r="CY83" s="37"/>
      <c r="CZ83" s="37"/>
      <c r="DA83" s="37"/>
      <c r="DB83" s="37"/>
      <c r="DC83" s="37"/>
      <c r="DD83" s="37"/>
      <c r="DE83" s="37"/>
      <c r="DF83" s="37"/>
      <c r="DG83" s="37"/>
      <c r="DH83" s="37"/>
      <c r="DI83" s="37"/>
      <c r="DJ83" s="37"/>
      <c r="DK83" s="37"/>
      <c r="DL83" s="37"/>
      <c r="DM83" s="37"/>
      <c r="DN83" s="37"/>
      <c r="DO83" s="37"/>
      <c r="DP83" s="37"/>
      <c r="DQ83" s="37"/>
      <c r="DR83" s="37"/>
      <c r="DS83" s="37"/>
      <c r="DT83" s="37"/>
      <c r="DU83" s="37"/>
      <c r="DV83" s="37"/>
      <c r="DW83" s="37"/>
      <c r="DX83" s="37"/>
      <c r="DY83" s="37"/>
      <c r="DZ83" s="37"/>
      <c r="EA83" s="37"/>
      <c r="EB83" s="37"/>
      <c r="EC83" s="37"/>
      <c r="ED83" s="37"/>
      <c r="EE83" s="37"/>
      <c r="EF83" s="37"/>
      <c r="EG83" s="37"/>
      <c r="EH83" s="37"/>
      <c r="EI83" s="37"/>
      <c r="EJ83" s="37"/>
      <c r="EK83" s="37"/>
      <c r="EL83" s="37"/>
      <c r="EM83" s="37"/>
      <c r="EN83" s="37"/>
      <c r="EO83" s="37"/>
      <c r="EP83" s="37"/>
      <c r="EQ83" s="37"/>
      <c r="ER83" s="37"/>
      <c r="ES83" s="37"/>
      <c r="ET83" s="37"/>
      <c r="EU83" s="37"/>
      <c r="EV83" s="37"/>
      <c r="EW83" s="37"/>
      <c r="EX83" s="37"/>
      <c r="EY83" s="37"/>
      <c r="EZ83" s="37"/>
      <c r="FA83" s="37"/>
      <c r="FB83" s="37"/>
      <c r="FC83" s="37"/>
      <c r="FD83" s="37"/>
      <c r="FE83" s="37"/>
      <c r="FF83" s="37"/>
      <c r="FG83" s="37"/>
      <c r="FH83" s="37"/>
      <c r="FI83" s="37"/>
      <c r="FJ83" s="37"/>
      <c r="FK83" s="37"/>
      <c r="FL83" s="37"/>
      <c r="FM83" s="37"/>
      <c r="FN83" s="37"/>
      <c r="FO83" s="37"/>
      <c r="FP83" s="37"/>
      <c r="FQ83" s="37"/>
      <c r="FR83" s="37"/>
      <c r="FS83" s="37"/>
      <c r="FT83" s="37"/>
      <c r="FU83" s="37"/>
      <c r="FV83" s="37"/>
      <c r="FW83" s="37"/>
      <c r="FX83" s="37"/>
      <c r="FY83" s="37"/>
      <c r="FZ83" s="37"/>
      <c r="GA83" s="37"/>
      <c r="GB83" s="37"/>
      <c r="GC83" s="37"/>
      <c r="GD83" s="37"/>
      <c r="GE83" s="37"/>
      <c r="GF83" s="37"/>
      <c r="GG83" s="37"/>
      <c r="GH83" s="37"/>
      <c r="GI83" s="37"/>
      <c r="GJ83" s="37"/>
      <c r="GK83" s="37"/>
      <c r="GL83" s="37"/>
      <c r="GM83" s="37"/>
      <c r="GN83" s="37"/>
      <c r="GO83" s="37"/>
      <c r="GP83" s="37"/>
      <c r="GQ83" s="37"/>
      <c r="GR83" s="37"/>
      <c r="GS83" s="37"/>
      <c r="GT83" s="37"/>
      <c r="GU83" s="37"/>
      <c r="GV83" s="37"/>
      <c r="GW83" s="37"/>
      <c r="GX83" s="37"/>
      <c r="GY83" s="37"/>
      <c r="GZ83" s="37"/>
      <c r="HA83" s="37"/>
      <c r="HB83" s="37"/>
      <c r="HC83" s="37"/>
      <c r="HD83" s="37"/>
      <c r="HE83" s="37"/>
      <c r="HF83" s="37"/>
      <c r="HG83" s="37"/>
      <c r="HH83" s="37"/>
      <c r="HI83" s="37"/>
      <c r="HJ83" s="37"/>
      <c r="HK83" s="37"/>
      <c r="HL83" s="37"/>
      <c r="HM83" s="37"/>
      <c r="HN83" s="37"/>
      <c r="HO83" s="37"/>
      <c r="HP83" s="37"/>
      <c r="HQ83" s="37"/>
      <c r="HR83" s="37"/>
      <c r="HS83" s="37"/>
      <c r="HT83" s="37"/>
      <c r="HU83" s="37"/>
      <c r="HV83" s="37"/>
      <c r="HW83" s="37"/>
      <c r="HX83" s="37"/>
      <c r="HY83" s="37"/>
      <c r="HZ83" s="37"/>
      <c r="IA83" s="37"/>
      <c r="IB83" s="37"/>
      <c r="IC83" s="37"/>
    </row>
    <row r="84" spans="1:237" s="40" customFormat="1" x14ac:dyDescent="0.2">
      <c r="A84" s="62"/>
      <c r="B84" s="63"/>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37"/>
      <c r="CA84" s="37"/>
      <c r="CB84" s="37"/>
      <c r="CC84" s="37"/>
      <c r="CD84" s="37"/>
      <c r="CE84" s="37"/>
      <c r="CF84" s="37"/>
      <c r="CG84" s="37"/>
      <c r="CH84" s="37"/>
      <c r="CI84" s="37"/>
      <c r="CJ84" s="37"/>
      <c r="CK84" s="37"/>
      <c r="CL84" s="37"/>
      <c r="CM84" s="37"/>
      <c r="CN84" s="37"/>
      <c r="CO84" s="37"/>
      <c r="CP84" s="37"/>
      <c r="CQ84" s="37"/>
      <c r="CR84" s="37"/>
      <c r="CS84" s="37"/>
      <c r="CT84" s="37"/>
      <c r="CU84" s="37"/>
      <c r="CV84" s="37"/>
      <c r="CW84" s="37"/>
      <c r="CX84" s="37"/>
      <c r="CY84" s="37"/>
      <c r="CZ84" s="37"/>
      <c r="DA84" s="37"/>
      <c r="DB84" s="37"/>
      <c r="DC84" s="37"/>
      <c r="DD84" s="37"/>
      <c r="DE84" s="37"/>
      <c r="DF84" s="37"/>
      <c r="DG84" s="37"/>
      <c r="DH84" s="37"/>
      <c r="DI84" s="37"/>
      <c r="DJ84" s="37"/>
      <c r="DK84" s="37"/>
      <c r="DL84" s="37"/>
      <c r="DM84" s="37"/>
      <c r="DN84" s="37"/>
      <c r="DO84" s="37"/>
      <c r="DP84" s="37"/>
      <c r="DQ84" s="37"/>
      <c r="DR84" s="37"/>
      <c r="DS84" s="37"/>
      <c r="DT84" s="37"/>
      <c r="DU84" s="37"/>
      <c r="DV84" s="37"/>
      <c r="DW84" s="37"/>
      <c r="DX84" s="37"/>
      <c r="DY84" s="37"/>
      <c r="DZ84" s="37"/>
      <c r="EA84" s="37"/>
      <c r="EB84" s="37"/>
      <c r="EC84" s="37"/>
      <c r="ED84" s="37"/>
      <c r="EE84" s="37"/>
      <c r="EF84" s="37"/>
      <c r="EG84" s="37"/>
      <c r="EH84" s="37"/>
      <c r="EI84" s="37"/>
      <c r="EJ84" s="37"/>
      <c r="EK84" s="37"/>
      <c r="EL84" s="37"/>
      <c r="EM84" s="37"/>
      <c r="EN84" s="37"/>
      <c r="EO84" s="37"/>
      <c r="EP84" s="37"/>
      <c r="EQ84" s="37"/>
      <c r="ER84" s="37"/>
      <c r="ES84" s="37"/>
      <c r="ET84" s="37"/>
      <c r="EU84" s="37"/>
      <c r="EV84" s="37"/>
      <c r="EW84" s="37"/>
      <c r="EX84" s="37"/>
      <c r="EY84" s="37"/>
      <c r="EZ84" s="37"/>
      <c r="FA84" s="37"/>
      <c r="FB84" s="37"/>
      <c r="FC84" s="37"/>
      <c r="FD84" s="37"/>
      <c r="FE84" s="37"/>
      <c r="FF84" s="37"/>
      <c r="FG84" s="37"/>
      <c r="FH84" s="37"/>
      <c r="FI84" s="37"/>
      <c r="FJ84" s="37"/>
      <c r="FK84" s="37"/>
      <c r="FL84" s="37"/>
      <c r="FM84" s="37"/>
      <c r="FN84" s="37"/>
      <c r="FO84" s="37"/>
      <c r="FP84" s="37"/>
      <c r="FQ84" s="37"/>
      <c r="FR84" s="37"/>
      <c r="FS84" s="37"/>
      <c r="FT84" s="37"/>
      <c r="FU84" s="37"/>
      <c r="FV84" s="37"/>
      <c r="FW84" s="37"/>
      <c r="FX84" s="37"/>
      <c r="FY84" s="37"/>
      <c r="FZ84" s="37"/>
      <c r="GA84" s="37"/>
      <c r="GB84" s="37"/>
      <c r="GC84" s="37"/>
      <c r="GD84" s="37"/>
      <c r="GE84" s="37"/>
      <c r="GF84" s="37"/>
      <c r="GG84" s="37"/>
      <c r="GH84" s="37"/>
      <c r="GI84" s="37"/>
      <c r="GJ84" s="37"/>
      <c r="GK84" s="37"/>
      <c r="GL84" s="37"/>
      <c r="GM84" s="37"/>
      <c r="GN84" s="37"/>
      <c r="GO84" s="37"/>
      <c r="GP84" s="37"/>
      <c r="GQ84" s="37"/>
      <c r="GR84" s="37"/>
      <c r="GS84" s="37"/>
      <c r="GT84" s="37"/>
      <c r="GU84" s="37"/>
      <c r="GV84" s="37"/>
      <c r="GW84" s="37"/>
      <c r="GX84" s="37"/>
      <c r="GY84" s="37"/>
      <c r="GZ84" s="37"/>
      <c r="HA84" s="37"/>
      <c r="HB84" s="37"/>
      <c r="HC84" s="37"/>
      <c r="HD84" s="37"/>
      <c r="HE84" s="37"/>
      <c r="HF84" s="37"/>
      <c r="HG84" s="37"/>
      <c r="HH84" s="37"/>
      <c r="HI84" s="37"/>
      <c r="HJ84" s="37"/>
      <c r="HK84" s="37"/>
      <c r="HL84" s="37"/>
      <c r="HM84" s="37"/>
      <c r="HN84" s="37"/>
      <c r="HO84" s="37"/>
      <c r="HP84" s="37"/>
      <c r="HQ84" s="37"/>
      <c r="HR84" s="37"/>
      <c r="HS84" s="37"/>
      <c r="HT84" s="37"/>
      <c r="HU84" s="37"/>
      <c r="HV84" s="37"/>
      <c r="HW84" s="37"/>
      <c r="HX84" s="37"/>
      <c r="HY84" s="37"/>
      <c r="HZ84" s="37"/>
      <c r="IA84" s="37"/>
      <c r="IB84" s="37"/>
      <c r="IC84" s="37"/>
    </row>
    <row r="85" spans="1:237" s="40" customFormat="1" x14ac:dyDescent="0.2">
      <c r="A85" s="62"/>
      <c r="B85" s="63"/>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7"/>
      <c r="BY85" s="37"/>
      <c r="BZ85" s="37"/>
      <c r="CA85" s="37"/>
      <c r="CB85" s="37"/>
      <c r="CC85" s="37"/>
      <c r="CD85" s="37"/>
      <c r="CE85" s="37"/>
      <c r="CF85" s="37"/>
      <c r="CG85" s="37"/>
      <c r="CH85" s="37"/>
      <c r="CI85" s="37"/>
      <c r="CJ85" s="37"/>
      <c r="CK85" s="37"/>
      <c r="CL85" s="37"/>
      <c r="CM85" s="37"/>
      <c r="CN85" s="37"/>
      <c r="CO85" s="37"/>
      <c r="CP85" s="37"/>
      <c r="CQ85" s="37"/>
      <c r="CR85" s="37"/>
      <c r="CS85" s="37"/>
      <c r="CT85" s="37"/>
      <c r="CU85" s="37"/>
      <c r="CV85" s="37"/>
      <c r="CW85" s="37"/>
      <c r="CX85" s="37"/>
      <c r="CY85" s="37"/>
      <c r="CZ85" s="37"/>
      <c r="DA85" s="37"/>
      <c r="DB85" s="37"/>
      <c r="DC85" s="37"/>
      <c r="DD85" s="37"/>
      <c r="DE85" s="37"/>
      <c r="DF85" s="37"/>
      <c r="DG85" s="37"/>
      <c r="DH85" s="37"/>
      <c r="DI85" s="37"/>
      <c r="DJ85" s="37"/>
      <c r="DK85" s="37"/>
      <c r="DL85" s="37"/>
      <c r="DM85" s="37"/>
      <c r="DN85" s="37"/>
      <c r="DO85" s="37"/>
      <c r="DP85" s="37"/>
      <c r="DQ85" s="37"/>
      <c r="DR85" s="37"/>
      <c r="DS85" s="37"/>
      <c r="DT85" s="37"/>
      <c r="DU85" s="37"/>
      <c r="DV85" s="37"/>
      <c r="DW85" s="37"/>
      <c r="DX85" s="37"/>
      <c r="DY85" s="37"/>
      <c r="DZ85" s="37"/>
      <c r="EA85" s="37"/>
      <c r="EB85" s="37"/>
      <c r="EC85" s="37"/>
      <c r="ED85" s="37"/>
      <c r="EE85" s="37"/>
      <c r="EF85" s="37"/>
      <c r="EG85" s="37"/>
      <c r="EH85" s="37"/>
      <c r="EI85" s="37"/>
      <c r="EJ85" s="37"/>
      <c r="EK85" s="37"/>
      <c r="EL85" s="37"/>
      <c r="EM85" s="37"/>
      <c r="EN85" s="37"/>
      <c r="EO85" s="37"/>
      <c r="EP85" s="37"/>
      <c r="EQ85" s="37"/>
      <c r="ER85" s="37"/>
      <c r="ES85" s="37"/>
      <c r="ET85" s="37"/>
      <c r="EU85" s="37"/>
      <c r="EV85" s="37"/>
      <c r="EW85" s="37"/>
      <c r="EX85" s="37"/>
      <c r="EY85" s="37"/>
      <c r="EZ85" s="37"/>
      <c r="FA85" s="37"/>
      <c r="FB85" s="37"/>
      <c r="FC85" s="37"/>
      <c r="FD85" s="37"/>
      <c r="FE85" s="37"/>
      <c r="FF85" s="37"/>
      <c r="FG85" s="37"/>
      <c r="FH85" s="37"/>
      <c r="FI85" s="37"/>
      <c r="FJ85" s="37"/>
      <c r="FK85" s="37"/>
      <c r="FL85" s="37"/>
      <c r="FM85" s="37"/>
      <c r="FN85" s="37"/>
      <c r="FO85" s="37"/>
      <c r="FP85" s="37"/>
      <c r="FQ85" s="37"/>
      <c r="FR85" s="37"/>
      <c r="FS85" s="37"/>
      <c r="FT85" s="37"/>
      <c r="FU85" s="37"/>
      <c r="FV85" s="37"/>
      <c r="FW85" s="37"/>
      <c r="FX85" s="37"/>
      <c r="FY85" s="37"/>
      <c r="FZ85" s="37"/>
      <c r="GA85" s="37"/>
      <c r="GB85" s="37"/>
      <c r="GC85" s="37"/>
      <c r="GD85" s="37"/>
      <c r="GE85" s="37"/>
      <c r="GF85" s="37"/>
      <c r="GG85" s="37"/>
      <c r="GH85" s="37"/>
      <c r="GI85" s="37"/>
      <c r="GJ85" s="37"/>
      <c r="GK85" s="37"/>
      <c r="GL85" s="37"/>
      <c r="GM85" s="37"/>
      <c r="GN85" s="37"/>
      <c r="GO85" s="37"/>
      <c r="GP85" s="37"/>
      <c r="GQ85" s="37"/>
      <c r="GR85" s="37"/>
      <c r="GS85" s="37"/>
      <c r="GT85" s="37"/>
      <c r="GU85" s="37"/>
      <c r="GV85" s="37"/>
      <c r="GW85" s="37"/>
      <c r="GX85" s="37"/>
      <c r="GY85" s="37"/>
      <c r="GZ85" s="37"/>
      <c r="HA85" s="37"/>
      <c r="HB85" s="37"/>
      <c r="HC85" s="37"/>
      <c r="HD85" s="37"/>
      <c r="HE85" s="37"/>
      <c r="HF85" s="37"/>
      <c r="HG85" s="37"/>
      <c r="HH85" s="37"/>
      <c r="HI85" s="37"/>
      <c r="HJ85" s="37"/>
      <c r="HK85" s="37"/>
      <c r="HL85" s="37"/>
      <c r="HM85" s="37"/>
      <c r="HN85" s="37"/>
      <c r="HO85" s="37"/>
      <c r="HP85" s="37"/>
      <c r="HQ85" s="37"/>
      <c r="HR85" s="37"/>
      <c r="HS85" s="37"/>
      <c r="HT85" s="37"/>
      <c r="HU85" s="37"/>
      <c r="HV85" s="37"/>
      <c r="HW85" s="37"/>
      <c r="HX85" s="37"/>
      <c r="HY85" s="37"/>
      <c r="HZ85" s="37"/>
      <c r="IA85" s="37"/>
      <c r="IB85" s="37"/>
      <c r="IC85" s="37"/>
    </row>
    <row r="86" spans="1:237" s="40" customFormat="1" x14ac:dyDescent="0.2">
      <c r="A86" s="62"/>
      <c r="B86" s="63"/>
      <c r="J86" s="37"/>
      <c r="K86" s="37"/>
      <c r="L86" s="37"/>
      <c r="M86" s="3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c r="BA86" s="37"/>
      <c r="BB86" s="37"/>
      <c r="BC86" s="37"/>
      <c r="BD86" s="37"/>
      <c r="BE86" s="37"/>
      <c r="BF86" s="37"/>
      <c r="BG86" s="37"/>
      <c r="BH86" s="37"/>
      <c r="BI86" s="37"/>
      <c r="BJ86" s="37"/>
      <c r="BK86" s="37"/>
      <c r="BL86" s="37"/>
      <c r="BM86" s="37"/>
      <c r="BN86" s="37"/>
      <c r="BO86" s="37"/>
      <c r="BP86" s="37"/>
      <c r="BQ86" s="37"/>
      <c r="BR86" s="37"/>
      <c r="BS86" s="37"/>
      <c r="BT86" s="37"/>
      <c r="BU86" s="37"/>
      <c r="BV86" s="37"/>
      <c r="BW86" s="37"/>
      <c r="BX86" s="37"/>
      <c r="BY86" s="37"/>
      <c r="BZ86" s="37"/>
      <c r="CA86" s="37"/>
      <c r="CB86" s="37"/>
      <c r="CC86" s="37"/>
      <c r="CD86" s="37"/>
      <c r="CE86" s="37"/>
      <c r="CF86" s="37"/>
      <c r="CG86" s="37"/>
      <c r="CH86" s="37"/>
      <c r="CI86" s="37"/>
      <c r="CJ86" s="37"/>
      <c r="CK86" s="37"/>
      <c r="CL86" s="37"/>
      <c r="CM86" s="37"/>
      <c r="CN86" s="37"/>
      <c r="CO86" s="37"/>
      <c r="CP86" s="37"/>
      <c r="CQ86" s="37"/>
      <c r="CR86" s="37"/>
      <c r="CS86" s="37"/>
      <c r="CT86" s="37"/>
      <c r="CU86" s="37"/>
      <c r="CV86" s="37"/>
      <c r="CW86" s="37"/>
      <c r="CX86" s="37"/>
      <c r="CY86" s="37"/>
      <c r="CZ86" s="37"/>
      <c r="DA86" s="37"/>
      <c r="DB86" s="37"/>
      <c r="DC86" s="37"/>
      <c r="DD86" s="37"/>
      <c r="DE86" s="37"/>
      <c r="DF86" s="37"/>
      <c r="DG86" s="37"/>
      <c r="DH86" s="37"/>
      <c r="DI86" s="37"/>
      <c r="DJ86" s="37"/>
      <c r="DK86" s="37"/>
      <c r="DL86" s="37"/>
      <c r="DM86" s="37"/>
      <c r="DN86" s="37"/>
      <c r="DO86" s="37"/>
      <c r="DP86" s="37"/>
      <c r="DQ86" s="37"/>
      <c r="DR86" s="37"/>
      <c r="DS86" s="37"/>
      <c r="DT86" s="37"/>
      <c r="DU86" s="37"/>
      <c r="DV86" s="37"/>
      <c r="DW86" s="37"/>
      <c r="DX86" s="37"/>
      <c r="DY86" s="37"/>
      <c r="DZ86" s="37"/>
      <c r="EA86" s="37"/>
      <c r="EB86" s="37"/>
      <c r="EC86" s="37"/>
      <c r="ED86" s="37"/>
      <c r="EE86" s="37"/>
      <c r="EF86" s="37"/>
      <c r="EG86" s="37"/>
      <c r="EH86" s="37"/>
      <c r="EI86" s="37"/>
      <c r="EJ86" s="37"/>
      <c r="EK86" s="37"/>
      <c r="EL86" s="37"/>
      <c r="EM86" s="37"/>
      <c r="EN86" s="37"/>
      <c r="EO86" s="37"/>
      <c r="EP86" s="37"/>
      <c r="EQ86" s="37"/>
      <c r="ER86" s="37"/>
      <c r="ES86" s="37"/>
      <c r="ET86" s="37"/>
      <c r="EU86" s="37"/>
      <c r="EV86" s="37"/>
      <c r="EW86" s="37"/>
      <c r="EX86" s="37"/>
      <c r="EY86" s="37"/>
      <c r="EZ86" s="37"/>
      <c r="FA86" s="37"/>
      <c r="FB86" s="37"/>
      <c r="FC86" s="37"/>
      <c r="FD86" s="37"/>
      <c r="FE86" s="37"/>
      <c r="FF86" s="37"/>
      <c r="FG86" s="37"/>
      <c r="FH86" s="37"/>
      <c r="FI86" s="37"/>
      <c r="FJ86" s="37"/>
      <c r="FK86" s="37"/>
      <c r="FL86" s="37"/>
      <c r="FM86" s="37"/>
      <c r="FN86" s="37"/>
      <c r="FO86" s="37"/>
      <c r="FP86" s="37"/>
      <c r="FQ86" s="37"/>
      <c r="FR86" s="37"/>
      <c r="FS86" s="37"/>
      <c r="FT86" s="37"/>
      <c r="FU86" s="37"/>
      <c r="FV86" s="37"/>
      <c r="FW86" s="37"/>
      <c r="FX86" s="37"/>
      <c r="FY86" s="37"/>
      <c r="FZ86" s="37"/>
      <c r="GA86" s="37"/>
      <c r="GB86" s="37"/>
      <c r="GC86" s="37"/>
      <c r="GD86" s="37"/>
      <c r="GE86" s="37"/>
      <c r="GF86" s="37"/>
      <c r="GG86" s="37"/>
      <c r="GH86" s="37"/>
      <c r="GI86" s="37"/>
      <c r="GJ86" s="37"/>
      <c r="GK86" s="37"/>
      <c r="GL86" s="37"/>
      <c r="GM86" s="37"/>
      <c r="GN86" s="37"/>
      <c r="GO86" s="37"/>
      <c r="GP86" s="37"/>
      <c r="GQ86" s="37"/>
      <c r="GR86" s="37"/>
      <c r="GS86" s="37"/>
      <c r="GT86" s="37"/>
      <c r="GU86" s="37"/>
      <c r="GV86" s="37"/>
      <c r="GW86" s="37"/>
      <c r="GX86" s="37"/>
      <c r="GY86" s="37"/>
      <c r="GZ86" s="37"/>
      <c r="HA86" s="37"/>
      <c r="HB86" s="37"/>
      <c r="HC86" s="37"/>
      <c r="HD86" s="37"/>
      <c r="HE86" s="37"/>
      <c r="HF86" s="37"/>
      <c r="HG86" s="37"/>
      <c r="HH86" s="37"/>
      <c r="HI86" s="37"/>
      <c r="HJ86" s="37"/>
      <c r="HK86" s="37"/>
      <c r="HL86" s="37"/>
      <c r="HM86" s="37"/>
      <c r="HN86" s="37"/>
      <c r="HO86" s="37"/>
      <c r="HP86" s="37"/>
      <c r="HQ86" s="37"/>
      <c r="HR86" s="37"/>
      <c r="HS86" s="37"/>
      <c r="HT86" s="37"/>
      <c r="HU86" s="37"/>
      <c r="HV86" s="37"/>
      <c r="HW86" s="37"/>
      <c r="HX86" s="37"/>
      <c r="HY86" s="37"/>
      <c r="HZ86" s="37"/>
      <c r="IA86" s="37"/>
      <c r="IB86" s="37"/>
      <c r="IC86" s="37"/>
    </row>
    <row r="87" spans="1:237" s="40" customFormat="1" x14ac:dyDescent="0.2">
      <c r="A87" s="62"/>
      <c r="B87" s="63"/>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37"/>
      <c r="BT87" s="37"/>
      <c r="BU87" s="37"/>
      <c r="BV87" s="37"/>
      <c r="BW87" s="37"/>
      <c r="BX87" s="37"/>
      <c r="BY87" s="37"/>
      <c r="BZ87" s="37"/>
      <c r="CA87" s="37"/>
      <c r="CB87" s="37"/>
      <c r="CC87" s="37"/>
      <c r="CD87" s="37"/>
      <c r="CE87" s="37"/>
      <c r="CF87" s="37"/>
      <c r="CG87" s="37"/>
      <c r="CH87" s="37"/>
      <c r="CI87" s="37"/>
      <c r="CJ87" s="37"/>
      <c r="CK87" s="37"/>
      <c r="CL87" s="37"/>
      <c r="CM87" s="37"/>
      <c r="CN87" s="37"/>
      <c r="CO87" s="37"/>
      <c r="CP87" s="37"/>
      <c r="CQ87" s="37"/>
      <c r="CR87" s="37"/>
      <c r="CS87" s="37"/>
      <c r="CT87" s="37"/>
      <c r="CU87" s="37"/>
      <c r="CV87" s="37"/>
      <c r="CW87" s="37"/>
      <c r="CX87" s="37"/>
      <c r="CY87" s="37"/>
      <c r="CZ87" s="37"/>
      <c r="DA87" s="37"/>
      <c r="DB87" s="37"/>
      <c r="DC87" s="37"/>
      <c r="DD87" s="37"/>
      <c r="DE87" s="37"/>
      <c r="DF87" s="37"/>
      <c r="DG87" s="37"/>
      <c r="DH87" s="37"/>
      <c r="DI87" s="37"/>
      <c r="DJ87" s="37"/>
      <c r="DK87" s="37"/>
      <c r="DL87" s="37"/>
      <c r="DM87" s="37"/>
      <c r="DN87" s="37"/>
      <c r="DO87" s="37"/>
      <c r="DP87" s="37"/>
      <c r="DQ87" s="37"/>
      <c r="DR87" s="37"/>
      <c r="DS87" s="37"/>
      <c r="DT87" s="37"/>
      <c r="DU87" s="37"/>
      <c r="DV87" s="37"/>
      <c r="DW87" s="37"/>
      <c r="DX87" s="37"/>
      <c r="DY87" s="37"/>
      <c r="DZ87" s="37"/>
      <c r="EA87" s="37"/>
      <c r="EB87" s="37"/>
      <c r="EC87" s="37"/>
      <c r="ED87" s="37"/>
      <c r="EE87" s="37"/>
      <c r="EF87" s="37"/>
      <c r="EG87" s="37"/>
      <c r="EH87" s="37"/>
      <c r="EI87" s="37"/>
      <c r="EJ87" s="37"/>
      <c r="EK87" s="37"/>
      <c r="EL87" s="37"/>
      <c r="EM87" s="37"/>
      <c r="EN87" s="37"/>
      <c r="EO87" s="37"/>
      <c r="EP87" s="37"/>
      <c r="EQ87" s="37"/>
      <c r="ER87" s="37"/>
      <c r="ES87" s="37"/>
      <c r="ET87" s="37"/>
      <c r="EU87" s="37"/>
      <c r="EV87" s="37"/>
      <c r="EW87" s="37"/>
      <c r="EX87" s="37"/>
      <c r="EY87" s="37"/>
      <c r="EZ87" s="37"/>
      <c r="FA87" s="37"/>
      <c r="FB87" s="37"/>
      <c r="FC87" s="37"/>
      <c r="FD87" s="37"/>
      <c r="FE87" s="37"/>
      <c r="FF87" s="37"/>
      <c r="FG87" s="37"/>
      <c r="FH87" s="37"/>
      <c r="FI87" s="37"/>
      <c r="FJ87" s="37"/>
      <c r="FK87" s="37"/>
      <c r="FL87" s="37"/>
      <c r="FM87" s="37"/>
      <c r="FN87" s="37"/>
      <c r="FO87" s="37"/>
      <c r="FP87" s="37"/>
      <c r="FQ87" s="37"/>
      <c r="FR87" s="37"/>
      <c r="FS87" s="37"/>
      <c r="FT87" s="37"/>
      <c r="FU87" s="37"/>
      <c r="FV87" s="37"/>
      <c r="FW87" s="37"/>
      <c r="FX87" s="37"/>
      <c r="FY87" s="37"/>
      <c r="FZ87" s="37"/>
      <c r="GA87" s="37"/>
      <c r="GB87" s="37"/>
      <c r="GC87" s="37"/>
      <c r="GD87" s="37"/>
      <c r="GE87" s="37"/>
      <c r="GF87" s="37"/>
      <c r="GG87" s="37"/>
      <c r="GH87" s="37"/>
      <c r="GI87" s="37"/>
      <c r="GJ87" s="37"/>
      <c r="GK87" s="37"/>
      <c r="GL87" s="37"/>
      <c r="GM87" s="37"/>
      <c r="GN87" s="37"/>
      <c r="GO87" s="37"/>
      <c r="GP87" s="37"/>
      <c r="GQ87" s="37"/>
      <c r="GR87" s="37"/>
      <c r="GS87" s="37"/>
      <c r="GT87" s="37"/>
      <c r="GU87" s="37"/>
      <c r="GV87" s="37"/>
      <c r="GW87" s="37"/>
      <c r="GX87" s="37"/>
      <c r="GY87" s="37"/>
      <c r="GZ87" s="37"/>
      <c r="HA87" s="37"/>
      <c r="HB87" s="37"/>
      <c r="HC87" s="37"/>
      <c r="HD87" s="37"/>
      <c r="HE87" s="37"/>
      <c r="HF87" s="37"/>
      <c r="HG87" s="37"/>
      <c r="HH87" s="37"/>
      <c r="HI87" s="37"/>
      <c r="HJ87" s="37"/>
      <c r="HK87" s="37"/>
      <c r="HL87" s="37"/>
      <c r="HM87" s="37"/>
      <c r="HN87" s="37"/>
      <c r="HO87" s="37"/>
      <c r="HP87" s="37"/>
      <c r="HQ87" s="37"/>
      <c r="HR87" s="37"/>
      <c r="HS87" s="37"/>
      <c r="HT87" s="37"/>
      <c r="HU87" s="37"/>
      <c r="HV87" s="37"/>
      <c r="HW87" s="37"/>
      <c r="HX87" s="37"/>
      <c r="HY87" s="37"/>
      <c r="HZ87" s="37"/>
      <c r="IA87" s="37"/>
      <c r="IB87" s="37"/>
      <c r="IC87" s="37"/>
    </row>
    <row r="88" spans="1:237" s="40" customFormat="1" x14ac:dyDescent="0.2">
      <c r="A88" s="62"/>
      <c r="B88" s="63"/>
      <c r="J88" s="37"/>
      <c r="K88" s="37"/>
      <c r="L88" s="37"/>
      <c r="M88" s="3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c r="BB88" s="37"/>
      <c r="BC88" s="37"/>
      <c r="BD88" s="37"/>
      <c r="BE88" s="37"/>
      <c r="BF88" s="37"/>
      <c r="BG88" s="37"/>
      <c r="BH88" s="37"/>
      <c r="BI88" s="37"/>
      <c r="BJ88" s="37"/>
      <c r="BK88" s="37"/>
      <c r="BL88" s="37"/>
      <c r="BM88" s="37"/>
      <c r="BN88" s="37"/>
      <c r="BO88" s="37"/>
      <c r="BP88" s="37"/>
      <c r="BQ88" s="37"/>
      <c r="BR88" s="37"/>
      <c r="BS88" s="37"/>
      <c r="BT88" s="37"/>
      <c r="BU88" s="37"/>
      <c r="BV88" s="37"/>
      <c r="BW88" s="37"/>
      <c r="BX88" s="37"/>
      <c r="BY88" s="37"/>
      <c r="BZ88" s="37"/>
      <c r="CA88" s="37"/>
      <c r="CB88" s="37"/>
      <c r="CC88" s="37"/>
      <c r="CD88" s="37"/>
      <c r="CE88" s="37"/>
      <c r="CF88" s="37"/>
      <c r="CG88" s="37"/>
      <c r="CH88" s="37"/>
      <c r="CI88" s="37"/>
      <c r="CJ88" s="37"/>
      <c r="CK88" s="37"/>
      <c r="CL88" s="37"/>
      <c r="CM88" s="37"/>
      <c r="CN88" s="37"/>
      <c r="CO88" s="37"/>
      <c r="CP88" s="37"/>
      <c r="CQ88" s="37"/>
      <c r="CR88" s="37"/>
      <c r="CS88" s="37"/>
      <c r="CT88" s="37"/>
      <c r="CU88" s="37"/>
      <c r="CV88" s="37"/>
      <c r="CW88" s="37"/>
      <c r="CX88" s="37"/>
      <c r="CY88" s="37"/>
      <c r="CZ88" s="37"/>
      <c r="DA88" s="37"/>
      <c r="DB88" s="37"/>
      <c r="DC88" s="37"/>
      <c r="DD88" s="37"/>
      <c r="DE88" s="37"/>
      <c r="DF88" s="37"/>
      <c r="DG88" s="37"/>
      <c r="DH88" s="37"/>
      <c r="DI88" s="37"/>
      <c r="DJ88" s="37"/>
      <c r="DK88" s="37"/>
      <c r="DL88" s="37"/>
      <c r="DM88" s="37"/>
      <c r="DN88" s="37"/>
      <c r="DO88" s="37"/>
      <c r="DP88" s="37"/>
      <c r="DQ88" s="37"/>
      <c r="DR88" s="37"/>
      <c r="DS88" s="37"/>
      <c r="DT88" s="37"/>
      <c r="DU88" s="37"/>
      <c r="DV88" s="37"/>
      <c r="DW88" s="37"/>
      <c r="DX88" s="37"/>
      <c r="DY88" s="37"/>
      <c r="DZ88" s="37"/>
      <c r="EA88" s="37"/>
      <c r="EB88" s="37"/>
      <c r="EC88" s="37"/>
      <c r="ED88" s="37"/>
      <c r="EE88" s="37"/>
      <c r="EF88" s="37"/>
      <c r="EG88" s="37"/>
      <c r="EH88" s="37"/>
      <c r="EI88" s="37"/>
      <c r="EJ88" s="37"/>
      <c r="EK88" s="37"/>
      <c r="EL88" s="37"/>
      <c r="EM88" s="37"/>
      <c r="EN88" s="37"/>
      <c r="EO88" s="37"/>
      <c r="EP88" s="37"/>
      <c r="EQ88" s="37"/>
      <c r="ER88" s="37"/>
      <c r="ES88" s="37"/>
      <c r="ET88" s="37"/>
      <c r="EU88" s="37"/>
      <c r="EV88" s="37"/>
      <c r="EW88" s="37"/>
      <c r="EX88" s="37"/>
      <c r="EY88" s="37"/>
      <c r="EZ88" s="37"/>
      <c r="FA88" s="37"/>
      <c r="FB88" s="37"/>
      <c r="FC88" s="37"/>
      <c r="FD88" s="37"/>
      <c r="FE88" s="37"/>
      <c r="FF88" s="37"/>
      <c r="FG88" s="37"/>
      <c r="FH88" s="37"/>
      <c r="FI88" s="37"/>
      <c r="FJ88" s="37"/>
      <c r="FK88" s="37"/>
      <c r="FL88" s="37"/>
      <c r="FM88" s="37"/>
      <c r="FN88" s="37"/>
      <c r="FO88" s="37"/>
      <c r="FP88" s="37"/>
      <c r="FQ88" s="37"/>
      <c r="FR88" s="37"/>
      <c r="FS88" s="37"/>
      <c r="FT88" s="37"/>
      <c r="FU88" s="37"/>
      <c r="FV88" s="37"/>
      <c r="FW88" s="37"/>
      <c r="FX88" s="37"/>
      <c r="FY88" s="37"/>
      <c r="FZ88" s="37"/>
      <c r="GA88" s="37"/>
      <c r="GB88" s="37"/>
      <c r="GC88" s="37"/>
      <c r="GD88" s="37"/>
      <c r="GE88" s="37"/>
      <c r="GF88" s="37"/>
      <c r="GG88" s="37"/>
      <c r="GH88" s="37"/>
      <c r="GI88" s="37"/>
      <c r="GJ88" s="37"/>
      <c r="GK88" s="37"/>
      <c r="GL88" s="37"/>
      <c r="GM88" s="37"/>
      <c r="GN88" s="37"/>
      <c r="GO88" s="37"/>
      <c r="GP88" s="37"/>
      <c r="GQ88" s="37"/>
      <c r="GR88" s="37"/>
      <c r="GS88" s="37"/>
      <c r="GT88" s="37"/>
      <c r="GU88" s="37"/>
      <c r="GV88" s="37"/>
      <c r="GW88" s="37"/>
      <c r="GX88" s="37"/>
      <c r="GY88" s="37"/>
      <c r="GZ88" s="37"/>
      <c r="HA88" s="37"/>
      <c r="HB88" s="37"/>
      <c r="HC88" s="37"/>
      <c r="HD88" s="37"/>
      <c r="HE88" s="37"/>
      <c r="HF88" s="37"/>
      <c r="HG88" s="37"/>
      <c r="HH88" s="37"/>
      <c r="HI88" s="37"/>
      <c r="HJ88" s="37"/>
      <c r="HK88" s="37"/>
      <c r="HL88" s="37"/>
      <c r="HM88" s="37"/>
      <c r="HN88" s="37"/>
      <c r="HO88" s="37"/>
      <c r="HP88" s="37"/>
      <c r="HQ88" s="37"/>
      <c r="HR88" s="37"/>
      <c r="HS88" s="37"/>
      <c r="HT88" s="37"/>
      <c r="HU88" s="37"/>
      <c r="HV88" s="37"/>
      <c r="HW88" s="37"/>
      <c r="HX88" s="37"/>
      <c r="HY88" s="37"/>
      <c r="HZ88" s="37"/>
      <c r="IA88" s="37"/>
      <c r="IB88" s="37"/>
      <c r="IC88" s="37"/>
    </row>
    <row r="89" spans="1:237" s="40" customFormat="1" x14ac:dyDescent="0.2">
      <c r="A89" s="62"/>
      <c r="B89" s="63"/>
      <c r="J89" s="37"/>
      <c r="K89" s="37"/>
      <c r="L89" s="37"/>
      <c r="M89" s="3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c r="BK89" s="37"/>
      <c r="BL89" s="37"/>
      <c r="BM89" s="37"/>
      <c r="BN89" s="37"/>
      <c r="BO89" s="37"/>
      <c r="BP89" s="37"/>
      <c r="BQ89" s="37"/>
      <c r="BR89" s="37"/>
      <c r="BS89" s="37"/>
      <c r="BT89" s="37"/>
      <c r="BU89" s="37"/>
      <c r="BV89" s="37"/>
      <c r="BW89" s="37"/>
      <c r="BX89" s="37"/>
      <c r="BY89" s="37"/>
      <c r="BZ89" s="37"/>
      <c r="CA89" s="37"/>
      <c r="CB89" s="37"/>
      <c r="CC89" s="37"/>
      <c r="CD89" s="37"/>
      <c r="CE89" s="37"/>
      <c r="CF89" s="37"/>
      <c r="CG89" s="37"/>
      <c r="CH89" s="37"/>
      <c r="CI89" s="37"/>
      <c r="CJ89" s="37"/>
      <c r="CK89" s="37"/>
      <c r="CL89" s="37"/>
      <c r="CM89" s="37"/>
      <c r="CN89" s="37"/>
      <c r="CO89" s="37"/>
      <c r="CP89" s="37"/>
      <c r="CQ89" s="37"/>
      <c r="CR89" s="37"/>
      <c r="CS89" s="37"/>
      <c r="CT89" s="37"/>
      <c r="CU89" s="37"/>
      <c r="CV89" s="37"/>
      <c r="CW89" s="37"/>
      <c r="CX89" s="37"/>
      <c r="CY89" s="37"/>
      <c r="CZ89" s="37"/>
      <c r="DA89" s="37"/>
      <c r="DB89" s="37"/>
      <c r="DC89" s="37"/>
      <c r="DD89" s="37"/>
      <c r="DE89" s="37"/>
      <c r="DF89" s="37"/>
      <c r="DG89" s="37"/>
      <c r="DH89" s="37"/>
      <c r="DI89" s="37"/>
      <c r="DJ89" s="37"/>
      <c r="DK89" s="37"/>
      <c r="DL89" s="37"/>
      <c r="DM89" s="37"/>
      <c r="DN89" s="37"/>
      <c r="DO89" s="37"/>
      <c r="DP89" s="37"/>
      <c r="DQ89" s="37"/>
      <c r="DR89" s="37"/>
      <c r="DS89" s="37"/>
      <c r="DT89" s="37"/>
      <c r="DU89" s="37"/>
      <c r="DV89" s="37"/>
      <c r="DW89" s="37"/>
      <c r="DX89" s="37"/>
      <c r="DY89" s="37"/>
      <c r="DZ89" s="37"/>
      <c r="EA89" s="37"/>
      <c r="EB89" s="37"/>
      <c r="EC89" s="37"/>
      <c r="ED89" s="37"/>
      <c r="EE89" s="37"/>
      <c r="EF89" s="37"/>
      <c r="EG89" s="37"/>
      <c r="EH89" s="37"/>
      <c r="EI89" s="37"/>
      <c r="EJ89" s="37"/>
      <c r="EK89" s="37"/>
      <c r="EL89" s="37"/>
      <c r="EM89" s="37"/>
      <c r="EN89" s="37"/>
      <c r="EO89" s="37"/>
      <c r="EP89" s="37"/>
      <c r="EQ89" s="37"/>
      <c r="ER89" s="37"/>
      <c r="ES89" s="37"/>
      <c r="ET89" s="37"/>
      <c r="EU89" s="37"/>
      <c r="EV89" s="37"/>
      <c r="EW89" s="37"/>
      <c r="EX89" s="37"/>
      <c r="EY89" s="37"/>
      <c r="EZ89" s="37"/>
      <c r="FA89" s="37"/>
      <c r="FB89" s="37"/>
      <c r="FC89" s="37"/>
      <c r="FD89" s="37"/>
      <c r="FE89" s="37"/>
      <c r="FF89" s="37"/>
      <c r="FG89" s="37"/>
      <c r="FH89" s="37"/>
      <c r="FI89" s="37"/>
      <c r="FJ89" s="37"/>
      <c r="FK89" s="37"/>
      <c r="FL89" s="37"/>
      <c r="FM89" s="37"/>
      <c r="FN89" s="37"/>
      <c r="FO89" s="37"/>
      <c r="FP89" s="37"/>
      <c r="FQ89" s="37"/>
      <c r="FR89" s="37"/>
      <c r="FS89" s="37"/>
      <c r="FT89" s="37"/>
      <c r="FU89" s="37"/>
      <c r="FV89" s="37"/>
      <c r="FW89" s="37"/>
      <c r="FX89" s="37"/>
      <c r="FY89" s="37"/>
      <c r="FZ89" s="37"/>
      <c r="GA89" s="37"/>
      <c r="GB89" s="37"/>
      <c r="GC89" s="37"/>
      <c r="GD89" s="37"/>
      <c r="GE89" s="37"/>
      <c r="GF89" s="37"/>
      <c r="GG89" s="37"/>
      <c r="GH89" s="37"/>
      <c r="GI89" s="37"/>
      <c r="GJ89" s="37"/>
      <c r="GK89" s="37"/>
      <c r="GL89" s="37"/>
      <c r="GM89" s="37"/>
      <c r="GN89" s="37"/>
      <c r="GO89" s="37"/>
      <c r="GP89" s="37"/>
      <c r="GQ89" s="37"/>
      <c r="GR89" s="37"/>
      <c r="GS89" s="37"/>
      <c r="GT89" s="37"/>
      <c r="GU89" s="37"/>
      <c r="GV89" s="37"/>
      <c r="GW89" s="37"/>
      <c r="GX89" s="37"/>
      <c r="GY89" s="37"/>
      <c r="GZ89" s="37"/>
      <c r="HA89" s="37"/>
      <c r="HB89" s="37"/>
      <c r="HC89" s="37"/>
      <c r="HD89" s="37"/>
      <c r="HE89" s="37"/>
      <c r="HF89" s="37"/>
      <c r="HG89" s="37"/>
      <c r="HH89" s="37"/>
      <c r="HI89" s="37"/>
      <c r="HJ89" s="37"/>
      <c r="HK89" s="37"/>
      <c r="HL89" s="37"/>
      <c r="HM89" s="37"/>
      <c r="HN89" s="37"/>
      <c r="HO89" s="37"/>
      <c r="HP89" s="37"/>
      <c r="HQ89" s="37"/>
      <c r="HR89" s="37"/>
      <c r="HS89" s="37"/>
      <c r="HT89" s="37"/>
      <c r="HU89" s="37"/>
      <c r="HV89" s="37"/>
      <c r="HW89" s="37"/>
      <c r="HX89" s="37"/>
      <c r="HY89" s="37"/>
      <c r="HZ89" s="37"/>
      <c r="IA89" s="37"/>
      <c r="IB89" s="37"/>
      <c r="IC89" s="37"/>
    </row>
    <row r="90" spans="1:237" s="40" customFormat="1" x14ac:dyDescent="0.2">
      <c r="A90" s="62"/>
      <c r="B90" s="63"/>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7"/>
      <c r="BY90" s="37"/>
      <c r="BZ90" s="37"/>
      <c r="CA90" s="37"/>
      <c r="CB90" s="37"/>
      <c r="CC90" s="37"/>
      <c r="CD90" s="37"/>
      <c r="CE90" s="37"/>
      <c r="CF90" s="37"/>
      <c r="CG90" s="37"/>
      <c r="CH90" s="37"/>
      <c r="CI90" s="37"/>
      <c r="CJ90" s="37"/>
      <c r="CK90" s="37"/>
      <c r="CL90" s="37"/>
      <c r="CM90" s="37"/>
      <c r="CN90" s="37"/>
      <c r="CO90" s="37"/>
      <c r="CP90" s="37"/>
      <c r="CQ90" s="37"/>
      <c r="CR90" s="37"/>
      <c r="CS90" s="37"/>
      <c r="CT90" s="37"/>
      <c r="CU90" s="37"/>
      <c r="CV90" s="37"/>
      <c r="CW90" s="37"/>
      <c r="CX90" s="37"/>
      <c r="CY90" s="37"/>
      <c r="CZ90" s="37"/>
      <c r="DA90" s="37"/>
      <c r="DB90" s="37"/>
      <c r="DC90" s="37"/>
      <c r="DD90" s="37"/>
      <c r="DE90" s="37"/>
      <c r="DF90" s="37"/>
      <c r="DG90" s="37"/>
      <c r="DH90" s="37"/>
      <c r="DI90" s="37"/>
      <c r="DJ90" s="37"/>
      <c r="DK90" s="37"/>
      <c r="DL90" s="37"/>
      <c r="DM90" s="37"/>
      <c r="DN90" s="37"/>
      <c r="DO90" s="37"/>
      <c r="DP90" s="37"/>
      <c r="DQ90" s="37"/>
      <c r="DR90" s="37"/>
      <c r="DS90" s="37"/>
      <c r="DT90" s="37"/>
      <c r="DU90" s="37"/>
      <c r="DV90" s="37"/>
      <c r="DW90" s="37"/>
      <c r="DX90" s="37"/>
      <c r="DY90" s="37"/>
      <c r="DZ90" s="37"/>
      <c r="EA90" s="37"/>
      <c r="EB90" s="37"/>
      <c r="EC90" s="37"/>
      <c r="ED90" s="37"/>
      <c r="EE90" s="37"/>
      <c r="EF90" s="37"/>
      <c r="EG90" s="37"/>
      <c r="EH90" s="37"/>
      <c r="EI90" s="37"/>
      <c r="EJ90" s="37"/>
      <c r="EK90" s="37"/>
      <c r="EL90" s="37"/>
      <c r="EM90" s="37"/>
      <c r="EN90" s="37"/>
      <c r="EO90" s="37"/>
      <c r="EP90" s="37"/>
      <c r="EQ90" s="37"/>
      <c r="ER90" s="37"/>
      <c r="ES90" s="37"/>
      <c r="ET90" s="37"/>
      <c r="EU90" s="37"/>
      <c r="EV90" s="37"/>
      <c r="EW90" s="37"/>
      <c r="EX90" s="37"/>
      <c r="EY90" s="37"/>
      <c r="EZ90" s="37"/>
      <c r="FA90" s="37"/>
      <c r="FB90" s="37"/>
      <c r="FC90" s="37"/>
      <c r="FD90" s="37"/>
      <c r="FE90" s="37"/>
      <c r="FF90" s="37"/>
      <c r="FG90" s="37"/>
      <c r="FH90" s="37"/>
      <c r="FI90" s="37"/>
      <c r="FJ90" s="37"/>
      <c r="FK90" s="37"/>
      <c r="FL90" s="37"/>
      <c r="FM90" s="37"/>
      <c r="FN90" s="37"/>
      <c r="FO90" s="37"/>
      <c r="FP90" s="37"/>
      <c r="FQ90" s="37"/>
      <c r="FR90" s="37"/>
      <c r="FS90" s="37"/>
      <c r="FT90" s="37"/>
      <c r="FU90" s="37"/>
      <c r="FV90" s="37"/>
      <c r="FW90" s="37"/>
      <c r="FX90" s="37"/>
      <c r="FY90" s="37"/>
      <c r="FZ90" s="37"/>
      <c r="GA90" s="37"/>
      <c r="GB90" s="37"/>
      <c r="GC90" s="37"/>
      <c r="GD90" s="37"/>
      <c r="GE90" s="37"/>
      <c r="GF90" s="37"/>
      <c r="GG90" s="37"/>
      <c r="GH90" s="37"/>
      <c r="GI90" s="37"/>
      <c r="GJ90" s="37"/>
      <c r="GK90" s="37"/>
      <c r="GL90" s="37"/>
      <c r="GM90" s="37"/>
      <c r="GN90" s="37"/>
      <c r="GO90" s="37"/>
      <c r="GP90" s="37"/>
      <c r="GQ90" s="37"/>
      <c r="GR90" s="37"/>
      <c r="GS90" s="37"/>
      <c r="GT90" s="37"/>
      <c r="GU90" s="37"/>
      <c r="GV90" s="37"/>
      <c r="GW90" s="37"/>
      <c r="GX90" s="37"/>
      <c r="GY90" s="37"/>
      <c r="GZ90" s="37"/>
      <c r="HA90" s="37"/>
      <c r="HB90" s="37"/>
      <c r="HC90" s="37"/>
      <c r="HD90" s="37"/>
      <c r="HE90" s="37"/>
      <c r="HF90" s="37"/>
      <c r="HG90" s="37"/>
      <c r="HH90" s="37"/>
      <c r="HI90" s="37"/>
      <c r="HJ90" s="37"/>
      <c r="HK90" s="37"/>
      <c r="HL90" s="37"/>
      <c r="HM90" s="37"/>
      <c r="HN90" s="37"/>
      <c r="HO90" s="37"/>
      <c r="HP90" s="37"/>
      <c r="HQ90" s="37"/>
      <c r="HR90" s="37"/>
      <c r="HS90" s="37"/>
      <c r="HT90" s="37"/>
      <c r="HU90" s="37"/>
      <c r="HV90" s="37"/>
      <c r="HW90" s="37"/>
      <c r="HX90" s="37"/>
      <c r="HY90" s="37"/>
      <c r="HZ90" s="37"/>
      <c r="IA90" s="37"/>
      <c r="IB90" s="37"/>
      <c r="IC90" s="37"/>
    </row>
    <row r="91" spans="1:237" s="40" customFormat="1" x14ac:dyDescent="0.2">
      <c r="A91" s="62"/>
      <c r="B91" s="63"/>
      <c r="J91" s="37"/>
      <c r="K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7"/>
      <c r="BR91" s="37"/>
      <c r="BS91" s="37"/>
      <c r="BT91" s="37"/>
      <c r="BU91" s="37"/>
      <c r="BV91" s="37"/>
      <c r="BW91" s="37"/>
      <c r="BX91" s="37"/>
      <c r="BY91" s="37"/>
      <c r="BZ91" s="37"/>
      <c r="CA91" s="37"/>
      <c r="CB91" s="37"/>
      <c r="CC91" s="37"/>
      <c r="CD91" s="37"/>
      <c r="CE91" s="37"/>
      <c r="CF91" s="37"/>
      <c r="CG91" s="37"/>
      <c r="CH91" s="37"/>
      <c r="CI91" s="37"/>
      <c r="CJ91" s="37"/>
      <c r="CK91" s="37"/>
      <c r="CL91" s="37"/>
      <c r="CM91" s="37"/>
      <c r="CN91" s="37"/>
      <c r="CO91" s="37"/>
      <c r="CP91" s="37"/>
      <c r="CQ91" s="37"/>
      <c r="CR91" s="37"/>
      <c r="CS91" s="37"/>
      <c r="CT91" s="37"/>
      <c r="CU91" s="37"/>
      <c r="CV91" s="37"/>
      <c r="CW91" s="37"/>
      <c r="CX91" s="37"/>
      <c r="CY91" s="37"/>
      <c r="CZ91" s="37"/>
      <c r="DA91" s="37"/>
      <c r="DB91" s="37"/>
      <c r="DC91" s="37"/>
      <c r="DD91" s="37"/>
      <c r="DE91" s="37"/>
      <c r="DF91" s="37"/>
      <c r="DG91" s="37"/>
      <c r="DH91" s="37"/>
      <c r="DI91" s="37"/>
      <c r="DJ91" s="37"/>
      <c r="DK91" s="37"/>
      <c r="DL91" s="37"/>
      <c r="DM91" s="37"/>
      <c r="DN91" s="37"/>
      <c r="DO91" s="37"/>
      <c r="DP91" s="37"/>
      <c r="DQ91" s="37"/>
      <c r="DR91" s="37"/>
      <c r="DS91" s="37"/>
      <c r="DT91" s="37"/>
      <c r="DU91" s="37"/>
      <c r="DV91" s="37"/>
      <c r="DW91" s="37"/>
      <c r="DX91" s="37"/>
      <c r="DY91" s="37"/>
      <c r="DZ91" s="37"/>
      <c r="EA91" s="37"/>
      <c r="EB91" s="37"/>
      <c r="EC91" s="37"/>
      <c r="ED91" s="37"/>
      <c r="EE91" s="37"/>
      <c r="EF91" s="37"/>
      <c r="EG91" s="37"/>
      <c r="EH91" s="37"/>
      <c r="EI91" s="37"/>
      <c r="EJ91" s="37"/>
      <c r="EK91" s="37"/>
      <c r="EL91" s="37"/>
      <c r="EM91" s="37"/>
      <c r="EN91" s="37"/>
      <c r="EO91" s="37"/>
      <c r="EP91" s="37"/>
      <c r="EQ91" s="37"/>
      <c r="ER91" s="37"/>
      <c r="ES91" s="37"/>
      <c r="ET91" s="37"/>
      <c r="EU91" s="37"/>
      <c r="EV91" s="37"/>
      <c r="EW91" s="37"/>
      <c r="EX91" s="37"/>
      <c r="EY91" s="37"/>
      <c r="EZ91" s="37"/>
      <c r="FA91" s="37"/>
      <c r="FB91" s="37"/>
      <c r="FC91" s="37"/>
      <c r="FD91" s="37"/>
      <c r="FE91" s="37"/>
      <c r="FF91" s="37"/>
      <c r="FG91" s="37"/>
      <c r="FH91" s="37"/>
      <c r="FI91" s="37"/>
      <c r="FJ91" s="37"/>
      <c r="FK91" s="37"/>
      <c r="FL91" s="37"/>
      <c r="FM91" s="37"/>
      <c r="FN91" s="37"/>
      <c r="FO91" s="37"/>
      <c r="FP91" s="37"/>
      <c r="FQ91" s="37"/>
      <c r="FR91" s="37"/>
      <c r="FS91" s="37"/>
      <c r="FT91" s="37"/>
      <c r="FU91" s="37"/>
      <c r="FV91" s="37"/>
      <c r="FW91" s="37"/>
      <c r="FX91" s="37"/>
      <c r="FY91" s="37"/>
      <c r="FZ91" s="37"/>
      <c r="GA91" s="37"/>
      <c r="GB91" s="37"/>
      <c r="GC91" s="37"/>
      <c r="GD91" s="37"/>
      <c r="GE91" s="37"/>
      <c r="GF91" s="37"/>
      <c r="GG91" s="37"/>
      <c r="GH91" s="37"/>
      <c r="GI91" s="37"/>
      <c r="GJ91" s="37"/>
      <c r="GK91" s="37"/>
      <c r="GL91" s="37"/>
      <c r="GM91" s="37"/>
      <c r="GN91" s="37"/>
      <c r="GO91" s="37"/>
      <c r="GP91" s="37"/>
      <c r="GQ91" s="37"/>
      <c r="GR91" s="37"/>
      <c r="GS91" s="37"/>
      <c r="GT91" s="37"/>
      <c r="GU91" s="37"/>
      <c r="GV91" s="37"/>
      <c r="GW91" s="37"/>
      <c r="GX91" s="37"/>
      <c r="GY91" s="37"/>
      <c r="GZ91" s="37"/>
      <c r="HA91" s="37"/>
      <c r="HB91" s="37"/>
      <c r="HC91" s="37"/>
      <c r="HD91" s="37"/>
      <c r="HE91" s="37"/>
      <c r="HF91" s="37"/>
      <c r="HG91" s="37"/>
      <c r="HH91" s="37"/>
      <c r="HI91" s="37"/>
      <c r="HJ91" s="37"/>
      <c r="HK91" s="37"/>
      <c r="HL91" s="37"/>
      <c r="HM91" s="37"/>
      <c r="HN91" s="37"/>
      <c r="HO91" s="37"/>
      <c r="HP91" s="37"/>
      <c r="HQ91" s="37"/>
      <c r="HR91" s="37"/>
      <c r="HS91" s="37"/>
      <c r="HT91" s="37"/>
      <c r="HU91" s="37"/>
      <c r="HV91" s="37"/>
      <c r="HW91" s="37"/>
      <c r="HX91" s="37"/>
      <c r="HY91" s="37"/>
      <c r="HZ91" s="37"/>
      <c r="IA91" s="37"/>
      <c r="IB91" s="37"/>
      <c r="IC91" s="37"/>
    </row>
    <row r="92" spans="1:237" s="40" customFormat="1" x14ac:dyDescent="0.2">
      <c r="A92" s="62"/>
      <c r="B92" s="63"/>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37"/>
      <c r="BL92" s="37"/>
      <c r="BM92" s="37"/>
      <c r="BN92" s="37"/>
      <c r="BO92" s="37"/>
      <c r="BP92" s="37"/>
      <c r="BQ92" s="37"/>
      <c r="BR92" s="37"/>
      <c r="BS92" s="37"/>
      <c r="BT92" s="37"/>
      <c r="BU92" s="37"/>
      <c r="BV92" s="37"/>
      <c r="BW92" s="37"/>
      <c r="BX92" s="37"/>
      <c r="BY92" s="37"/>
      <c r="BZ92" s="37"/>
      <c r="CA92" s="37"/>
      <c r="CB92" s="37"/>
      <c r="CC92" s="37"/>
      <c r="CD92" s="37"/>
      <c r="CE92" s="37"/>
      <c r="CF92" s="37"/>
      <c r="CG92" s="37"/>
      <c r="CH92" s="37"/>
      <c r="CI92" s="37"/>
      <c r="CJ92" s="37"/>
      <c r="CK92" s="37"/>
      <c r="CL92" s="37"/>
      <c r="CM92" s="37"/>
      <c r="CN92" s="37"/>
      <c r="CO92" s="37"/>
      <c r="CP92" s="37"/>
      <c r="CQ92" s="37"/>
      <c r="CR92" s="37"/>
      <c r="CS92" s="37"/>
      <c r="CT92" s="37"/>
      <c r="CU92" s="37"/>
      <c r="CV92" s="37"/>
      <c r="CW92" s="37"/>
      <c r="CX92" s="37"/>
      <c r="CY92" s="37"/>
      <c r="CZ92" s="37"/>
      <c r="DA92" s="37"/>
      <c r="DB92" s="37"/>
      <c r="DC92" s="37"/>
      <c r="DD92" s="37"/>
      <c r="DE92" s="37"/>
      <c r="DF92" s="37"/>
      <c r="DG92" s="37"/>
      <c r="DH92" s="37"/>
      <c r="DI92" s="37"/>
      <c r="DJ92" s="37"/>
      <c r="DK92" s="37"/>
      <c r="DL92" s="37"/>
      <c r="DM92" s="37"/>
      <c r="DN92" s="37"/>
      <c r="DO92" s="37"/>
      <c r="DP92" s="37"/>
      <c r="DQ92" s="37"/>
      <c r="DR92" s="37"/>
      <c r="DS92" s="37"/>
      <c r="DT92" s="37"/>
      <c r="DU92" s="37"/>
      <c r="DV92" s="37"/>
      <c r="DW92" s="37"/>
      <c r="DX92" s="37"/>
      <c r="DY92" s="37"/>
      <c r="DZ92" s="37"/>
      <c r="EA92" s="37"/>
      <c r="EB92" s="37"/>
      <c r="EC92" s="37"/>
      <c r="ED92" s="37"/>
      <c r="EE92" s="37"/>
      <c r="EF92" s="37"/>
      <c r="EG92" s="37"/>
      <c r="EH92" s="37"/>
      <c r="EI92" s="37"/>
      <c r="EJ92" s="37"/>
      <c r="EK92" s="37"/>
      <c r="EL92" s="37"/>
      <c r="EM92" s="37"/>
      <c r="EN92" s="37"/>
      <c r="EO92" s="37"/>
      <c r="EP92" s="37"/>
      <c r="EQ92" s="37"/>
      <c r="ER92" s="37"/>
      <c r="ES92" s="37"/>
      <c r="ET92" s="37"/>
      <c r="EU92" s="37"/>
      <c r="EV92" s="37"/>
      <c r="EW92" s="37"/>
      <c r="EX92" s="37"/>
      <c r="EY92" s="37"/>
      <c r="EZ92" s="37"/>
      <c r="FA92" s="37"/>
      <c r="FB92" s="37"/>
      <c r="FC92" s="37"/>
      <c r="FD92" s="37"/>
      <c r="FE92" s="37"/>
      <c r="FF92" s="37"/>
      <c r="FG92" s="37"/>
      <c r="FH92" s="37"/>
      <c r="FI92" s="37"/>
      <c r="FJ92" s="37"/>
      <c r="FK92" s="37"/>
      <c r="FL92" s="37"/>
      <c r="FM92" s="37"/>
      <c r="FN92" s="37"/>
      <c r="FO92" s="37"/>
      <c r="FP92" s="37"/>
      <c r="FQ92" s="37"/>
      <c r="FR92" s="37"/>
      <c r="FS92" s="37"/>
      <c r="FT92" s="37"/>
      <c r="FU92" s="37"/>
      <c r="FV92" s="37"/>
      <c r="FW92" s="37"/>
      <c r="FX92" s="37"/>
      <c r="FY92" s="37"/>
      <c r="FZ92" s="37"/>
      <c r="GA92" s="37"/>
      <c r="GB92" s="37"/>
      <c r="GC92" s="37"/>
      <c r="GD92" s="37"/>
      <c r="GE92" s="37"/>
      <c r="GF92" s="37"/>
      <c r="GG92" s="37"/>
      <c r="GH92" s="37"/>
      <c r="GI92" s="37"/>
      <c r="GJ92" s="37"/>
      <c r="GK92" s="37"/>
      <c r="GL92" s="37"/>
      <c r="GM92" s="37"/>
      <c r="GN92" s="37"/>
      <c r="GO92" s="37"/>
      <c r="GP92" s="37"/>
      <c r="GQ92" s="37"/>
      <c r="GR92" s="37"/>
      <c r="GS92" s="37"/>
      <c r="GT92" s="37"/>
      <c r="GU92" s="37"/>
      <c r="GV92" s="37"/>
      <c r="GW92" s="37"/>
      <c r="GX92" s="37"/>
      <c r="GY92" s="37"/>
      <c r="GZ92" s="37"/>
      <c r="HA92" s="37"/>
      <c r="HB92" s="37"/>
      <c r="HC92" s="37"/>
      <c r="HD92" s="37"/>
      <c r="HE92" s="37"/>
      <c r="HF92" s="37"/>
      <c r="HG92" s="37"/>
      <c r="HH92" s="37"/>
      <c r="HI92" s="37"/>
      <c r="HJ92" s="37"/>
      <c r="HK92" s="37"/>
      <c r="HL92" s="37"/>
      <c r="HM92" s="37"/>
      <c r="HN92" s="37"/>
      <c r="HO92" s="37"/>
      <c r="HP92" s="37"/>
      <c r="HQ92" s="37"/>
      <c r="HR92" s="37"/>
      <c r="HS92" s="37"/>
      <c r="HT92" s="37"/>
      <c r="HU92" s="37"/>
      <c r="HV92" s="37"/>
      <c r="HW92" s="37"/>
      <c r="HX92" s="37"/>
      <c r="HY92" s="37"/>
      <c r="HZ92" s="37"/>
      <c r="IA92" s="37"/>
      <c r="IB92" s="37"/>
      <c r="IC92" s="37"/>
    </row>
    <row r="93" spans="1:237" s="40" customFormat="1" x14ac:dyDescent="0.2">
      <c r="A93" s="62"/>
      <c r="B93" s="63"/>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c r="BC93" s="37"/>
      <c r="BD93" s="37"/>
      <c r="BE93" s="37"/>
      <c r="BF93" s="37"/>
      <c r="BG93" s="37"/>
      <c r="BH93" s="37"/>
      <c r="BI93" s="37"/>
      <c r="BJ93" s="37"/>
      <c r="BK93" s="37"/>
      <c r="BL93" s="37"/>
      <c r="BM93" s="37"/>
      <c r="BN93" s="37"/>
      <c r="BO93" s="37"/>
      <c r="BP93" s="37"/>
      <c r="BQ93" s="37"/>
      <c r="BR93" s="37"/>
      <c r="BS93" s="37"/>
      <c r="BT93" s="37"/>
      <c r="BU93" s="37"/>
      <c r="BV93" s="37"/>
      <c r="BW93" s="37"/>
      <c r="BX93" s="37"/>
      <c r="BY93" s="37"/>
      <c r="BZ93" s="37"/>
      <c r="CA93" s="37"/>
      <c r="CB93" s="37"/>
      <c r="CC93" s="37"/>
      <c r="CD93" s="37"/>
      <c r="CE93" s="37"/>
      <c r="CF93" s="37"/>
      <c r="CG93" s="37"/>
      <c r="CH93" s="37"/>
      <c r="CI93" s="37"/>
      <c r="CJ93" s="37"/>
      <c r="CK93" s="37"/>
      <c r="CL93" s="37"/>
      <c r="CM93" s="37"/>
      <c r="CN93" s="37"/>
      <c r="CO93" s="37"/>
      <c r="CP93" s="37"/>
      <c r="CQ93" s="37"/>
      <c r="CR93" s="37"/>
      <c r="CS93" s="37"/>
      <c r="CT93" s="37"/>
      <c r="CU93" s="37"/>
      <c r="CV93" s="37"/>
      <c r="CW93" s="37"/>
      <c r="CX93" s="37"/>
      <c r="CY93" s="37"/>
      <c r="CZ93" s="37"/>
      <c r="DA93" s="37"/>
      <c r="DB93" s="37"/>
      <c r="DC93" s="37"/>
      <c r="DD93" s="37"/>
      <c r="DE93" s="37"/>
      <c r="DF93" s="37"/>
      <c r="DG93" s="37"/>
      <c r="DH93" s="37"/>
      <c r="DI93" s="37"/>
      <c r="DJ93" s="37"/>
      <c r="DK93" s="37"/>
      <c r="DL93" s="37"/>
      <c r="DM93" s="37"/>
      <c r="DN93" s="37"/>
      <c r="DO93" s="37"/>
      <c r="DP93" s="37"/>
      <c r="DQ93" s="37"/>
      <c r="DR93" s="37"/>
      <c r="DS93" s="37"/>
      <c r="DT93" s="37"/>
      <c r="DU93" s="37"/>
      <c r="DV93" s="37"/>
      <c r="DW93" s="37"/>
      <c r="DX93" s="37"/>
      <c r="DY93" s="37"/>
      <c r="DZ93" s="37"/>
      <c r="EA93" s="37"/>
      <c r="EB93" s="37"/>
      <c r="EC93" s="37"/>
      <c r="ED93" s="37"/>
      <c r="EE93" s="37"/>
      <c r="EF93" s="37"/>
      <c r="EG93" s="37"/>
      <c r="EH93" s="37"/>
      <c r="EI93" s="37"/>
      <c r="EJ93" s="37"/>
      <c r="EK93" s="37"/>
      <c r="EL93" s="37"/>
      <c r="EM93" s="37"/>
      <c r="EN93" s="37"/>
      <c r="EO93" s="37"/>
      <c r="EP93" s="37"/>
      <c r="EQ93" s="37"/>
      <c r="ER93" s="37"/>
      <c r="ES93" s="37"/>
      <c r="ET93" s="37"/>
      <c r="EU93" s="37"/>
      <c r="EV93" s="37"/>
      <c r="EW93" s="37"/>
      <c r="EX93" s="37"/>
      <c r="EY93" s="37"/>
      <c r="EZ93" s="37"/>
      <c r="FA93" s="37"/>
      <c r="FB93" s="37"/>
      <c r="FC93" s="37"/>
      <c r="FD93" s="37"/>
      <c r="FE93" s="37"/>
      <c r="FF93" s="37"/>
      <c r="FG93" s="37"/>
      <c r="FH93" s="37"/>
      <c r="FI93" s="37"/>
      <c r="FJ93" s="37"/>
      <c r="FK93" s="37"/>
      <c r="FL93" s="37"/>
      <c r="FM93" s="37"/>
      <c r="FN93" s="37"/>
      <c r="FO93" s="37"/>
      <c r="FP93" s="37"/>
      <c r="FQ93" s="37"/>
      <c r="FR93" s="37"/>
      <c r="FS93" s="37"/>
      <c r="FT93" s="37"/>
      <c r="FU93" s="37"/>
      <c r="FV93" s="37"/>
      <c r="FW93" s="37"/>
      <c r="FX93" s="37"/>
      <c r="FY93" s="37"/>
      <c r="FZ93" s="37"/>
      <c r="GA93" s="37"/>
      <c r="GB93" s="37"/>
      <c r="GC93" s="37"/>
      <c r="GD93" s="37"/>
      <c r="GE93" s="37"/>
      <c r="GF93" s="37"/>
      <c r="GG93" s="37"/>
      <c r="GH93" s="37"/>
      <c r="GI93" s="37"/>
      <c r="GJ93" s="37"/>
      <c r="GK93" s="37"/>
      <c r="GL93" s="37"/>
      <c r="GM93" s="37"/>
      <c r="GN93" s="37"/>
      <c r="GO93" s="37"/>
      <c r="GP93" s="37"/>
      <c r="GQ93" s="37"/>
      <c r="GR93" s="37"/>
      <c r="GS93" s="37"/>
      <c r="GT93" s="37"/>
      <c r="GU93" s="37"/>
      <c r="GV93" s="37"/>
      <c r="GW93" s="37"/>
      <c r="GX93" s="37"/>
      <c r="GY93" s="37"/>
      <c r="GZ93" s="37"/>
      <c r="HA93" s="37"/>
      <c r="HB93" s="37"/>
      <c r="HC93" s="37"/>
      <c r="HD93" s="37"/>
      <c r="HE93" s="37"/>
      <c r="HF93" s="37"/>
      <c r="HG93" s="37"/>
      <c r="HH93" s="37"/>
      <c r="HI93" s="37"/>
      <c r="HJ93" s="37"/>
      <c r="HK93" s="37"/>
      <c r="HL93" s="37"/>
      <c r="HM93" s="37"/>
      <c r="HN93" s="37"/>
      <c r="HO93" s="37"/>
      <c r="HP93" s="37"/>
      <c r="HQ93" s="37"/>
      <c r="HR93" s="37"/>
      <c r="HS93" s="37"/>
      <c r="HT93" s="37"/>
      <c r="HU93" s="37"/>
      <c r="HV93" s="37"/>
      <c r="HW93" s="37"/>
      <c r="HX93" s="37"/>
      <c r="HY93" s="37"/>
      <c r="HZ93" s="37"/>
      <c r="IA93" s="37"/>
      <c r="IB93" s="37"/>
      <c r="IC93" s="37"/>
    </row>
    <row r="94" spans="1:237" s="40" customFormat="1" x14ac:dyDescent="0.2">
      <c r="A94" s="62"/>
      <c r="B94" s="63"/>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37"/>
      <c r="BY94" s="37"/>
      <c r="BZ94" s="37"/>
      <c r="CA94" s="37"/>
      <c r="CB94" s="37"/>
      <c r="CC94" s="37"/>
      <c r="CD94" s="37"/>
      <c r="CE94" s="37"/>
      <c r="CF94" s="37"/>
      <c r="CG94" s="37"/>
      <c r="CH94" s="37"/>
      <c r="CI94" s="37"/>
      <c r="CJ94" s="37"/>
      <c r="CK94" s="37"/>
      <c r="CL94" s="37"/>
      <c r="CM94" s="37"/>
      <c r="CN94" s="37"/>
      <c r="CO94" s="37"/>
      <c r="CP94" s="37"/>
      <c r="CQ94" s="37"/>
      <c r="CR94" s="37"/>
      <c r="CS94" s="37"/>
      <c r="CT94" s="37"/>
      <c r="CU94" s="37"/>
      <c r="CV94" s="37"/>
      <c r="CW94" s="37"/>
      <c r="CX94" s="37"/>
      <c r="CY94" s="37"/>
      <c r="CZ94" s="37"/>
      <c r="DA94" s="37"/>
      <c r="DB94" s="37"/>
      <c r="DC94" s="37"/>
      <c r="DD94" s="37"/>
      <c r="DE94" s="37"/>
      <c r="DF94" s="37"/>
      <c r="DG94" s="37"/>
      <c r="DH94" s="37"/>
      <c r="DI94" s="37"/>
      <c r="DJ94" s="37"/>
      <c r="DK94" s="37"/>
      <c r="DL94" s="37"/>
      <c r="DM94" s="37"/>
      <c r="DN94" s="37"/>
      <c r="DO94" s="37"/>
      <c r="DP94" s="37"/>
      <c r="DQ94" s="37"/>
      <c r="DR94" s="37"/>
      <c r="DS94" s="37"/>
      <c r="DT94" s="37"/>
      <c r="DU94" s="37"/>
      <c r="DV94" s="37"/>
      <c r="DW94" s="37"/>
      <c r="DX94" s="37"/>
      <c r="DY94" s="37"/>
      <c r="DZ94" s="37"/>
      <c r="EA94" s="37"/>
      <c r="EB94" s="37"/>
      <c r="EC94" s="37"/>
      <c r="ED94" s="37"/>
      <c r="EE94" s="37"/>
      <c r="EF94" s="37"/>
      <c r="EG94" s="37"/>
      <c r="EH94" s="37"/>
      <c r="EI94" s="37"/>
      <c r="EJ94" s="37"/>
      <c r="EK94" s="37"/>
      <c r="EL94" s="37"/>
      <c r="EM94" s="37"/>
      <c r="EN94" s="37"/>
      <c r="EO94" s="37"/>
      <c r="EP94" s="37"/>
      <c r="EQ94" s="37"/>
      <c r="ER94" s="37"/>
      <c r="ES94" s="37"/>
      <c r="ET94" s="37"/>
      <c r="EU94" s="37"/>
      <c r="EV94" s="37"/>
      <c r="EW94" s="37"/>
      <c r="EX94" s="37"/>
      <c r="EY94" s="37"/>
      <c r="EZ94" s="37"/>
      <c r="FA94" s="37"/>
      <c r="FB94" s="37"/>
      <c r="FC94" s="37"/>
      <c r="FD94" s="37"/>
      <c r="FE94" s="37"/>
      <c r="FF94" s="37"/>
      <c r="FG94" s="37"/>
      <c r="FH94" s="37"/>
      <c r="FI94" s="37"/>
      <c r="FJ94" s="37"/>
      <c r="FK94" s="37"/>
      <c r="FL94" s="37"/>
      <c r="FM94" s="37"/>
      <c r="FN94" s="37"/>
      <c r="FO94" s="37"/>
      <c r="FP94" s="37"/>
      <c r="FQ94" s="37"/>
      <c r="FR94" s="37"/>
      <c r="FS94" s="37"/>
      <c r="FT94" s="37"/>
      <c r="FU94" s="37"/>
      <c r="FV94" s="37"/>
      <c r="FW94" s="37"/>
      <c r="FX94" s="37"/>
      <c r="FY94" s="37"/>
      <c r="FZ94" s="37"/>
      <c r="GA94" s="37"/>
      <c r="GB94" s="37"/>
      <c r="GC94" s="37"/>
      <c r="GD94" s="37"/>
      <c r="GE94" s="37"/>
      <c r="GF94" s="37"/>
      <c r="GG94" s="37"/>
      <c r="GH94" s="37"/>
      <c r="GI94" s="37"/>
      <c r="GJ94" s="37"/>
      <c r="GK94" s="37"/>
      <c r="GL94" s="37"/>
      <c r="GM94" s="37"/>
      <c r="GN94" s="37"/>
      <c r="GO94" s="37"/>
      <c r="GP94" s="37"/>
      <c r="GQ94" s="37"/>
      <c r="GR94" s="37"/>
      <c r="GS94" s="37"/>
      <c r="GT94" s="37"/>
      <c r="GU94" s="37"/>
      <c r="GV94" s="37"/>
      <c r="GW94" s="37"/>
      <c r="GX94" s="37"/>
      <c r="GY94" s="37"/>
      <c r="GZ94" s="37"/>
      <c r="HA94" s="37"/>
      <c r="HB94" s="37"/>
      <c r="HC94" s="37"/>
      <c r="HD94" s="37"/>
      <c r="HE94" s="37"/>
      <c r="HF94" s="37"/>
      <c r="HG94" s="37"/>
      <c r="HH94" s="37"/>
      <c r="HI94" s="37"/>
      <c r="HJ94" s="37"/>
      <c r="HK94" s="37"/>
      <c r="HL94" s="37"/>
      <c r="HM94" s="37"/>
      <c r="HN94" s="37"/>
      <c r="HO94" s="37"/>
      <c r="HP94" s="37"/>
      <c r="HQ94" s="37"/>
      <c r="HR94" s="37"/>
      <c r="HS94" s="37"/>
      <c r="HT94" s="37"/>
      <c r="HU94" s="37"/>
      <c r="HV94" s="37"/>
      <c r="HW94" s="37"/>
      <c r="HX94" s="37"/>
      <c r="HY94" s="37"/>
      <c r="HZ94" s="37"/>
      <c r="IA94" s="37"/>
      <c r="IB94" s="37"/>
      <c r="IC94" s="37"/>
    </row>
    <row r="95" spans="1:237" s="40" customFormat="1" x14ac:dyDescent="0.2">
      <c r="A95" s="62"/>
      <c r="B95" s="63"/>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c r="BV95" s="37"/>
      <c r="BW95" s="37"/>
      <c r="BX95" s="37"/>
      <c r="BY95" s="37"/>
      <c r="BZ95" s="37"/>
      <c r="CA95" s="37"/>
      <c r="CB95" s="37"/>
      <c r="CC95" s="37"/>
      <c r="CD95" s="37"/>
      <c r="CE95" s="37"/>
      <c r="CF95" s="37"/>
      <c r="CG95" s="37"/>
      <c r="CH95" s="37"/>
      <c r="CI95" s="37"/>
      <c r="CJ95" s="37"/>
      <c r="CK95" s="37"/>
      <c r="CL95" s="37"/>
      <c r="CM95" s="37"/>
      <c r="CN95" s="37"/>
      <c r="CO95" s="37"/>
      <c r="CP95" s="37"/>
      <c r="CQ95" s="37"/>
      <c r="CR95" s="37"/>
      <c r="CS95" s="37"/>
      <c r="CT95" s="37"/>
      <c r="CU95" s="37"/>
      <c r="CV95" s="37"/>
      <c r="CW95" s="37"/>
      <c r="CX95" s="37"/>
      <c r="CY95" s="37"/>
      <c r="CZ95" s="37"/>
      <c r="DA95" s="37"/>
      <c r="DB95" s="37"/>
      <c r="DC95" s="37"/>
      <c r="DD95" s="37"/>
      <c r="DE95" s="37"/>
      <c r="DF95" s="37"/>
      <c r="DG95" s="37"/>
      <c r="DH95" s="37"/>
      <c r="DI95" s="37"/>
      <c r="DJ95" s="37"/>
      <c r="DK95" s="37"/>
      <c r="DL95" s="37"/>
      <c r="DM95" s="37"/>
      <c r="DN95" s="37"/>
      <c r="DO95" s="37"/>
      <c r="DP95" s="37"/>
      <c r="DQ95" s="37"/>
      <c r="DR95" s="37"/>
      <c r="DS95" s="37"/>
      <c r="DT95" s="37"/>
      <c r="DU95" s="37"/>
      <c r="DV95" s="37"/>
      <c r="DW95" s="37"/>
      <c r="DX95" s="37"/>
      <c r="DY95" s="37"/>
      <c r="DZ95" s="37"/>
      <c r="EA95" s="37"/>
      <c r="EB95" s="37"/>
      <c r="EC95" s="37"/>
      <c r="ED95" s="37"/>
      <c r="EE95" s="37"/>
      <c r="EF95" s="37"/>
      <c r="EG95" s="37"/>
      <c r="EH95" s="37"/>
      <c r="EI95" s="37"/>
      <c r="EJ95" s="37"/>
      <c r="EK95" s="37"/>
      <c r="EL95" s="37"/>
      <c r="EM95" s="37"/>
      <c r="EN95" s="37"/>
      <c r="EO95" s="37"/>
      <c r="EP95" s="37"/>
      <c r="EQ95" s="37"/>
      <c r="ER95" s="37"/>
      <c r="ES95" s="37"/>
      <c r="ET95" s="37"/>
      <c r="EU95" s="37"/>
      <c r="EV95" s="37"/>
      <c r="EW95" s="37"/>
      <c r="EX95" s="37"/>
      <c r="EY95" s="37"/>
      <c r="EZ95" s="37"/>
      <c r="FA95" s="37"/>
      <c r="FB95" s="37"/>
      <c r="FC95" s="37"/>
      <c r="FD95" s="37"/>
      <c r="FE95" s="37"/>
      <c r="FF95" s="37"/>
      <c r="FG95" s="37"/>
      <c r="FH95" s="37"/>
      <c r="FI95" s="37"/>
      <c r="FJ95" s="37"/>
      <c r="FK95" s="37"/>
      <c r="FL95" s="37"/>
      <c r="FM95" s="37"/>
      <c r="FN95" s="37"/>
      <c r="FO95" s="37"/>
      <c r="FP95" s="37"/>
      <c r="FQ95" s="37"/>
      <c r="FR95" s="37"/>
      <c r="FS95" s="37"/>
      <c r="FT95" s="37"/>
      <c r="FU95" s="37"/>
      <c r="FV95" s="37"/>
      <c r="FW95" s="37"/>
      <c r="FX95" s="37"/>
      <c r="FY95" s="37"/>
      <c r="FZ95" s="37"/>
      <c r="GA95" s="37"/>
      <c r="GB95" s="37"/>
      <c r="GC95" s="37"/>
      <c r="GD95" s="37"/>
      <c r="GE95" s="37"/>
      <c r="GF95" s="37"/>
      <c r="GG95" s="37"/>
      <c r="GH95" s="37"/>
      <c r="GI95" s="37"/>
      <c r="GJ95" s="37"/>
      <c r="GK95" s="37"/>
      <c r="GL95" s="37"/>
      <c r="GM95" s="37"/>
      <c r="GN95" s="37"/>
      <c r="GO95" s="37"/>
      <c r="GP95" s="37"/>
      <c r="GQ95" s="37"/>
      <c r="GR95" s="37"/>
      <c r="GS95" s="37"/>
      <c r="GT95" s="37"/>
      <c r="GU95" s="37"/>
      <c r="GV95" s="37"/>
      <c r="GW95" s="37"/>
      <c r="GX95" s="37"/>
      <c r="GY95" s="37"/>
      <c r="GZ95" s="37"/>
      <c r="HA95" s="37"/>
      <c r="HB95" s="37"/>
      <c r="HC95" s="37"/>
      <c r="HD95" s="37"/>
      <c r="HE95" s="37"/>
      <c r="HF95" s="37"/>
      <c r="HG95" s="37"/>
      <c r="HH95" s="37"/>
      <c r="HI95" s="37"/>
      <c r="HJ95" s="37"/>
      <c r="HK95" s="37"/>
      <c r="HL95" s="37"/>
      <c r="HM95" s="37"/>
      <c r="HN95" s="37"/>
      <c r="HO95" s="37"/>
      <c r="HP95" s="37"/>
      <c r="HQ95" s="37"/>
      <c r="HR95" s="37"/>
      <c r="HS95" s="37"/>
      <c r="HT95" s="37"/>
      <c r="HU95" s="37"/>
      <c r="HV95" s="37"/>
      <c r="HW95" s="37"/>
      <c r="HX95" s="37"/>
      <c r="HY95" s="37"/>
      <c r="HZ95" s="37"/>
      <c r="IA95" s="37"/>
      <c r="IB95" s="37"/>
      <c r="IC95" s="37"/>
    </row>
    <row r="96" spans="1:237" s="40" customFormat="1" x14ac:dyDescent="0.2">
      <c r="A96" s="62"/>
      <c r="B96" s="63"/>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c r="BS96" s="37"/>
      <c r="BT96" s="37"/>
      <c r="BU96" s="37"/>
      <c r="BV96" s="37"/>
      <c r="BW96" s="37"/>
      <c r="BX96" s="37"/>
      <c r="BY96" s="37"/>
      <c r="BZ96" s="37"/>
      <c r="CA96" s="37"/>
      <c r="CB96" s="37"/>
      <c r="CC96" s="37"/>
      <c r="CD96" s="37"/>
      <c r="CE96" s="37"/>
      <c r="CF96" s="37"/>
      <c r="CG96" s="37"/>
      <c r="CH96" s="37"/>
      <c r="CI96" s="37"/>
      <c r="CJ96" s="37"/>
      <c r="CK96" s="37"/>
      <c r="CL96" s="37"/>
      <c r="CM96" s="37"/>
      <c r="CN96" s="37"/>
      <c r="CO96" s="37"/>
      <c r="CP96" s="37"/>
      <c r="CQ96" s="37"/>
      <c r="CR96" s="37"/>
      <c r="CS96" s="37"/>
      <c r="CT96" s="37"/>
      <c r="CU96" s="37"/>
      <c r="CV96" s="37"/>
      <c r="CW96" s="37"/>
      <c r="CX96" s="37"/>
      <c r="CY96" s="37"/>
      <c r="CZ96" s="37"/>
      <c r="DA96" s="37"/>
      <c r="DB96" s="37"/>
      <c r="DC96" s="37"/>
      <c r="DD96" s="37"/>
      <c r="DE96" s="37"/>
      <c r="DF96" s="37"/>
      <c r="DG96" s="37"/>
      <c r="DH96" s="37"/>
      <c r="DI96" s="37"/>
      <c r="DJ96" s="37"/>
      <c r="DK96" s="37"/>
      <c r="DL96" s="37"/>
      <c r="DM96" s="37"/>
      <c r="DN96" s="37"/>
      <c r="DO96" s="37"/>
      <c r="DP96" s="37"/>
      <c r="DQ96" s="37"/>
      <c r="DR96" s="37"/>
      <c r="DS96" s="37"/>
      <c r="DT96" s="37"/>
      <c r="DU96" s="37"/>
      <c r="DV96" s="37"/>
      <c r="DW96" s="37"/>
      <c r="DX96" s="37"/>
      <c r="DY96" s="37"/>
      <c r="DZ96" s="37"/>
      <c r="EA96" s="37"/>
      <c r="EB96" s="37"/>
      <c r="EC96" s="37"/>
      <c r="ED96" s="37"/>
      <c r="EE96" s="37"/>
      <c r="EF96" s="37"/>
      <c r="EG96" s="37"/>
      <c r="EH96" s="37"/>
      <c r="EI96" s="37"/>
      <c r="EJ96" s="37"/>
      <c r="EK96" s="37"/>
      <c r="EL96" s="37"/>
      <c r="EM96" s="37"/>
      <c r="EN96" s="37"/>
      <c r="EO96" s="37"/>
      <c r="EP96" s="37"/>
      <c r="EQ96" s="37"/>
      <c r="ER96" s="37"/>
      <c r="ES96" s="37"/>
      <c r="ET96" s="37"/>
      <c r="EU96" s="37"/>
      <c r="EV96" s="37"/>
      <c r="EW96" s="37"/>
      <c r="EX96" s="37"/>
      <c r="EY96" s="37"/>
      <c r="EZ96" s="37"/>
      <c r="FA96" s="37"/>
      <c r="FB96" s="37"/>
      <c r="FC96" s="37"/>
      <c r="FD96" s="37"/>
      <c r="FE96" s="37"/>
      <c r="FF96" s="37"/>
      <c r="FG96" s="37"/>
      <c r="FH96" s="37"/>
      <c r="FI96" s="37"/>
      <c r="FJ96" s="37"/>
      <c r="FK96" s="37"/>
      <c r="FL96" s="37"/>
      <c r="FM96" s="37"/>
      <c r="FN96" s="37"/>
      <c r="FO96" s="37"/>
      <c r="FP96" s="37"/>
      <c r="FQ96" s="37"/>
      <c r="FR96" s="37"/>
      <c r="FS96" s="37"/>
      <c r="FT96" s="37"/>
      <c r="FU96" s="37"/>
      <c r="FV96" s="37"/>
      <c r="FW96" s="37"/>
      <c r="FX96" s="37"/>
      <c r="FY96" s="37"/>
      <c r="FZ96" s="37"/>
      <c r="GA96" s="37"/>
      <c r="GB96" s="37"/>
      <c r="GC96" s="37"/>
      <c r="GD96" s="37"/>
      <c r="GE96" s="37"/>
      <c r="GF96" s="37"/>
      <c r="GG96" s="37"/>
      <c r="GH96" s="37"/>
      <c r="GI96" s="37"/>
      <c r="GJ96" s="37"/>
      <c r="GK96" s="37"/>
      <c r="GL96" s="37"/>
      <c r="GM96" s="37"/>
      <c r="GN96" s="37"/>
      <c r="GO96" s="37"/>
      <c r="GP96" s="37"/>
      <c r="GQ96" s="37"/>
      <c r="GR96" s="37"/>
      <c r="GS96" s="37"/>
      <c r="GT96" s="37"/>
      <c r="GU96" s="37"/>
      <c r="GV96" s="37"/>
      <c r="GW96" s="37"/>
      <c r="GX96" s="37"/>
      <c r="GY96" s="37"/>
      <c r="GZ96" s="37"/>
      <c r="HA96" s="37"/>
      <c r="HB96" s="37"/>
      <c r="HC96" s="37"/>
      <c r="HD96" s="37"/>
      <c r="HE96" s="37"/>
      <c r="HF96" s="37"/>
      <c r="HG96" s="37"/>
      <c r="HH96" s="37"/>
      <c r="HI96" s="37"/>
      <c r="HJ96" s="37"/>
      <c r="HK96" s="37"/>
      <c r="HL96" s="37"/>
      <c r="HM96" s="37"/>
      <c r="HN96" s="37"/>
      <c r="HO96" s="37"/>
      <c r="HP96" s="37"/>
      <c r="HQ96" s="37"/>
      <c r="HR96" s="37"/>
      <c r="HS96" s="37"/>
      <c r="HT96" s="37"/>
      <c r="HU96" s="37"/>
      <c r="HV96" s="37"/>
      <c r="HW96" s="37"/>
      <c r="HX96" s="37"/>
      <c r="HY96" s="37"/>
      <c r="HZ96" s="37"/>
      <c r="IA96" s="37"/>
      <c r="IB96" s="37"/>
      <c r="IC96" s="37"/>
    </row>
    <row r="97" spans="1:237" s="40" customFormat="1" x14ac:dyDescent="0.2">
      <c r="A97" s="62"/>
      <c r="B97" s="63"/>
      <c r="J97" s="37"/>
      <c r="K97" s="37"/>
      <c r="L97" s="37"/>
      <c r="M97" s="3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c r="BB97" s="37"/>
      <c r="BC97" s="37"/>
      <c r="BD97" s="37"/>
      <c r="BE97" s="37"/>
      <c r="BF97" s="37"/>
      <c r="BG97" s="37"/>
      <c r="BH97" s="37"/>
      <c r="BI97" s="37"/>
      <c r="BJ97" s="37"/>
      <c r="BK97" s="37"/>
      <c r="BL97" s="37"/>
      <c r="BM97" s="37"/>
      <c r="BN97" s="37"/>
      <c r="BO97" s="37"/>
      <c r="BP97" s="37"/>
      <c r="BQ97" s="37"/>
      <c r="BR97" s="37"/>
      <c r="BS97" s="37"/>
      <c r="BT97" s="37"/>
      <c r="BU97" s="37"/>
      <c r="BV97" s="37"/>
      <c r="BW97" s="37"/>
      <c r="BX97" s="37"/>
      <c r="BY97" s="37"/>
      <c r="BZ97" s="37"/>
      <c r="CA97" s="37"/>
      <c r="CB97" s="37"/>
      <c r="CC97" s="37"/>
      <c r="CD97" s="37"/>
      <c r="CE97" s="37"/>
      <c r="CF97" s="37"/>
      <c r="CG97" s="37"/>
      <c r="CH97" s="37"/>
      <c r="CI97" s="37"/>
      <c r="CJ97" s="37"/>
      <c r="CK97" s="37"/>
      <c r="CL97" s="37"/>
      <c r="CM97" s="37"/>
      <c r="CN97" s="37"/>
      <c r="CO97" s="37"/>
      <c r="CP97" s="37"/>
      <c r="CQ97" s="37"/>
      <c r="CR97" s="37"/>
      <c r="CS97" s="37"/>
      <c r="CT97" s="37"/>
      <c r="CU97" s="37"/>
      <c r="CV97" s="37"/>
      <c r="CW97" s="37"/>
      <c r="CX97" s="37"/>
      <c r="CY97" s="37"/>
      <c r="CZ97" s="37"/>
      <c r="DA97" s="37"/>
      <c r="DB97" s="37"/>
      <c r="DC97" s="37"/>
      <c r="DD97" s="37"/>
      <c r="DE97" s="37"/>
      <c r="DF97" s="37"/>
      <c r="DG97" s="37"/>
      <c r="DH97" s="37"/>
      <c r="DI97" s="37"/>
      <c r="DJ97" s="37"/>
      <c r="DK97" s="37"/>
      <c r="DL97" s="37"/>
      <c r="DM97" s="37"/>
      <c r="DN97" s="37"/>
      <c r="DO97" s="37"/>
      <c r="DP97" s="37"/>
      <c r="DQ97" s="37"/>
      <c r="DR97" s="37"/>
      <c r="DS97" s="37"/>
      <c r="DT97" s="37"/>
      <c r="DU97" s="37"/>
      <c r="DV97" s="37"/>
      <c r="DW97" s="37"/>
      <c r="DX97" s="37"/>
      <c r="DY97" s="37"/>
      <c r="DZ97" s="37"/>
      <c r="EA97" s="37"/>
      <c r="EB97" s="37"/>
      <c r="EC97" s="37"/>
      <c r="ED97" s="37"/>
      <c r="EE97" s="37"/>
      <c r="EF97" s="37"/>
      <c r="EG97" s="37"/>
      <c r="EH97" s="37"/>
      <c r="EI97" s="37"/>
      <c r="EJ97" s="37"/>
      <c r="EK97" s="37"/>
      <c r="EL97" s="37"/>
      <c r="EM97" s="37"/>
      <c r="EN97" s="37"/>
      <c r="EO97" s="37"/>
      <c r="EP97" s="37"/>
      <c r="EQ97" s="37"/>
      <c r="ER97" s="37"/>
      <c r="ES97" s="37"/>
      <c r="ET97" s="37"/>
      <c r="EU97" s="37"/>
      <c r="EV97" s="37"/>
      <c r="EW97" s="37"/>
      <c r="EX97" s="37"/>
      <c r="EY97" s="37"/>
      <c r="EZ97" s="37"/>
      <c r="FA97" s="37"/>
      <c r="FB97" s="37"/>
      <c r="FC97" s="37"/>
      <c r="FD97" s="37"/>
      <c r="FE97" s="37"/>
      <c r="FF97" s="37"/>
      <c r="FG97" s="37"/>
      <c r="FH97" s="37"/>
      <c r="FI97" s="37"/>
      <c r="FJ97" s="37"/>
      <c r="FK97" s="37"/>
      <c r="FL97" s="37"/>
      <c r="FM97" s="37"/>
      <c r="FN97" s="37"/>
      <c r="FO97" s="37"/>
      <c r="FP97" s="37"/>
      <c r="FQ97" s="37"/>
      <c r="FR97" s="37"/>
      <c r="FS97" s="37"/>
      <c r="FT97" s="37"/>
      <c r="FU97" s="37"/>
      <c r="FV97" s="37"/>
      <c r="FW97" s="37"/>
      <c r="FX97" s="37"/>
      <c r="FY97" s="37"/>
      <c r="FZ97" s="37"/>
      <c r="GA97" s="37"/>
      <c r="GB97" s="37"/>
      <c r="GC97" s="37"/>
      <c r="GD97" s="37"/>
      <c r="GE97" s="37"/>
      <c r="GF97" s="37"/>
      <c r="GG97" s="37"/>
      <c r="GH97" s="37"/>
      <c r="GI97" s="37"/>
      <c r="GJ97" s="37"/>
      <c r="GK97" s="37"/>
      <c r="GL97" s="37"/>
      <c r="GM97" s="37"/>
      <c r="GN97" s="37"/>
      <c r="GO97" s="37"/>
      <c r="GP97" s="37"/>
      <c r="GQ97" s="37"/>
      <c r="GR97" s="37"/>
      <c r="GS97" s="37"/>
      <c r="GT97" s="37"/>
      <c r="GU97" s="37"/>
      <c r="GV97" s="37"/>
      <c r="GW97" s="37"/>
      <c r="GX97" s="37"/>
      <c r="GY97" s="37"/>
      <c r="GZ97" s="37"/>
      <c r="HA97" s="37"/>
      <c r="HB97" s="37"/>
      <c r="HC97" s="37"/>
      <c r="HD97" s="37"/>
      <c r="HE97" s="37"/>
      <c r="HF97" s="37"/>
      <c r="HG97" s="37"/>
      <c r="HH97" s="37"/>
      <c r="HI97" s="37"/>
      <c r="HJ97" s="37"/>
      <c r="HK97" s="37"/>
      <c r="HL97" s="37"/>
      <c r="HM97" s="37"/>
      <c r="HN97" s="37"/>
      <c r="HO97" s="37"/>
      <c r="HP97" s="37"/>
      <c r="HQ97" s="37"/>
      <c r="HR97" s="37"/>
      <c r="HS97" s="37"/>
      <c r="HT97" s="37"/>
      <c r="HU97" s="37"/>
      <c r="HV97" s="37"/>
      <c r="HW97" s="37"/>
      <c r="HX97" s="37"/>
      <c r="HY97" s="37"/>
      <c r="HZ97" s="37"/>
      <c r="IA97" s="37"/>
      <c r="IB97" s="37"/>
      <c r="IC97" s="37"/>
    </row>
    <row r="98" spans="1:237" s="40" customFormat="1" x14ac:dyDescent="0.2">
      <c r="A98" s="62"/>
      <c r="B98" s="63"/>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7"/>
      <c r="BY98" s="37"/>
      <c r="BZ98" s="37"/>
      <c r="CA98" s="37"/>
      <c r="CB98" s="37"/>
      <c r="CC98" s="37"/>
      <c r="CD98" s="37"/>
      <c r="CE98" s="37"/>
      <c r="CF98" s="37"/>
      <c r="CG98" s="37"/>
      <c r="CH98" s="37"/>
      <c r="CI98" s="37"/>
      <c r="CJ98" s="37"/>
      <c r="CK98" s="37"/>
      <c r="CL98" s="37"/>
      <c r="CM98" s="37"/>
      <c r="CN98" s="37"/>
      <c r="CO98" s="37"/>
      <c r="CP98" s="37"/>
      <c r="CQ98" s="37"/>
      <c r="CR98" s="37"/>
      <c r="CS98" s="37"/>
      <c r="CT98" s="37"/>
      <c r="CU98" s="37"/>
      <c r="CV98" s="37"/>
      <c r="CW98" s="37"/>
      <c r="CX98" s="37"/>
      <c r="CY98" s="37"/>
      <c r="CZ98" s="37"/>
      <c r="DA98" s="37"/>
      <c r="DB98" s="37"/>
      <c r="DC98" s="37"/>
      <c r="DD98" s="37"/>
      <c r="DE98" s="37"/>
      <c r="DF98" s="37"/>
      <c r="DG98" s="37"/>
      <c r="DH98" s="37"/>
      <c r="DI98" s="37"/>
      <c r="DJ98" s="37"/>
      <c r="DK98" s="37"/>
      <c r="DL98" s="37"/>
      <c r="DM98" s="37"/>
      <c r="DN98" s="37"/>
      <c r="DO98" s="37"/>
      <c r="DP98" s="37"/>
      <c r="DQ98" s="37"/>
      <c r="DR98" s="37"/>
      <c r="DS98" s="37"/>
      <c r="DT98" s="37"/>
      <c r="DU98" s="37"/>
      <c r="DV98" s="37"/>
      <c r="DW98" s="37"/>
      <c r="DX98" s="37"/>
      <c r="DY98" s="37"/>
      <c r="DZ98" s="37"/>
      <c r="EA98" s="37"/>
      <c r="EB98" s="37"/>
      <c r="EC98" s="37"/>
      <c r="ED98" s="37"/>
      <c r="EE98" s="37"/>
      <c r="EF98" s="37"/>
      <c r="EG98" s="37"/>
      <c r="EH98" s="37"/>
      <c r="EI98" s="37"/>
      <c r="EJ98" s="37"/>
      <c r="EK98" s="37"/>
      <c r="EL98" s="37"/>
      <c r="EM98" s="37"/>
      <c r="EN98" s="37"/>
      <c r="EO98" s="37"/>
      <c r="EP98" s="37"/>
      <c r="EQ98" s="37"/>
      <c r="ER98" s="37"/>
      <c r="ES98" s="37"/>
      <c r="ET98" s="37"/>
      <c r="EU98" s="37"/>
      <c r="EV98" s="37"/>
      <c r="EW98" s="37"/>
      <c r="EX98" s="37"/>
      <c r="EY98" s="37"/>
      <c r="EZ98" s="37"/>
      <c r="FA98" s="37"/>
      <c r="FB98" s="37"/>
      <c r="FC98" s="37"/>
      <c r="FD98" s="37"/>
      <c r="FE98" s="37"/>
      <c r="FF98" s="37"/>
      <c r="FG98" s="37"/>
      <c r="FH98" s="37"/>
      <c r="FI98" s="37"/>
      <c r="FJ98" s="37"/>
      <c r="FK98" s="37"/>
      <c r="FL98" s="37"/>
      <c r="FM98" s="37"/>
      <c r="FN98" s="37"/>
      <c r="FO98" s="37"/>
      <c r="FP98" s="37"/>
      <c r="FQ98" s="37"/>
      <c r="FR98" s="37"/>
      <c r="FS98" s="37"/>
      <c r="FT98" s="37"/>
      <c r="FU98" s="37"/>
      <c r="FV98" s="37"/>
      <c r="FW98" s="37"/>
      <c r="FX98" s="37"/>
      <c r="FY98" s="37"/>
      <c r="FZ98" s="37"/>
      <c r="GA98" s="37"/>
      <c r="GB98" s="37"/>
      <c r="GC98" s="37"/>
      <c r="GD98" s="37"/>
      <c r="GE98" s="37"/>
      <c r="GF98" s="37"/>
      <c r="GG98" s="37"/>
      <c r="GH98" s="37"/>
      <c r="GI98" s="37"/>
      <c r="GJ98" s="37"/>
      <c r="GK98" s="37"/>
      <c r="GL98" s="37"/>
      <c r="GM98" s="37"/>
      <c r="GN98" s="37"/>
      <c r="GO98" s="37"/>
      <c r="GP98" s="37"/>
      <c r="GQ98" s="37"/>
      <c r="GR98" s="37"/>
      <c r="GS98" s="37"/>
      <c r="GT98" s="37"/>
      <c r="GU98" s="37"/>
      <c r="GV98" s="37"/>
      <c r="GW98" s="37"/>
      <c r="GX98" s="37"/>
      <c r="GY98" s="37"/>
      <c r="GZ98" s="37"/>
      <c r="HA98" s="37"/>
      <c r="HB98" s="37"/>
      <c r="HC98" s="37"/>
      <c r="HD98" s="37"/>
      <c r="HE98" s="37"/>
      <c r="HF98" s="37"/>
      <c r="HG98" s="37"/>
      <c r="HH98" s="37"/>
      <c r="HI98" s="37"/>
      <c r="HJ98" s="37"/>
      <c r="HK98" s="37"/>
      <c r="HL98" s="37"/>
      <c r="HM98" s="37"/>
      <c r="HN98" s="37"/>
      <c r="HO98" s="37"/>
      <c r="HP98" s="37"/>
      <c r="HQ98" s="37"/>
      <c r="HR98" s="37"/>
      <c r="HS98" s="37"/>
      <c r="HT98" s="37"/>
      <c r="HU98" s="37"/>
      <c r="HV98" s="37"/>
      <c r="HW98" s="37"/>
      <c r="HX98" s="37"/>
      <c r="HY98" s="37"/>
      <c r="HZ98" s="37"/>
      <c r="IA98" s="37"/>
      <c r="IB98" s="37"/>
      <c r="IC98" s="37"/>
    </row>
    <row r="99" spans="1:237" s="40" customFormat="1" x14ac:dyDescent="0.2">
      <c r="A99" s="62"/>
      <c r="B99" s="63"/>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c r="BD99" s="37"/>
      <c r="BE99" s="37"/>
      <c r="BF99" s="37"/>
      <c r="BG99" s="37"/>
      <c r="BH99" s="37"/>
      <c r="BI99" s="37"/>
      <c r="BJ99" s="37"/>
      <c r="BK99" s="37"/>
      <c r="BL99" s="37"/>
      <c r="BM99" s="37"/>
      <c r="BN99" s="37"/>
      <c r="BO99" s="37"/>
      <c r="BP99" s="37"/>
      <c r="BQ99" s="37"/>
      <c r="BR99" s="37"/>
      <c r="BS99" s="37"/>
      <c r="BT99" s="37"/>
      <c r="BU99" s="37"/>
      <c r="BV99" s="37"/>
      <c r="BW99" s="37"/>
      <c r="BX99" s="37"/>
      <c r="BY99" s="37"/>
      <c r="BZ99" s="37"/>
      <c r="CA99" s="37"/>
      <c r="CB99" s="37"/>
      <c r="CC99" s="37"/>
      <c r="CD99" s="37"/>
      <c r="CE99" s="37"/>
      <c r="CF99" s="37"/>
      <c r="CG99" s="37"/>
      <c r="CH99" s="37"/>
      <c r="CI99" s="37"/>
      <c r="CJ99" s="37"/>
      <c r="CK99" s="37"/>
      <c r="CL99" s="37"/>
      <c r="CM99" s="37"/>
      <c r="CN99" s="37"/>
      <c r="CO99" s="37"/>
      <c r="CP99" s="37"/>
      <c r="CQ99" s="37"/>
      <c r="CR99" s="37"/>
      <c r="CS99" s="37"/>
      <c r="CT99" s="37"/>
      <c r="CU99" s="37"/>
      <c r="CV99" s="37"/>
      <c r="CW99" s="37"/>
      <c r="CX99" s="37"/>
      <c r="CY99" s="37"/>
      <c r="CZ99" s="37"/>
      <c r="DA99" s="37"/>
      <c r="DB99" s="37"/>
      <c r="DC99" s="37"/>
      <c r="DD99" s="37"/>
      <c r="DE99" s="37"/>
      <c r="DF99" s="37"/>
      <c r="DG99" s="37"/>
      <c r="DH99" s="37"/>
      <c r="DI99" s="37"/>
      <c r="DJ99" s="37"/>
      <c r="DK99" s="37"/>
      <c r="DL99" s="37"/>
      <c r="DM99" s="37"/>
      <c r="DN99" s="37"/>
      <c r="DO99" s="37"/>
      <c r="DP99" s="37"/>
      <c r="DQ99" s="37"/>
      <c r="DR99" s="37"/>
      <c r="DS99" s="37"/>
      <c r="DT99" s="37"/>
      <c r="DU99" s="37"/>
      <c r="DV99" s="37"/>
      <c r="DW99" s="37"/>
      <c r="DX99" s="37"/>
      <c r="DY99" s="37"/>
      <c r="DZ99" s="37"/>
      <c r="EA99" s="37"/>
      <c r="EB99" s="37"/>
      <c r="EC99" s="37"/>
      <c r="ED99" s="37"/>
      <c r="EE99" s="37"/>
      <c r="EF99" s="37"/>
      <c r="EG99" s="37"/>
      <c r="EH99" s="37"/>
      <c r="EI99" s="37"/>
      <c r="EJ99" s="37"/>
      <c r="EK99" s="37"/>
      <c r="EL99" s="37"/>
      <c r="EM99" s="37"/>
      <c r="EN99" s="37"/>
      <c r="EO99" s="37"/>
      <c r="EP99" s="37"/>
      <c r="EQ99" s="37"/>
      <c r="ER99" s="37"/>
      <c r="ES99" s="37"/>
      <c r="ET99" s="37"/>
      <c r="EU99" s="37"/>
      <c r="EV99" s="37"/>
      <c r="EW99" s="37"/>
      <c r="EX99" s="37"/>
      <c r="EY99" s="37"/>
      <c r="EZ99" s="37"/>
      <c r="FA99" s="37"/>
      <c r="FB99" s="37"/>
      <c r="FC99" s="37"/>
      <c r="FD99" s="37"/>
      <c r="FE99" s="37"/>
      <c r="FF99" s="37"/>
      <c r="FG99" s="37"/>
      <c r="FH99" s="37"/>
      <c r="FI99" s="37"/>
      <c r="FJ99" s="37"/>
      <c r="FK99" s="37"/>
      <c r="FL99" s="37"/>
      <c r="FM99" s="37"/>
      <c r="FN99" s="37"/>
      <c r="FO99" s="37"/>
      <c r="FP99" s="37"/>
      <c r="FQ99" s="37"/>
      <c r="FR99" s="37"/>
      <c r="FS99" s="37"/>
      <c r="FT99" s="37"/>
      <c r="FU99" s="37"/>
      <c r="FV99" s="37"/>
      <c r="FW99" s="37"/>
      <c r="FX99" s="37"/>
      <c r="FY99" s="37"/>
      <c r="FZ99" s="37"/>
      <c r="GA99" s="37"/>
      <c r="GB99" s="37"/>
      <c r="GC99" s="37"/>
      <c r="GD99" s="37"/>
      <c r="GE99" s="37"/>
      <c r="GF99" s="37"/>
      <c r="GG99" s="37"/>
      <c r="GH99" s="37"/>
      <c r="GI99" s="37"/>
      <c r="GJ99" s="37"/>
      <c r="GK99" s="37"/>
      <c r="GL99" s="37"/>
      <c r="GM99" s="37"/>
      <c r="GN99" s="37"/>
      <c r="GO99" s="37"/>
      <c r="GP99" s="37"/>
      <c r="GQ99" s="37"/>
      <c r="GR99" s="37"/>
      <c r="GS99" s="37"/>
      <c r="GT99" s="37"/>
      <c r="GU99" s="37"/>
      <c r="GV99" s="37"/>
      <c r="GW99" s="37"/>
      <c r="GX99" s="37"/>
      <c r="GY99" s="37"/>
      <c r="GZ99" s="37"/>
      <c r="HA99" s="37"/>
      <c r="HB99" s="37"/>
      <c r="HC99" s="37"/>
      <c r="HD99" s="37"/>
      <c r="HE99" s="37"/>
      <c r="HF99" s="37"/>
      <c r="HG99" s="37"/>
      <c r="HH99" s="37"/>
      <c r="HI99" s="37"/>
      <c r="HJ99" s="37"/>
      <c r="HK99" s="37"/>
      <c r="HL99" s="37"/>
      <c r="HM99" s="37"/>
      <c r="HN99" s="37"/>
      <c r="HO99" s="37"/>
      <c r="HP99" s="37"/>
      <c r="HQ99" s="37"/>
      <c r="HR99" s="37"/>
      <c r="HS99" s="37"/>
      <c r="HT99" s="37"/>
      <c r="HU99" s="37"/>
      <c r="HV99" s="37"/>
      <c r="HW99" s="37"/>
      <c r="HX99" s="37"/>
      <c r="HY99" s="37"/>
      <c r="HZ99" s="37"/>
      <c r="IA99" s="37"/>
      <c r="IB99" s="37"/>
      <c r="IC99" s="37"/>
    </row>
    <row r="100" spans="1:237" s="40" customFormat="1" x14ac:dyDescent="0.2">
      <c r="A100" s="62"/>
      <c r="B100" s="63"/>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BZ100" s="37"/>
      <c r="CA100" s="37"/>
      <c r="CB100" s="37"/>
      <c r="CC100" s="37"/>
      <c r="CD100" s="37"/>
      <c r="CE100" s="37"/>
      <c r="CF100" s="37"/>
      <c r="CG100" s="37"/>
      <c r="CH100" s="37"/>
      <c r="CI100" s="37"/>
      <c r="CJ100" s="37"/>
      <c r="CK100" s="37"/>
      <c r="CL100" s="37"/>
      <c r="CM100" s="37"/>
      <c r="CN100" s="37"/>
      <c r="CO100" s="37"/>
      <c r="CP100" s="37"/>
      <c r="CQ100" s="37"/>
      <c r="CR100" s="37"/>
      <c r="CS100" s="37"/>
      <c r="CT100" s="37"/>
      <c r="CU100" s="37"/>
      <c r="CV100" s="37"/>
      <c r="CW100" s="37"/>
      <c r="CX100" s="37"/>
      <c r="CY100" s="37"/>
      <c r="CZ100" s="37"/>
      <c r="DA100" s="37"/>
      <c r="DB100" s="37"/>
      <c r="DC100" s="37"/>
      <c r="DD100" s="37"/>
      <c r="DE100" s="37"/>
      <c r="DF100" s="37"/>
      <c r="DG100" s="37"/>
      <c r="DH100" s="37"/>
      <c r="DI100" s="37"/>
      <c r="DJ100" s="37"/>
      <c r="DK100" s="37"/>
      <c r="DL100" s="37"/>
      <c r="DM100" s="37"/>
      <c r="DN100" s="37"/>
      <c r="DO100" s="37"/>
      <c r="DP100" s="37"/>
      <c r="DQ100" s="37"/>
      <c r="DR100" s="37"/>
      <c r="DS100" s="37"/>
      <c r="DT100" s="37"/>
      <c r="DU100" s="37"/>
      <c r="DV100" s="37"/>
      <c r="DW100" s="37"/>
      <c r="DX100" s="37"/>
      <c r="DY100" s="37"/>
      <c r="DZ100" s="37"/>
      <c r="EA100" s="37"/>
      <c r="EB100" s="37"/>
      <c r="EC100" s="37"/>
      <c r="ED100" s="37"/>
      <c r="EE100" s="37"/>
      <c r="EF100" s="37"/>
      <c r="EG100" s="37"/>
      <c r="EH100" s="37"/>
      <c r="EI100" s="37"/>
      <c r="EJ100" s="37"/>
      <c r="EK100" s="37"/>
      <c r="EL100" s="37"/>
      <c r="EM100" s="37"/>
      <c r="EN100" s="37"/>
      <c r="EO100" s="37"/>
      <c r="EP100" s="37"/>
      <c r="EQ100" s="37"/>
      <c r="ER100" s="37"/>
      <c r="ES100" s="37"/>
      <c r="ET100" s="37"/>
      <c r="EU100" s="37"/>
      <c r="EV100" s="37"/>
      <c r="EW100" s="37"/>
      <c r="EX100" s="37"/>
      <c r="EY100" s="37"/>
      <c r="EZ100" s="37"/>
      <c r="FA100" s="37"/>
      <c r="FB100" s="37"/>
      <c r="FC100" s="37"/>
      <c r="FD100" s="37"/>
      <c r="FE100" s="37"/>
      <c r="FF100" s="37"/>
      <c r="FG100" s="37"/>
      <c r="FH100" s="37"/>
      <c r="FI100" s="37"/>
      <c r="FJ100" s="37"/>
      <c r="FK100" s="37"/>
      <c r="FL100" s="37"/>
      <c r="FM100" s="37"/>
      <c r="FN100" s="37"/>
      <c r="FO100" s="37"/>
      <c r="FP100" s="37"/>
      <c r="FQ100" s="37"/>
      <c r="FR100" s="37"/>
      <c r="FS100" s="37"/>
      <c r="FT100" s="37"/>
      <c r="FU100" s="37"/>
      <c r="FV100" s="37"/>
      <c r="FW100" s="37"/>
      <c r="FX100" s="37"/>
      <c r="FY100" s="37"/>
      <c r="FZ100" s="37"/>
      <c r="GA100" s="37"/>
      <c r="GB100" s="37"/>
      <c r="GC100" s="37"/>
      <c r="GD100" s="37"/>
      <c r="GE100" s="37"/>
      <c r="GF100" s="37"/>
      <c r="GG100" s="37"/>
      <c r="GH100" s="37"/>
      <c r="GI100" s="37"/>
      <c r="GJ100" s="37"/>
      <c r="GK100" s="37"/>
      <c r="GL100" s="37"/>
      <c r="GM100" s="37"/>
      <c r="GN100" s="37"/>
      <c r="GO100" s="37"/>
      <c r="GP100" s="37"/>
      <c r="GQ100" s="37"/>
      <c r="GR100" s="37"/>
      <c r="GS100" s="37"/>
      <c r="GT100" s="37"/>
      <c r="GU100" s="37"/>
      <c r="GV100" s="37"/>
      <c r="GW100" s="37"/>
      <c r="GX100" s="37"/>
      <c r="GY100" s="37"/>
      <c r="GZ100" s="37"/>
      <c r="HA100" s="37"/>
      <c r="HB100" s="37"/>
      <c r="HC100" s="37"/>
      <c r="HD100" s="37"/>
      <c r="HE100" s="37"/>
      <c r="HF100" s="37"/>
      <c r="HG100" s="37"/>
      <c r="HH100" s="37"/>
      <c r="HI100" s="37"/>
      <c r="HJ100" s="37"/>
      <c r="HK100" s="37"/>
      <c r="HL100" s="37"/>
      <c r="HM100" s="37"/>
      <c r="HN100" s="37"/>
      <c r="HO100" s="37"/>
      <c r="HP100" s="37"/>
      <c r="HQ100" s="37"/>
      <c r="HR100" s="37"/>
      <c r="HS100" s="37"/>
      <c r="HT100" s="37"/>
      <c r="HU100" s="37"/>
      <c r="HV100" s="37"/>
      <c r="HW100" s="37"/>
      <c r="HX100" s="37"/>
      <c r="HY100" s="37"/>
      <c r="HZ100" s="37"/>
      <c r="IA100" s="37"/>
      <c r="IB100" s="37"/>
      <c r="IC100" s="37"/>
    </row>
    <row r="101" spans="1:237" s="40" customFormat="1" x14ac:dyDescent="0.2">
      <c r="A101" s="62"/>
      <c r="B101" s="63"/>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BZ101" s="37"/>
      <c r="CA101" s="37"/>
      <c r="CB101" s="37"/>
      <c r="CC101" s="37"/>
      <c r="CD101" s="37"/>
      <c r="CE101" s="37"/>
      <c r="CF101" s="37"/>
      <c r="CG101" s="37"/>
      <c r="CH101" s="37"/>
      <c r="CI101" s="37"/>
      <c r="CJ101" s="37"/>
      <c r="CK101" s="37"/>
      <c r="CL101" s="37"/>
      <c r="CM101" s="37"/>
      <c r="CN101" s="37"/>
      <c r="CO101" s="37"/>
      <c r="CP101" s="37"/>
      <c r="CQ101" s="37"/>
      <c r="CR101" s="37"/>
      <c r="CS101" s="37"/>
      <c r="CT101" s="37"/>
      <c r="CU101" s="37"/>
      <c r="CV101" s="37"/>
      <c r="CW101" s="37"/>
      <c r="CX101" s="37"/>
      <c r="CY101" s="37"/>
      <c r="CZ101" s="37"/>
      <c r="DA101" s="37"/>
      <c r="DB101" s="37"/>
      <c r="DC101" s="37"/>
      <c r="DD101" s="37"/>
      <c r="DE101" s="37"/>
      <c r="DF101" s="37"/>
      <c r="DG101" s="37"/>
      <c r="DH101" s="37"/>
      <c r="DI101" s="37"/>
      <c r="DJ101" s="37"/>
      <c r="DK101" s="37"/>
      <c r="DL101" s="37"/>
      <c r="DM101" s="37"/>
      <c r="DN101" s="37"/>
      <c r="DO101" s="37"/>
      <c r="DP101" s="37"/>
      <c r="DQ101" s="37"/>
      <c r="DR101" s="37"/>
      <c r="DS101" s="37"/>
      <c r="DT101" s="37"/>
      <c r="DU101" s="37"/>
      <c r="DV101" s="37"/>
      <c r="DW101" s="37"/>
      <c r="DX101" s="37"/>
      <c r="DY101" s="37"/>
      <c r="DZ101" s="37"/>
      <c r="EA101" s="37"/>
      <c r="EB101" s="37"/>
      <c r="EC101" s="37"/>
      <c r="ED101" s="37"/>
      <c r="EE101" s="37"/>
      <c r="EF101" s="37"/>
      <c r="EG101" s="37"/>
      <c r="EH101" s="37"/>
      <c r="EI101" s="37"/>
      <c r="EJ101" s="37"/>
      <c r="EK101" s="37"/>
      <c r="EL101" s="37"/>
      <c r="EM101" s="37"/>
      <c r="EN101" s="37"/>
      <c r="EO101" s="37"/>
      <c r="EP101" s="37"/>
      <c r="EQ101" s="37"/>
      <c r="ER101" s="37"/>
      <c r="ES101" s="37"/>
      <c r="ET101" s="37"/>
      <c r="EU101" s="37"/>
      <c r="EV101" s="37"/>
      <c r="EW101" s="37"/>
      <c r="EX101" s="37"/>
      <c r="EY101" s="37"/>
      <c r="EZ101" s="37"/>
      <c r="FA101" s="37"/>
      <c r="FB101" s="37"/>
      <c r="FC101" s="37"/>
      <c r="FD101" s="37"/>
      <c r="FE101" s="37"/>
      <c r="FF101" s="37"/>
      <c r="FG101" s="37"/>
      <c r="FH101" s="37"/>
      <c r="FI101" s="37"/>
      <c r="FJ101" s="37"/>
      <c r="FK101" s="37"/>
      <c r="FL101" s="37"/>
      <c r="FM101" s="37"/>
      <c r="FN101" s="37"/>
      <c r="FO101" s="37"/>
      <c r="FP101" s="37"/>
      <c r="FQ101" s="37"/>
      <c r="FR101" s="37"/>
      <c r="FS101" s="37"/>
      <c r="FT101" s="37"/>
      <c r="FU101" s="37"/>
      <c r="FV101" s="37"/>
      <c r="FW101" s="37"/>
      <c r="FX101" s="37"/>
      <c r="FY101" s="37"/>
      <c r="FZ101" s="37"/>
      <c r="GA101" s="37"/>
      <c r="GB101" s="37"/>
      <c r="GC101" s="37"/>
      <c r="GD101" s="37"/>
      <c r="GE101" s="37"/>
      <c r="GF101" s="37"/>
      <c r="GG101" s="37"/>
      <c r="GH101" s="37"/>
      <c r="GI101" s="37"/>
      <c r="GJ101" s="37"/>
      <c r="GK101" s="37"/>
      <c r="GL101" s="37"/>
      <c r="GM101" s="37"/>
      <c r="GN101" s="37"/>
      <c r="GO101" s="37"/>
      <c r="GP101" s="37"/>
      <c r="GQ101" s="37"/>
      <c r="GR101" s="37"/>
      <c r="GS101" s="37"/>
      <c r="GT101" s="37"/>
      <c r="GU101" s="37"/>
      <c r="GV101" s="37"/>
      <c r="GW101" s="37"/>
      <c r="GX101" s="37"/>
      <c r="GY101" s="37"/>
      <c r="GZ101" s="37"/>
      <c r="HA101" s="37"/>
      <c r="HB101" s="37"/>
      <c r="HC101" s="37"/>
      <c r="HD101" s="37"/>
      <c r="HE101" s="37"/>
      <c r="HF101" s="37"/>
      <c r="HG101" s="37"/>
      <c r="HH101" s="37"/>
      <c r="HI101" s="37"/>
      <c r="HJ101" s="37"/>
      <c r="HK101" s="37"/>
      <c r="HL101" s="37"/>
      <c r="HM101" s="37"/>
      <c r="HN101" s="37"/>
      <c r="HO101" s="37"/>
      <c r="HP101" s="37"/>
      <c r="HQ101" s="37"/>
      <c r="HR101" s="37"/>
      <c r="HS101" s="37"/>
      <c r="HT101" s="37"/>
      <c r="HU101" s="37"/>
      <c r="HV101" s="37"/>
      <c r="HW101" s="37"/>
      <c r="HX101" s="37"/>
      <c r="HY101" s="37"/>
      <c r="HZ101" s="37"/>
      <c r="IA101" s="37"/>
      <c r="IB101" s="37"/>
      <c r="IC101" s="37"/>
    </row>
    <row r="102" spans="1:237" s="40" customFormat="1" x14ac:dyDescent="0.2">
      <c r="A102" s="62"/>
      <c r="B102" s="63"/>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7"/>
      <c r="AZ102" s="37"/>
      <c r="BA102" s="37"/>
      <c r="BB102" s="37"/>
      <c r="BC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BZ102" s="37"/>
      <c r="CA102" s="37"/>
      <c r="CB102" s="37"/>
      <c r="CC102" s="37"/>
      <c r="CD102" s="37"/>
      <c r="CE102" s="37"/>
      <c r="CF102" s="37"/>
      <c r="CG102" s="37"/>
      <c r="CH102" s="37"/>
      <c r="CI102" s="37"/>
      <c r="CJ102" s="37"/>
      <c r="CK102" s="37"/>
      <c r="CL102" s="37"/>
      <c r="CM102" s="37"/>
      <c r="CN102" s="37"/>
      <c r="CO102" s="37"/>
      <c r="CP102" s="37"/>
      <c r="CQ102" s="37"/>
      <c r="CR102" s="37"/>
      <c r="CS102" s="37"/>
      <c r="CT102" s="37"/>
      <c r="CU102" s="37"/>
      <c r="CV102" s="37"/>
      <c r="CW102" s="37"/>
      <c r="CX102" s="37"/>
      <c r="CY102" s="37"/>
      <c r="CZ102" s="37"/>
      <c r="DA102" s="37"/>
      <c r="DB102" s="37"/>
      <c r="DC102" s="37"/>
      <c r="DD102" s="37"/>
      <c r="DE102" s="37"/>
      <c r="DF102" s="37"/>
      <c r="DG102" s="37"/>
      <c r="DH102" s="37"/>
      <c r="DI102" s="37"/>
      <c r="DJ102" s="37"/>
      <c r="DK102" s="37"/>
      <c r="DL102" s="37"/>
      <c r="DM102" s="37"/>
      <c r="DN102" s="37"/>
      <c r="DO102" s="37"/>
      <c r="DP102" s="37"/>
      <c r="DQ102" s="37"/>
      <c r="DR102" s="37"/>
      <c r="DS102" s="37"/>
      <c r="DT102" s="37"/>
      <c r="DU102" s="37"/>
      <c r="DV102" s="37"/>
      <c r="DW102" s="37"/>
      <c r="DX102" s="37"/>
      <c r="DY102" s="37"/>
      <c r="DZ102" s="37"/>
      <c r="EA102" s="37"/>
      <c r="EB102" s="37"/>
      <c r="EC102" s="37"/>
      <c r="ED102" s="37"/>
      <c r="EE102" s="37"/>
      <c r="EF102" s="37"/>
      <c r="EG102" s="37"/>
      <c r="EH102" s="37"/>
      <c r="EI102" s="37"/>
      <c r="EJ102" s="37"/>
      <c r="EK102" s="37"/>
      <c r="EL102" s="37"/>
      <c r="EM102" s="37"/>
      <c r="EN102" s="37"/>
      <c r="EO102" s="37"/>
      <c r="EP102" s="37"/>
      <c r="EQ102" s="37"/>
      <c r="ER102" s="37"/>
      <c r="ES102" s="37"/>
      <c r="ET102" s="37"/>
      <c r="EU102" s="37"/>
      <c r="EV102" s="37"/>
      <c r="EW102" s="37"/>
      <c r="EX102" s="37"/>
      <c r="EY102" s="37"/>
      <c r="EZ102" s="37"/>
      <c r="FA102" s="37"/>
      <c r="FB102" s="37"/>
      <c r="FC102" s="37"/>
      <c r="FD102" s="37"/>
      <c r="FE102" s="37"/>
      <c r="FF102" s="37"/>
      <c r="FG102" s="37"/>
      <c r="FH102" s="37"/>
      <c r="FI102" s="37"/>
      <c r="FJ102" s="37"/>
      <c r="FK102" s="37"/>
      <c r="FL102" s="37"/>
      <c r="FM102" s="37"/>
      <c r="FN102" s="37"/>
      <c r="FO102" s="37"/>
      <c r="FP102" s="37"/>
      <c r="FQ102" s="37"/>
      <c r="FR102" s="37"/>
      <c r="FS102" s="37"/>
      <c r="FT102" s="37"/>
      <c r="FU102" s="37"/>
      <c r="FV102" s="37"/>
      <c r="FW102" s="37"/>
      <c r="FX102" s="37"/>
      <c r="FY102" s="37"/>
      <c r="FZ102" s="37"/>
      <c r="GA102" s="37"/>
      <c r="GB102" s="37"/>
      <c r="GC102" s="37"/>
      <c r="GD102" s="37"/>
      <c r="GE102" s="37"/>
      <c r="GF102" s="37"/>
      <c r="GG102" s="37"/>
      <c r="GH102" s="37"/>
      <c r="GI102" s="37"/>
      <c r="GJ102" s="37"/>
      <c r="GK102" s="37"/>
      <c r="GL102" s="37"/>
      <c r="GM102" s="37"/>
      <c r="GN102" s="37"/>
      <c r="GO102" s="37"/>
      <c r="GP102" s="37"/>
      <c r="GQ102" s="37"/>
      <c r="GR102" s="37"/>
      <c r="GS102" s="37"/>
      <c r="GT102" s="37"/>
      <c r="GU102" s="37"/>
      <c r="GV102" s="37"/>
      <c r="GW102" s="37"/>
      <c r="GX102" s="37"/>
      <c r="GY102" s="37"/>
      <c r="GZ102" s="37"/>
      <c r="HA102" s="37"/>
      <c r="HB102" s="37"/>
      <c r="HC102" s="37"/>
      <c r="HD102" s="37"/>
      <c r="HE102" s="37"/>
      <c r="HF102" s="37"/>
      <c r="HG102" s="37"/>
      <c r="HH102" s="37"/>
      <c r="HI102" s="37"/>
      <c r="HJ102" s="37"/>
      <c r="HK102" s="37"/>
      <c r="HL102" s="37"/>
      <c r="HM102" s="37"/>
      <c r="HN102" s="37"/>
      <c r="HO102" s="37"/>
      <c r="HP102" s="37"/>
      <c r="HQ102" s="37"/>
      <c r="HR102" s="37"/>
      <c r="HS102" s="37"/>
      <c r="HT102" s="37"/>
      <c r="HU102" s="37"/>
      <c r="HV102" s="37"/>
      <c r="HW102" s="37"/>
      <c r="HX102" s="37"/>
      <c r="HY102" s="37"/>
      <c r="HZ102" s="37"/>
      <c r="IA102" s="37"/>
      <c r="IB102" s="37"/>
      <c r="IC102" s="37"/>
    </row>
    <row r="103" spans="1:237" s="40" customFormat="1" x14ac:dyDescent="0.2">
      <c r="A103" s="62"/>
      <c r="B103" s="63"/>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c r="BA103" s="37"/>
      <c r="BB103" s="37"/>
      <c r="BC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BZ103" s="37"/>
      <c r="CA103" s="37"/>
      <c r="CB103" s="37"/>
      <c r="CC103" s="37"/>
      <c r="CD103" s="37"/>
      <c r="CE103" s="37"/>
      <c r="CF103" s="37"/>
      <c r="CG103" s="37"/>
      <c r="CH103" s="37"/>
      <c r="CI103" s="37"/>
      <c r="CJ103" s="37"/>
      <c r="CK103" s="37"/>
      <c r="CL103" s="37"/>
      <c r="CM103" s="37"/>
      <c r="CN103" s="37"/>
      <c r="CO103" s="37"/>
      <c r="CP103" s="37"/>
      <c r="CQ103" s="37"/>
      <c r="CR103" s="37"/>
      <c r="CS103" s="37"/>
      <c r="CT103" s="37"/>
      <c r="CU103" s="37"/>
      <c r="CV103" s="37"/>
      <c r="CW103" s="37"/>
      <c r="CX103" s="37"/>
      <c r="CY103" s="37"/>
      <c r="CZ103" s="37"/>
      <c r="DA103" s="37"/>
      <c r="DB103" s="37"/>
      <c r="DC103" s="37"/>
      <c r="DD103" s="37"/>
      <c r="DE103" s="37"/>
      <c r="DF103" s="37"/>
      <c r="DG103" s="37"/>
      <c r="DH103" s="37"/>
      <c r="DI103" s="37"/>
      <c r="DJ103" s="37"/>
      <c r="DK103" s="37"/>
      <c r="DL103" s="37"/>
      <c r="DM103" s="37"/>
      <c r="DN103" s="37"/>
      <c r="DO103" s="37"/>
      <c r="DP103" s="37"/>
      <c r="DQ103" s="37"/>
      <c r="DR103" s="37"/>
      <c r="DS103" s="37"/>
      <c r="DT103" s="37"/>
      <c r="DU103" s="37"/>
      <c r="DV103" s="37"/>
      <c r="DW103" s="37"/>
      <c r="DX103" s="37"/>
      <c r="DY103" s="37"/>
      <c r="DZ103" s="37"/>
      <c r="EA103" s="37"/>
      <c r="EB103" s="37"/>
      <c r="EC103" s="37"/>
      <c r="ED103" s="37"/>
      <c r="EE103" s="37"/>
      <c r="EF103" s="37"/>
      <c r="EG103" s="37"/>
      <c r="EH103" s="37"/>
      <c r="EI103" s="37"/>
      <c r="EJ103" s="37"/>
      <c r="EK103" s="37"/>
      <c r="EL103" s="37"/>
      <c r="EM103" s="37"/>
      <c r="EN103" s="37"/>
      <c r="EO103" s="37"/>
      <c r="EP103" s="37"/>
      <c r="EQ103" s="37"/>
      <c r="ER103" s="37"/>
      <c r="ES103" s="37"/>
      <c r="ET103" s="37"/>
      <c r="EU103" s="37"/>
      <c r="EV103" s="37"/>
      <c r="EW103" s="37"/>
      <c r="EX103" s="37"/>
      <c r="EY103" s="37"/>
      <c r="EZ103" s="37"/>
      <c r="FA103" s="37"/>
      <c r="FB103" s="37"/>
      <c r="FC103" s="37"/>
      <c r="FD103" s="37"/>
      <c r="FE103" s="37"/>
      <c r="FF103" s="37"/>
      <c r="FG103" s="37"/>
      <c r="FH103" s="37"/>
      <c r="FI103" s="37"/>
      <c r="FJ103" s="37"/>
      <c r="FK103" s="37"/>
      <c r="FL103" s="37"/>
      <c r="FM103" s="37"/>
      <c r="FN103" s="37"/>
      <c r="FO103" s="37"/>
      <c r="FP103" s="37"/>
      <c r="FQ103" s="37"/>
      <c r="FR103" s="37"/>
      <c r="FS103" s="37"/>
      <c r="FT103" s="37"/>
      <c r="FU103" s="37"/>
      <c r="FV103" s="37"/>
      <c r="FW103" s="37"/>
      <c r="FX103" s="37"/>
      <c r="FY103" s="37"/>
      <c r="FZ103" s="37"/>
      <c r="GA103" s="37"/>
      <c r="GB103" s="37"/>
      <c r="GC103" s="37"/>
      <c r="GD103" s="37"/>
      <c r="GE103" s="37"/>
      <c r="GF103" s="37"/>
      <c r="GG103" s="37"/>
      <c r="GH103" s="37"/>
      <c r="GI103" s="37"/>
      <c r="GJ103" s="37"/>
      <c r="GK103" s="37"/>
      <c r="GL103" s="37"/>
      <c r="GM103" s="37"/>
      <c r="GN103" s="37"/>
      <c r="GO103" s="37"/>
      <c r="GP103" s="37"/>
      <c r="GQ103" s="37"/>
      <c r="GR103" s="37"/>
      <c r="GS103" s="37"/>
      <c r="GT103" s="37"/>
      <c r="GU103" s="37"/>
      <c r="GV103" s="37"/>
      <c r="GW103" s="37"/>
      <c r="GX103" s="37"/>
      <c r="GY103" s="37"/>
      <c r="GZ103" s="37"/>
      <c r="HA103" s="37"/>
      <c r="HB103" s="37"/>
      <c r="HC103" s="37"/>
      <c r="HD103" s="37"/>
      <c r="HE103" s="37"/>
      <c r="HF103" s="37"/>
      <c r="HG103" s="37"/>
      <c r="HH103" s="37"/>
      <c r="HI103" s="37"/>
      <c r="HJ103" s="37"/>
      <c r="HK103" s="37"/>
      <c r="HL103" s="37"/>
      <c r="HM103" s="37"/>
      <c r="HN103" s="37"/>
      <c r="HO103" s="37"/>
      <c r="HP103" s="37"/>
      <c r="HQ103" s="37"/>
      <c r="HR103" s="37"/>
      <c r="HS103" s="37"/>
      <c r="HT103" s="37"/>
      <c r="HU103" s="37"/>
      <c r="HV103" s="37"/>
      <c r="HW103" s="37"/>
      <c r="HX103" s="37"/>
      <c r="HY103" s="37"/>
      <c r="HZ103" s="37"/>
      <c r="IA103" s="37"/>
      <c r="IB103" s="37"/>
      <c r="IC103" s="37"/>
    </row>
    <row r="104" spans="1:237" s="40" customFormat="1" x14ac:dyDescent="0.2">
      <c r="A104" s="62"/>
      <c r="B104" s="63"/>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BZ104" s="37"/>
      <c r="CA104" s="37"/>
      <c r="CB104" s="37"/>
      <c r="CC104" s="37"/>
      <c r="CD104" s="37"/>
      <c r="CE104" s="37"/>
      <c r="CF104" s="37"/>
      <c r="CG104" s="37"/>
      <c r="CH104" s="37"/>
      <c r="CI104" s="37"/>
      <c r="CJ104" s="37"/>
      <c r="CK104" s="37"/>
      <c r="CL104" s="37"/>
      <c r="CM104" s="37"/>
      <c r="CN104" s="37"/>
      <c r="CO104" s="37"/>
      <c r="CP104" s="37"/>
      <c r="CQ104" s="37"/>
      <c r="CR104" s="37"/>
      <c r="CS104" s="37"/>
      <c r="CT104" s="37"/>
      <c r="CU104" s="37"/>
      <c r="CV104" s="37"/>
      <c r="CW104" s="37"/>
      <c r="CX104" s="37"/>
      <c r="CY104" s="37"/>
      <c r="CZ104" s="37"/>
      <c r="DA104" s="37"/>
      <c r="DB104" s="37"/>
      <c r="DC104" s="37"/>
      <c r="DD104" s="37"/>
      <c r="DE104" s="37"/>
      <c r="DF104" s="37"/>
      <c r="DG104" s="37"/>
      <c r="DH104" s="37"/>
      <c r="DI104" s="37"/>
      <c r="DJ104" s="37"/>
      <c r="DK104" s="37"/>
      <c r="DL104" s="37"/>
      <c r="DM104" s="37"/>
      <c r="DN104" s="37"/>
      <c r="DO104" s="37"/>
      <c r="DP104" s="37"/>
      <c r="DQ104" s="37"/>
      <c r="DR104" s="37"/>
      <c r="DS104" s="37"/>
      <c r="DT104" s="37"/>
      <c r="DU104" s="37"/>
      <c r="DV104" s="37"/>
      <c r="DW104" s="37"/>
      <c r="DX104" s="37"/>
      <c r="DY104" s="37"/>
      <c r="DZ104" s="37"/>
      <c r="EA104" s="37"/>
      <c r="EB104" s="37"/>
      <c r="EC104" s="37"/>
      <c r="ED104" s="37"/>
      <c r="EE104" s="37"/>
      <c r="EF104" s="37"/>
      <c r="EG104" s="37"/>
      <c r="EH104" s="37"/>
      <c r="EI104" s="37"/>
      <c r="EJ104" s="37"/>
      <c r="EK104" s="37"/>
      <c r="EL104" s="37"/>
      <c r="EM104" s="37"/>
      <c r="EN104" s="37"/>
      <c r="EO104" s="37"/>
      <c r="EP104" s="37"/>
      <c r="EQ104" s="37"/>
      <c r="ER104" s="37"/>
      <c r="ES104" s="37"/>
      <c r="ET104" s="37"/>
      <c r="EU104" s="37"/>
      <c r="EV104" s="37"/>
      <c r="EW104" s="37"/>
      <c r="EX104" s="37"/>
      <c r="EY104" s="37"/>
      <c r="EZ104" s="37"/>
      <c r="FA104" s="37"/>
      <c r="FB104" s="37"/>
      <c r="FC104" s="37"/>
      <c r="FD104" s="37"/>
      <c r="FE104" s="37"/>
      <c r="FF104" s="37"/>
      <c r="FG104" s="37"/>
      <c r="FH104" s="37"/>
      <c r="FI104" s="37"/>
      <c r="FJ104" s="37"/>
      <c r="FK104" s="37"/>
      <c r="FL104" s="37"/>
      <c r="FM104" s="37"/>
      <c r="FN104" s="37"/>
      <c r="FO104" s="37"/>
      <c r="FP104" s="37"/>
      <c r="FQ104" s="37"/>
      <c r="FR104" s="37"/>
      <c r="FS104" s="37"/>
      <c r="FT104" s="37"/>
      <c r="FU104" s="37"/>
      <c r="FV104" s="37"/>
      <c r="FW104" s="37"/>
      <c r="FX104" s="37"/>
      <c r="FY104" s="37"/>
      <c r="FZ104" s="37"/>
      <c r="GA104" s="37"/>
      <c r="GB104" s="37"/>
      <c r="GC104" s="37"/>
      <c r="GD104" s="37"/>
      <c r="GE104" s="37"/>
      <c r="GF104" s="37"/>
      <c r="GG104" s="37"/>
      <c r="GH104" s="37"/>
      <c r="GI104" s="37"/>
      <c r="GJ104" s="37"/>
      <c r="GK104" s="37"/>
      <c r="GL104" s="37"/>
      <c r="GM104" s="37"/>
      <c r="GN104" s="37"/>
      <c r="GO104" s="37"/>
      <c r="GP104" s="37"/>
      <c r="GQ104" s="37"/>
      <c r="GR104" s="37"/>
      <c r="GS104" s="37"/>
      <c r="GT104" s="37"/>
      <c r="GU104" s="37"/>
      <c r="GV104" s="37"/>
      <c r="GW104" s="37"/>
      <c r="GX104" s="37"/>
      <c r="GY104" s="37"/>
      <c r="GZ104" s="37"/>
      <c r="HA104" s="37"/>
      <c r="HB104" s="37"/>
      <c r="HC104" s="37"/>
      <c r="HD104" s="37"/>
      <c r="HE104" s="37"/>
      <c r="HF104" s="37"/>
      <c r="HG104" s="37"/>
      <c r="HH104" s="37"/>
      <c r="HI104" s="37"/>
      <c r="HJ104" s="37"/>
      <c r="HK104" s="37"/>
      <c r="HL104" s="37"/>
      <c r="HM104" s="37"/>
      <c r="HN104" s="37"/>
      <c r="HO104" s="37"/>
      <c r="HP104" s="37"/>
      <c r="HQ104" s="37"/>
      <c r="HR104" s="37"/>
      <c r="HS104" s="37"/>
      <c r="HT104" s="37"/>
      <c r="HU104" s="37"/>
      <c r="HV104" s="37"/>
      <c r="HW104" s="37"/>
      <c r="HX104" s="37"/>
      <c r="HY104" s="37"/>
      <c r="HZ104" s="37"/>
      <c r="IA104" s="37"/>
      <c r="IB104" s="37"/>
      <c r="IC104" s="37"/>
    </row>
    <row r="105" spans="1:237" s="40" customFormat="1" x14ac:dyDescent="0.2">
      <c r="A105" s="62"/>
      <c r="B105" s="63"/>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BZ105" s="37"/>
      <c r="CA105" s="37"/>
      <c r="CB105" s="37"/>
      <c r="CC105" s="37"/>
      <c r="CD105" s="37"/>
      <c r="CE105" s="37"/>
      <c r="CF105" s="37"/>
      <c r="CG105" s="37"/>
      <c r="CH105" s="37"/>
      <c r="CI105" s="37"/>
      <c r="CJ105" s="37"/>
      <c r="CK105" s="37"/>
      <c r="CL105" s="37"/>
      <c r="CM105" s="37"/>
      <c r="CN105" s="37"/>
      <c r="CO105" s="37"/>
      <c r="CP105" s="37"/>
      <c r="CQ105" s="37"/>
      <c r="CR105" s="37"/>
      <c r="CS105" s="37"/>
      <c r="CT105" s="37"/>
      <c r="CU105" s="37"/>
      <c r="CV105" s="37"/>
      <c r="CW105" s="37"/>
      <c r="CX105" s="37"/>
      <c r="CY105" s="37"/>
      <c r="CZ105" s="37"/>
      <c r="DA105" s="37"/>
      <c r="DB105" s="37"/>
      <c r="DC105" s="37"/>
      <c r="DD105" s="37"/>
      <c r="DE105" s="37"/>
      <c r="DF105" s="37"/>
      <c r="DG105" s="37"/>
      <c r="DH105" s="37"/>
      <c r="DI105" s="37"/>
      <c r="DJ105" s="37"/>
      <c r="DK105" s="37"/>
      <c r="DL105" s="37"/>
      <c r="DM105" s="37"/>
      <c r="DN105" s="37"/>
      <c r="DO105" s="37"/>
      <c r="DP105" s="37"/>
      <c r="DQ105" s="37"/>
      <c r="DR105" s="37"/>
      <c r="DS105" s="37"/>
      <c r="DT105" s="37"/>
      <c r="DU105" s="37"/>
      <c r="DV105" s="37"/>
      <c r="DW105" s="37"/>
      <c r="DX105" s="37"/>
      <c r="DY105" s="37"/>
      <c r="DZ105" s="37"/>
      <c r="EA105" s="37"/>
      <c r="EB105" s="37"/>
      <c r="EC105" s="37"/>
      <c r="ED105" s="37"/>
      <c r="EE105" s="37"/>
      <c r="EF105" s="37"/>
      <c r="EG105" s="37"/>
      <c r="EH105" s="37"/>
      <c r="EI105" s="37"/>
      <c r="EJ105" s="37"/>
      <c r="EK105" s="37"/>
      <c r="EL105" s="37"/>
      <c r="EM105" s="37"/>
      <c r="EN105" s="37"/>
      <c r="EO105" s="37"/>
      <c r="EP105" s="37"/>
      <c r="EQ105" s="37"/>
      <c r="ER105" s="37"/>
      <c r="ES105" s="37"/>
      <c r="ET105" s="37"/>
      <c r="EU105" s="37"/>
      <c r="EV105" s="37"/>
      <c r="EW105" s="37"/>
      <c r="EX105" s="37"/>
      <c r="EY105" s="37"/>
      <c r="EZ105" s="37"/>
      <c r="FA105" s="37"/>
      <c r="FB105" s="37"/>
      <c r="FC105" s="37"/>
      <c r="FD105" s="37"/>
      <c r="FE105" s="37"/>
      <c r="FF105" s="37"/>
      <c r="FG105" s="37"/>
      <c r="FH105" s="37"/>
      <c r="FI105" s="37"/>
      <c r="FJ105" s="37"/>
      <c r="FK105" s="37"/>
      <c r="FL105" s="37"/>
      <c r="FM105" s="37"/>
      <c r="FN105" s="37"/>
      <c r="FO105" s="37"/>
      <c r="FP105" s="37"/>
      <c r="FQ105" s="37"/>
      <c r="FR105" s="37"/>
      <c r="FS105" s="37"/>
      <c r="FT105" s="37"/>
      <c r="FU105" s="37"/>
      <c r="FV105" s="37"/>
      <c r="FW105" s="37"/>
      <c r="FX105" s="37"/>
      <c r="FY105" s="37"/>
      <c r="FZ105" s="37"/>
      <c r="GA105" s="37"/>
      <c r="GB105" s="37"/>
      <c r="GC105" s="37"/>
      <c r="GD105" s="37"/>
      <c r="GE105" s="37"/>
      <c r="GF105" s="37"/>
      <c r="GG105" s="37"/>
      <c r="GH105" s="37"/>
      <c r="GI105" s="37"/>
      <c r="GJ105" s="37"/>
      <c r="GK105" s="37"/>
      <c r="GL105" s="37"/>
      <c r="GM105" s="37"/>
      <c r="GN105" s="37"/>
      <c r="GO105" s="37"/>
      <c r="GP105" s="37"/>
      <c r="GQ105" s="37"/>
      <c r="GR105" s="37"/>
      <c r="GS105" s="37"/>
      <c r="GT105" s="37"/>
      <c r="GU105" s="37"/>
      <c r="GV105" s="37"/>
      <c r="GW105" s="37"/>
      <c r="GX105" s="37"/>
      <c r="GY105" s="37"/>
      <c r="GZ105" s="37"/>
      <c r="HA105" s="37"/>
      <c r="HB105" s="37"/>
      <c r="HC105" s="37"/>
      <c r="HD105" s="37"/>
      <c r="HE105" s="37"/>
      <c r="HF105" s="37"/>
      <c r="HG105" s="37"/>
      <c r="HH105" s="37"/>
      <c r="HI105" s="37"/>
      <c r="HJ105" s="37"/>
      <c r="HK105" s="37"/>
      <c r="HL105" s="37"/>
      <c r="HM105" s="37"/>
      <c r="HN105" s="37"/>
      <c r="HO105" s="37"/>
      <c r="HP105" s="37"/>
      <c r="HQ105" s="37"/>
      <c r="HR105" s="37"/>
      <c r="HS105" s="37"/>
      <c r="HT105" s="37"/>
      <c r="HU105" s="37"/>
      <c r="HV105" s="37"/>
      <c r="HW105" s="37"/>
      <c r="HX105" s="37"/>
      <c r="HY105" s="37"/>
      <c r="HZ105" s="37"/>
      <c r="IA105" s="37"/>
      <c r="IB105" s="37"/>
      <c r="IC105" s="37"/>
    </row>
    <row r="106" spans="1:237" s="40" customFormat="1" x14ac:dyDescent="0.2">
      <c r="A106" s="62"/>
      <c r="B106" s="63"/>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BZ106" s="37"/>
      <c r="CA106" s="37"/>
      <c r="CB106" s="37"/>
      <c r="CC106" s="37"/>
      <c r="CD106" s="37"/>
      <c r="CE106" s="37"/>
      <c r="CF106" s="37"/>
      <c r="CG106" s="37"/>
      <c r="CH106" s="37"/>
      <c r="CI106" s="37"/>
      <c r="CJ106" s="37"/>
      <c r="CK106" s="37"/>
      <c r="CL106" s="37"/>
      <c r="CM106" s="37"/>
      <c r="CN106" s="37"/>
      <c r="CO106" s="37"/>
      <c r="CP106" s="37"/>
      <c r="CQ106" s="37"/>
      <c r="CR106" s="37"/>
      <c r="CS106" s="37"/>
      <c r="CT106" s="37"/>
      <c r="CU106" s="37"/>
      <c r="CV106" s="37"/>
      <c r="CW106" s="37"/>
      <c r="CX106" s="37"/>
      <c r="CY106" s="37"/>
      <c r="CZ106" s="37"/>
      <c r="DA106" s="37"/>
      <c r="DB106" s="37"/>
      <c r="DC106" s="37"/>
      <c r="DD106" s="37"/>
      <c r="DE106" s="37"/>
      <c r="DF106" s="37"/>
      <c r="DG106" s="37"/>
      <c r="DH106" s="37"/>
      <c r="DI106" s="37"/>
      <c r="DJ106" s="37"/>
      <c r="DK106" s="37"/>
      <c r="DL106" s="37"/>
      <c r="DM106" s="37"/>
      <c r="DN106" s="37"/>
      <c r="DO106" s="37"/>
      <c r="DP106" s="37"/>
      <c r="DQ106" s="37"/>
      <c r="DR106" s="37"/>
      <c r="DS106" s="37"/>
      <c r="DT106" s="37"/>
      <c r="DU106" s="37"/>
      <c r="DV106" s="37"/>
      <c r="DW106" s="37"/>
      <c r="DX106" s="37"/>
      <c r="DY106" s="37"/>
      <c r="DZ106" s="37"/>
      <c r="EA106" s="37"/>
      <c r="EB106" s="37"/>
      <c r="EC106" s="37"/>
      <c r="ED106" s="37"/>
      <c r="EE106" s="37"/>
      <c r="EF106" s="37"/>
      <c r="EG106" s="37"/>
      <c r="EH106" s="37"/>
      <c r="EI106" s="37"/>
      <c r="EJ106" s="37"/>
      <c r="EK106" s="37"/>
      <c r="EL106" s="37"/>
      <c r="EM106" s="37"/>
      <c r="EN106" s="37"/>
      <c r="EO106" s="37"/>
      <c r="EP106" s="37"/>
      <c r="EQ106" s="37"/>
      <c r="ER106" s="37"/>
      <c r="ES106" s="37"/>
      <c r="ET106" s="37"/>
      <c r="EU106" s="37"/>
      <c r="EV106" s="37"/>
      <c r="EW106" s="37"/>
      <c r="EX106" s="37"/>
      <c r="EY106" s="37"/>
      <c r="EZ106" s="37"/>
      <c r="FA106" s="37"/>
      <c r="FB106" s="37"/>
      <c r="FC106" s="37"/>
      <c r="FD106" s="37"/>
      <c r="FE106" s="37"/>
      <c r="FF106" s="37"/>
      <c r="FG106" s="37"/>
      <c r="FH106" s="37"/>
      <c r="FI106" s="37"/>
      <c r="FJ106" s="37"/>
      <c r="FK106" s="37"/>
      <c r="FL106" s="37"/>
      <c r="FM106" s="37"/>
      <c r="FN106" s="37"/>
      <c r="FO106" s="37"/>
      <c r="FP106" s="37"/>
      <c r="FQ106" s="37"/>
      <c r="FR106" s="37"/>
      <c r="FS106" s="37"/>
      <c r="FT106" s="37"/>
      <c r="FU106" s="37"/>
      <c r="FV106" s="37"/>
      <c r="FW106" s="37"/>
      <c r="FX106" s="37"/>
      <c r="FY106" s="37"/>
      <c r="FZ106" s="37"/>
      <c r="GA106" s="37"/>
      <c r="GB106" s="37"/>
      <c r="GC106" s="37"/>
      <c r="GD106" s="37"/>
      <c r="GE106" s="37"/>
      <c r="GF106" s="37"/>
      <c r="GG106" s="37"/>
      <c r="GH106" s="37"/>
      <c r="GI106" s="37"/>
      <c r="GJ106" s="37"/>
      <c r="GK106" s="37"/>
      <c r="GL106" s="37"/>
      <c r="GM106" s="37"/>
      <c r="GN106" s="37"/>
      <c r="GO106" s="37"/>
      <c r="GP106" s="37"/>
      <c r="GQ106" s="37"/>
      <c r="GR106" s="37"/>
      <c r="GS106" s="37"/>
      <c r="GT106" s="37"/>
      <c r="GU106" s="37"/>
      <c r="GV106" s="37"/>
      <c r="GW106" s="37"/>
      <c r="GX106" s="37"/>
      <c r="GY106" s="37"/>
      <c r="GZ106" s="37"/>
      <c r="HA106" s="37"/>
      <c r="HB106" s="37"/>
      <c r="HC106" s="37"/>
      <c r="HD106" s="37"/>
      <c r="HE106" s="37"/>
      <c r="HF106" s="37"/>
      <c r="HG106" s="37"/>
      <c r="HH106" s="37"/>
      <c r="HI106" s="37"/>
      <c r="HJ106" s="37"/>
      <c r="HK106" s="37"/>
      <c r="HL106" s="37"/>
      <c r="HM106" s="37"/>
      <c r="HN106" s="37"/>
      <c r="HO106" s="37"/>
      <c r="HP106" s="37"/>
      <c r="HQ106" s="37"/>
      <c r="HR106" s="37"/>
      <c r="HS106" s="37"/>
      <c r="HT106" s="37"/>
      <c r="HU106" s="37"/>
      <c r="HV106" s="37"/>
      <c r="HW106" s="37"/>
      <c r="HX106" s="37"/>
      <c r="HY106" s="37"/>
      <c r="HZ106" s="37"/>
      <c r="IA106" s="37"/>
      <c r="IB106" s="37"/>
      <c r="IC106" s="37"/>
    </row>
    <row r="107" spans="1:237" s="40" customFormat="1" x14ac:dyDescent="0.2">
      <c r="A107" s="62"/>
      <c r="B107" s="63"/>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BZ107" s="37"/>
      <c r="CA107" s="37"/>
      <c r="CB107" s="37"/>
      <c r="CC107" s="37"/>
      <c r="CD107" s="37"/>
      <c r="CE107" s="37"/>
      <c r="CF107" s="37"/>
      <c r="CG107" s="37"/>
      <c r="CH107" s="37"/>
      <c r="CI107" s="37"/>
      <c r="CJ107" s="37"/>
      <c r="CK107" s="37"/>
      <c r="CL107" s="37"/>
      <c r="CM107" s="37"/>
      <c r="CN107" s="37"/>
      <c r="CO107" s="37"/>
      <c r="CP107" s="37"/>
      <c r="CQ107" s="37"/>
      <c r="CR107" s="37"/>
      <c r="CS107" s="37"/>
      <c r="CT107" s="37"/>
      <c r="CU107" s="37"/>
      <c r="CV107" s="37"/>
      <c r="CW107" s="37"/>
      <c r="CX107" s="37"/>
      <c r="CY107" s="37"/>
      <c r="CZ107" s="37"/>
      <c r="DA107" s="37"/>
      <c r="DB107" s="37"/>
      <c r="DC107" s="37"/>
      <c r="DD107" s="37"/>
      <c r="DE107" s="37"/>
      <c r="DF107" s="37"/>
      <c r="DG107" s="37"/>
      <c r="DH107" s="37"/>
      <c r="DI107" s="37"/>
      <c r="DJ107" s="37"/>
      <c r="DK107" s="37"/>
      <c r="DL107" s="37"/>
      <c r="DM107" s="37"/>
      <c r="DN107" s="37"/>
      <c r="DO107" s="37"/>
      <c r="DP107" s="37"/>
      <c r="DQ107" s="37"/>
      <c r="DR107" s="37"/>
      <c r="DS107" s="37"/>
      <c r="DT107" s="37"/>
      <c r="DU107" s="37"/>
      <c r="DV107" s="37"/>
      <c r="DW107" s="37"/>
      <c r="DX107" s="37"/>
      <c r="DY107" s="37"/>
      <c r="DZ107" s="37"/>
      <c r="EA107" s="37"/>
      <c r="EB107" s="37"/>
      <c r="EC107" s="37"/>
      <c r="ED107" s="37"/>
      <c r="EE107" s="37"/>
      <c r="EF107" s="37"/>
      <c r="EG107" s="37"/>
      <c r="EH107" s="37"/>
      <c r="EI107" s="37"/>
      <c r="EJ107" s="37"/>
      <c r="EK107" s="37"/>
      <c r="EL107" s="37"/>
      <c r="EM107" s="37"/>
      <c r="EN107" s="37"/>
      <c r="EO107" s="37"/>
      <c r="EP107" s="37"/>
      <c r="EQ107" s="37"/>
      <c r="ER107" s="37"/>
      <c r="ES107" s="37"/>
      <c r="ET107" s="37"/>
      <c r="EU107" s="37"/>
      <c r="EV107" s="37"/>
      <c r="EW107" s="37"/>
      <c r="EX107" s="37"/>
      <c r="EY107" s="37"/>
      <c r="EZ107" s="37"/>
      <c r="FA107" s="37"/>
      <c r="FB107" s="37"/>
      <c r="FC107" s="37"/>
      <c r="FD107" s="37"/>
      <c r="FE107" s="37"/>
      <c r="FF107" s="37"/>
      <c r="FG107" s="37"/>
      <c r="FH107" s="37"/>
      <c r="FI107" s="37"/>
      <c r="FJ107" s="37"/>
      <c r="FK107" s="37"/>
      <c r="FL107" s="37"/>
      <c r="FM107" s="37"/>
      <c r="FN107" s="37"/>
      <c r="FO107" s="37"/>
      <c r="FP107" s="37"/>
      <c r="FQ107" s="37"/>
      <c r="FR107" s="37"/>
      <c r="FS107" s="37"/>
      <c r="FT107" s="37"/>
      <c r="FU107" s="37"/>
      <c r="FV107" s="37"/>
      <c r="FW107" s="37"/>
      <c r="FX107" s="37"/>
      <c r="FY107" s="37"/>
      <c r="FZ107" s="37"/>
      <c r="GA107" s="37"/>
      <c r="GB107" s="37"/>
      <c r="GC107" s="37"/>
      <c r="GD107" s="37"/>
      <c r="GE107" s="37"/>
      <c r="GF107" s="37"/>
      <c r="GG107" s="37"/>
      <c r="GH107" s="37"/>
      <c r="GI107" s="37"/>
      <c r="GJ107" s="37"/>
      <c r="GK107" s="37"/>
      <c r="GL107" s="37"/>
      <c r="GM107" s="37"/>
      <c r="GN107" s="37"/>
      <c r="GO107" s="37"/>
      <c r="GP107" s="37"/>
      <c r="GQ107" s="37"/>
      <c r="GR107" s="37"/>
      <c r="GS107" s="37"/>
      <c r="GT107" s="37"/>
      <c r="GU107" s="37"/>
      <c r="GV107" s="37"/>
      <c r="GW107" s="37"/>
      <c r="GX107" s="37"/>
      <c r="GY107" s="37"/>
      <c r="GZ107" s="37"/>
      <c r="HA107" s="37"/>
      <c r="HB107" s="37"/>
      <c r="HC107" s="37"/>
      <c r="HD107" s="37"/>
      <c r="HE107" s="37"/>
      <c r="HF107" s="37"/>
      <c r="HG107" s="37"/>
      <c r="HH107" s="37"/>
      <c r="HI107" s="37"/>
      <c r="HJ107" s="37"/>
      <c r="HK107" s="37"/>
      <c r="HL107" s="37"/>
      <c r="HM107" s="37"/>
      <c r="HN107" s="37"/>
      <c r="HO107" s="37"/>
      <c r="HP107" s="37"/>
      <c r="HQ107" s="37"/>
      <c r="HR107" s="37"/>
      <c r="HS107" s="37"/>
      <c r="HT107" s="37"/>
      <c r="HU107" s="37"/>
      <c r="HV107" s="37"/>
      <c r="HW107" s="37"/>
      <c r="HX107" s="37"/>
      <c r="HY107" s="37"/>
      <c r="HZ107" s="37"/>
      <c r="IA107" s="37"/>
      <c r="IB107" s="37"/>
      <c r="IC107" s="37"/>
    </row>
    <row r="108" spans="1:237" s="40" customFormat="1" x14ac:dyDescent="0.2">
      <c r="A108" s="62"/>
      <c r="B108" s="63"/>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37"/>
      <c r="BB108" s="37"/>
      <c r="BC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BZ108" s="37"/>
      <c r="CA108" s="37"/>
      <c r="CB108" s="37"/>
      <c r="CC108" s="37"/>
      <c r="CD108" s="37"/>
      <c r="CE108" s="37"/>
      <c r="CF108" s="37"/>
      <c r="CG108" s="37"/>
      <c r="CH108" s="37"/>
      <c r="CI108" s="37"/>
      <c r="CJ108" s="37"/>
      <c r="CK108" s="37"/>
      <c r="CL108" s="37"/>
      <c r="CM108" s="37"/>
      <c r="CN108" s="37"/>
      <c r="CO108" s="37"/>
      <c r="CP108" s="37"/>
      <c r="CQ108" s="37"/>
      <c r="CR108" s="37"/>
      <c r="CS108" s="37"/>
      <c r="CT108" s="37"/>
      <c r="CU108" s="37"/>
      <c r="CV108" s="37"/>
      <c r="CW108" s="37"/>
      <c r="CX108" s="37"/>
      <c r="CY108" s="37"/>
      <c r="CZ108" s="37"/>
      <c r="DA108" s="37"/>
      <c r="DB108" s="37"/>
      <c r="DC108" s="37"/>
      <c r="DD108" s="37"/>
      <c r="DE108" s="37"/>
      <c r="DF108" s="37"/>
      <c r="DG108" s="37"/>
      <c r="DH108" s="37"/>
      <c r="DI108" s="37"/>
      <c r="DJ108" s="37"/>
      <c r="DK108" s="37"/>
      <c r="DL108" s="37"/>
      <c r="DM108" s="37"/>
      <c r="DN108" s="37"/>
      <c r="DO108" s="37"/>
      <c r="DP108" s="37"/>
      <c r="DQ108" s="37"/>
      <c r="DR108" s="37"/>
      <c r="DS108" s="37"/>
      <c r="DT108" s="37"/>
      <c r="DU108" s="37"/>
      <c r="DV108" s="37"/>
      <c r="DW108" s="37"/>
      <c r="DX108" s="37"/>
      <c r="DY108" s="37"/>
      <c r="DZ108" s="37"/>
      <c r="EA108" s="37"/>
      <c r="EB108" s="37"/>
      <c r="EC108" s="37"/>
      <c r="ED108" s="37"/>
      <c r="EE108" s="37"/>
      <c r="EF108" s="37"/>
      <c r="EG108" s="37"/>
      <c r="EH108" s="37"/>
      <c r="EI108" s="37"/>
      <c r="EJ108" s="37"/>
      <c r="EK108" s="37"/>
      <c r="EL108" s="37"/>
      <c r="EM108" s="37"/>
      <c r="EN108" s="37"/>
      <c r="EO108" s="37"/>
      <c r="EP108" s="37"/>
      <c r="EQ108" s="37"/>
      <c r="ER108" s="37"/>
      <c r="ES108" s="37"/>
      <c r="ET108" s="37"/>
      <c r="EU108" s="37"/>
      <c r="EV108" s="37"/>
      <c r="EW108" s="37"/>
      <c r="EX108" s="37"/>
      <c r="EY108" s="37"/>
      <c r="EZ108" s="37"/>
      <c r="FA108" s="37"/>
      <c r="FB108" s="37"/>
      <c r="FC108" s="37"/>
      <c r="FD108" s="37"/>
      <c r="FE108" s="37"/>
      <c r="FF108" s="37"/>
      <c r="FG108" s="37"/>
      <c r="FH108" s="37"/>
      <c r="FI108" s="37"/>
      <c r="FJ108" s="37"/>
      <c r="FK108" s="37"/>
      <c r="FL108" s="37"/>
      <c r="FM108" s="37"/>
      <c r="FN108" s="37"/>
      <c r="FO108" s="37"/>
      <c r="FP108" s="37"/>
      <c r="FQ108" s="37"/>
      <c r="FR108" s="37"/>
      <c r="FS108" s="37"/>
      <c r="FT108" s="37"/>
      <c r="FU108" s="37"/>
      <c r="FV108" s="37"/>
      <c r="FW108" s="37"/>
      <c r="FX108" s="37"/>
      <c r="FY108" s="37"/>
      <c r="FZ108" s="37"/>
      <c r="GA108" s="37"/>
      <c r="GB108" s="37"/>
      <c r="GC108" s="37"/>
      <c r="GD108" s="37"/>
      <c r="GE108" s="37"/>
      <c r="GF108" s="37"/>
      <c r="GG108" s="37"/>
      <c r="GH108" s="37"/>
      <c r="GI108" s="37"/>
      <c r="GJ108" s="37"/>
      <c r="GK108" s="37"/>
      <c r="GL108" s="37"/>
      <c r="GM108" s="37"/>
      <c r="GN108" s="37"/>
      <c r="GO108" s="37"/>
      <c r="GP108" s="37"/>
      <c r="GQ108" s="37"/>
      <c r="GR108" s="37"/>
      <c r="GS108" s="37"/>
      <c r="GT108" s="37"/>
      <c r="GU108" s="37"/>
      <c r="GV108" s="37"/>
      <c r="GW108" s="37"/>
      <c r="GX108" s="37"/>
      <c r="GY108" s="37"/>
      <c r="GZ108" s="37"/>
      <c r="HA108" s="37"/>
      <c r="HB108" s="37"/>
      <c r="HC108" s="37"/>
      <c r="HD108" s="37"/>
      <c r="HE108" s="37"/>
      <c r="HF108" s="37"/>
      <c r="HG108" s="37"/>
      <c r="HH108" s="37"/>
      <c r="HI108" s="37"/>
      <c r="HJ108" s="37"/>
      <c r="HK108" s="37"/>
      <c r="HL108" s="37"/>
      <c r="HM108" s="37"/>
      <c r="HN108" s="37"/>
      <c r="HO108" s="37"/>
      <c r="HP108" s="37"/>
      <c r="HQ108" s="37"/>
      <c r="HR108" s="37"/>
      <c r="HS108" s="37"/>
      <c r="HT108" s="37"/>
      <c r="HU108" s="37"/>
      <c r="HV108" s="37"/>
      <c r="HW108" s="37"/>
      <c r="HX108" s="37"/>
      <c r="HY108" s="37"/>
      <c r="HZ108" s="37"/>
      <c r="IA108" s="37"/>
      <c r="IB108" s="37"/>
      <c r="IC108" s="37"/>
    </row>
    <row r="109" spans="1:237" s="40" customFormat="1" x14ac:dyDescent="0.2">
      <c r="A109" s="62"/>
      <c r="B109" s="63"/>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7"/>
      <c r="AZ109" s="37"/>
      <c r="BA109" s="37"/>
      <c r="BB109" s="37"/>
      <c r="BC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BZ109" s="37"/>
      <c r="CA109" s="37"/>
      <c r="CB109" s="37"/>
      <c r="CC109" s="37"/>
      <c r="CD109" s="37"/>
      <c r="CE109" s="37"/>
      <c r="CF109" s="37"/>
      <c r="CG109" s="37"/>
      <c r="CH109" s="37"/>
      <c r="CI109" s="37"/>
      <c r="CJ109" s="37"/>
      <c r="CK109" s="37"/>
      <c r="CL109" s="37"/>
      <c r="CM109" s="37"/>
      <c r="CN109" s="37"/>
      <c r="CO109" s="37"/>
      <c r="CP109" s="37"/>
      <c r="CQ109" s="37"/>
      <c r="CR109" s="37"/>
      <c r="CS109" s="37"/>
      <c r="CT109" s="37"/>
      <c r="CU109" s="37"/>
      <c r="CV109" s="37"/>
      <c r="CW109" s="37"/>
      <c r="CX109" s="37"/>
      <c r="CY109" s="37"/>
      <c r="CZ109" s="37"/>
      <c r="DA109" s="37"/>
      <c r="DB109" s="37"/>
      <c r="DC109" s="37"/>
      <c r="DD109" s="37"/>
      <c r="DE109" s="37"/>
      <c r="DF109" s="37"/>
      <c r="DG109" s="37"/>
      <c r="DH109" s="37"/>
      <c r="DI109" s="37"/>
      <c r="DJ109" s="37"/>
      <c r="DK109" s="37"/>
      <c r="DL109" s="37"/>
      <c r="DM109" s="37"/>
      <c r="DN109" s="37"/>
      <c r="DO109" s="37"/>
      <c r="DP109" s="37"/>
      <c r="DQ109" s="37"/>
      <c r="DR109" s="37"/>
      <c r="DS109" s="37"/>
      <c r="DT109" s="37"/>
      <c r="DU109" s="37"/>
      <c r="DV109" s="37"/>
      <c r="DW109" s="37"/>
      <c r="DX109" s="37"/>
      <c r="DY109" s="37"/>
      <c r="DZ109" s="37"/>
      <c r="EA109" s="37"/>
      <c r="EB109" s="37"/>
      <c r="EC109" s="37"/>
      <c r="ED109" s="37"/>
      <c r="EE109" s="37"/>
      <c r="EF109" s="37"/>
      <c r="EG109" s="37"/>
      <c r="EH109" s="37"/>
      <c r="EI109" s="37"/>
      <c r="EJ109" s="37"/>
      <c r="EK109" s="37"/>
      <c r="EL109" s="37"/>
      <c r="EM109" s="37"/>
      <c r="EN109" s="37"/>
      <c r="EO109" s="37"/>
      <c r="EP109" s="37"/>
      <c r="EQ109" s="37"/>
      <c r="ER109" s="37"/>
      <c r="ES109" s="37"/>
      <c r="ET109" s="37"/>
      <c r="EU109" s="37"/>
      <c r="EV109" s="37"/>
      <c r="EW109" s="37"/>
      <c r="EX109" s="37"/>
      <c r="EY109" s="37"/>
      <c r="EZ109" s="37"/>
      <c r="FA109" s="37"/>
      <c r="FB109" s="37"/>
      <c r="FC109" s="37"/>
      <c r="FD109" s="37"/>
      <c r="FE109" s="37"/>
      <c r="FF109" s="37"/>
      <c r="FG109" s="37"/>
      <c r="FH109" s="37"/>
      <c r="FI109" s="37"/>
      <c r="FJ109" s="37"/>
      <c r="FK109" s="37"/>
      <c r="FL109" s="37"/>
      <c r="FM109" s="37"/>
      <c r="FN109" s="37"/>
      <c r="FO109" s="37"/>
      <c r="FP109" s="37"/>
      <c r="FQ109" s="37"/>
      <c r="FR109" s="37"/>
      <c r="FS109" s="37"/>
      <c r="FT109" s="37"/>
      <c r="FU109" s="37"/>
      <c r="FV109" s="37"/>
      <c r="FW109" s="37"/>
      <c r="FX109" s="37"/>
      <c r="FY109" s="37"/>
      <c r="FZ109" s="37"/>
      <c r="GA109" s="37"/>
      <c r="GB109" s="37"/>
      <c r="GC109" s="37"/>
      <c r="GD109" s="37"/>
      <c r="GE109" s="37"/>
      <c r="GF109" s="37"/>
      <c r="GG109" s="37"/>
      <c r="GH109" s="37"/>
      <c r="GI109" s="37"/>
      <c r="GJ109" s="37"/>
      <c r="GK109" s="37"/>
      <c r="GL109" s="37"/>
      <c r="GM109" s="37"/>
      <c r="GN109" s="37"/>
      <c r="GO109" s="37"/>
      <c r="GP109" s="37"/>
      <c r="GQ109" s="37"/>
      <c r="GR109" s="37"/>
      <c r="GS109" s="37"/>
      <c r="GT109" s="37"/>
      <c r="GU109" s="37"/>
      <c r="GV109" s="37"/>
      <c r="GW109" s="37"/>
      <c r="GX109" s="37"/>
      <c r="GY109" s="37"/>
      <c r="GZ109" s="37"/>
      <c r="HA109" s="37"/>
      <c r="HB109" s="37"/>
      <c r="HC109" s="37"/>
      <c r="HD109" s="37"/>
      <c r="HE109" s="37"/>
      <c r="HF109" s="37"/>
      <c r="HG109" s="37"/>
      <c r="HH109" s="37"/>
      <c r="HI109" s="37"/>
      <c r="HJ109" s="37"/>
      <c r="HK109" s="37"/>
      <c r="HL109" s="37"/>
      <c r="HM109" s="37"/>
      <c r="HN109" s="37"/>
      <c r="HO109" s="37"/>
      <c r="HP109" s="37"/>
      <c r="HQ109" s="37"/>
      <c r="HR109" s="37"/>
      <c r="HS109" s="37"/>
      <c r="HT109" s="37"/>
      <c r="HU109" s="37"/>
      <c r="HV109" s="37"/>
      <c r="HW109" s="37"/>
      <c r="HX109" s="37"/>
      <c r="HY109" s="37"/>
      <c r="HZ109" s="37"/>
      <c r="IA109" s="37"/>
      <c r="IB109" s="37"/>
      <c r="IC109" s="37"/>
    </row>
    <row r="110" spans="1:237" s="40" customFormat="1" x14ac:dyDescent="0.2">
      <c r="A110" s="62"/>
      <c r="B110" s="63"/>
      <c r="J110" s="37"/>
      <c r="K110" s="37"/>
      <c r="L110" s="37"/>
      <c r="M110" s="3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c r="BA110" s="37"/>
      <c r="BB110" s="37"/>
      <c r="BC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BZ110" s="37"/>
      <c r="CA110" s="37"/>
      <c r="CB110" s="37"/>
      <c r="CC110" s="37"/>
      <c r="CD110" s="37"/>
      <c r="CE110" s="37"/>
      <c r="CF110" s="37"/>
      <c r="CG110" s="37"/>
      <c r="CH110" s="37"/>
      <c r="CI110" s="37"/>
      <c r="CJ110" s="37"/>
      <c r="CK110" s="37"/>
      <c r="CL110" s="37"/>
      <c r="CM110" s="37"/>
      <c r="CN110" s="37"/>
      <c r="CO110" s="37"/>
      <c r="CP110" s="37"/>
      <c r="CQ110" s="37"/>
      <c r="CR110" s="37"/>
      <c r="CS110" s="37"/>
      <c r="CT110" s="37"/>
      <c r="CU110" s="37"/>
      <c r="CV110" s="37"/>
      <c r="CW110" s="37"/>
      <c r="CX110" s="37"/>
      <c r="CY110" s="37"/>
      <c r="CZ110" s="37"/>
      <c r="DA110" s="37"/>
      <c r="DB110" s="37"/>
      <c r="DC110" s="37"/>
      <c r="DD110" s="37"/>
      <c r="DE110" s="37"/>
      <c r="DF110" s="37"/>
      <c r="DG110" s="37"/>
      <c r="DH110" s="37"/>
      <c r="DI110" s="37"/>
      <c r="DJ110" s="37"/>
      <c r="DK110" s="37"/>
      <c r="DL110" s="37"/>
      <c r="DM110" s="37"/>
      <c r="DN110" s="37"/>
      <c r="DO110" s="37"/>
      <c r="DP110" s="37"/>
      <c r="DQ110" s="37"/>
      <c r="DR110" s="37"/>
      <c r="DS110" s="37"/>
      <c r="DT110" s="37"/>
      <c r="DU110" s="37"/>
      <c r="DV110" s="37"/>
      <c r="DW110" s="37"/>
      <c r="DX110" s="37"/>
      <c r="DY110" s="37"/>
      <c r="DZ110" s="37"/>
      <c r="EA110" s="37"/>
      <c r="EB110" s="37"/>
      <c r="EC110" s="37"/>
      <c r="ED110" s="37"/>
      <c r="EE110" s="37"/>
      <c r="EF110" s="37"/>
      <c r="EG110" s="37"/>
      <c r="EH110" s="37"/>
      <c r="EI110" s="37"/>
      <c r="EJ110" s="37"/>
      <c r="EK110" s="37"/>
      <c r="EL110" s="37"/>
      <c r="EM110" s="37"/>
      <c r="EN110" s="37"/>
      <c r="EO110" s="37"/>
      <c r="EP110" s="37"/>
      <c r="EQ110" s="37"/>
      <c r="ER110" s="37"/>
      <c r="ES110" s="37"/>
      <c r="ET110" s="37"/>
      <c r="EU110" s="37"/>
      <c r="EV110" s="37"/>
      <c r="EW110" s="37"/>
      <c r="EX110" s="37"/>
      <c r="EY110" s="37"/>
      <c r="EZ110" s="37"/>
      <c r="FA110" s="37"/>
      <c r="FB110" s="37"/>
      <c r="FC110" s="37"/>
      <c r="FD110" s="37"/>
      <c r="FE110" s="37"/>
      <c r="FF110" s="37"/>
      <c r="FG110" s="37"/>
      <c r="FH110" s="37"/>
      <c r="FI110" s="37"/>
      <c r="FJ110" s="37"/>
      <c r="FK110" s="37"/>
      <c r="FL110" s="37"/>
      <c r="FM110" s="37"/>
      <c r="FN110" s="37"/>
      <c r="FO110" s="37"/>
      <c r="FP110" s="37"/>
      <c r="FQ110" s="37"/>
      <c r="FR110" s="37"/>
      <c r="FS110" s="37"/>
      <c r="FT110" s="37"/>
      <c r="FU110" s="37"/>
      <c r="FV110" s="37"/>
      <c r="FW110" s="37"/>
      <c r="FX110" s="37"/>
      <c r="FY110" s="37"/>
      <c r="FZ110" s="37"/>
      <c r="GA110" s="37"/>
      <c r="GB110" s="37"/>
      <c r="GC110" s="37"/>
      <c r="GD110" s="37"/>
      <c r="GE110" s="37"/>
      <c r="GF110" s="37"/>
      <c r="GG110" s="37"/>
      <c r="GH110" s="37"/>
      <c r="GI110" s="37"/>
      <c r="GJ110" s="37"/>
      <c r="GK110" s="37"/>
      <c r="GL110" s="37"/>
      <c r="GM110" s="37"/>
      <c r="GN110" s="37"/>
      <c r="GO110" s="37"/>
      <c r="GP110" s="37"/>
      <c r="GQ110" s="37"/>
      <c r="GR110" s="37"/>
      <c r="GS110" s="37"/>
      <c r="GT110" s="37"/>
      <c r="GU110" s="37"/>
      <c r="GV110" s="37"/>
      <c r="GW110" s="37"/>
      <c r="GX110" s="37"/>
      <c r="GY110" s="37"/>
      <c r="GZ110" s="37"/>
      <c r="HA110" s="37"/>
      <c r="HB110" s="37"/>
      <c r="HC110" s="37"/>
      <c r="HD110" s="37"/>
      <c r="HE110" s="37"/>
      <c r="HF110" s="37"/>
      <c r="HG110" s="37"/>
      <c r="HH110" s="37"/>
      <c r="HI110" s="37"/>
      <c r="HJ110" s="37"/>
      <c r="HK110" s="37"/>
      <c r="HL110" s="37"/>
      <c r="HM110" s="37"/>
      <c r="HN110" s="37"/>
      <c r="HO110" s="37"/>
      <c r="HP110" s="37"/>
      <c r="HQ110" s="37"/>
      <c r="HR110" s="37"/>
      <c r="HS110" s="37"/>
      <c r="HT110" s="37"/>
      <c r="HU110" s="37"/>
      <c r="HV110" s="37"/>
      <c r="HW110" s="37"/>
      <c r="HX110" s="37"/>
      <c r="HY110" s="37"/>
      <c r="HZ110" s="37"/>
      <c r="IA110" s="37"/>
      <c r="IB110" s="37"/>
      <c r="IC110" s="37"/>
    </row>
    <row r="111" spans="1:237" s="40" customFormat="1" x14ac:dyDescent="0.2">
      <c r="A111" s="62"/>
      <c r="B111" s="63"/>
      <c r="J111" s="37"/>
      <c r="K111" s="37"/>
      <c r="L111" s="37"/>
      <c r="M111" s="37"/>
      <c r="N111" s="37"/>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c r="BC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c r="BZ111" s="37"/>
      <c r="CA111" s="37"/>
      <c r="CB111" s="37"/>
      <c r="CC111" s="37"/>
      <c r="CD111" s="37"/>
      <c r="CE111" s="37"/>
      <c r="CF111" s="37"/>
      <c r="CG111" s="37"/>
      <c r="CH111" s="37"/>
      <c r="CI111" s="37"/>
      <c r="CJ111" s="37"/>
      <c r="CK111" s="37"/>
      <c r="CL111" s="37"/>
      <c r="CM111" s="37"/>
      <c r="CN111" s="37"/>
      <c r="CO111" s="37"/>
      <c r="CP111" s="37"/>
      <c r="CQ111" s="37"/>
      <c r="CR111" s="37"/>
      <c r="CS111" s="37"/>
      <c r="CT111" s="37"/>
      <c r="CU111" s="37"/>
      <c r="CV111" s="37"/>
      <c r="CW111" s="37"/>
      <c r="CX111" s="37"/>
      <c r="CY111" s="37"/>
      <c r="CZ111" s="37"/>
      <c r="DA111" s="37"/>
      <c r="DB111" s="37"/>
      <c r="DC111" s="37"/>
      <c r="DD111" s="37"/>
      <c r="DE111" s="37"/>
      <c r="DF111" s="37"/>
      <c r="DG111" s="37"/>
      <c r="DH111" s="37"/>
      <c r="DI111" s="37"/>
      <c r="DJ111" s="37"/>
      <c r="DK111" s="37"/>
      <c r="DL111" s="37"/>
      <c r="DM111" s="37"/>
      <c r="DN111" s="37"/>
      <c r="DO111" s="37"/>
      <c r="DP111" s="37"/>
      <c r="DQ111" s="37"/>
      <c r="DR111" s="37"/>
      <c r="DS111" s="37"/>
      <c r="DT111" s="37"/>
      <c r="DU111" s="37"/>
      <c r="DV111" s="37"/>
      <c r="DW111" s="37"/>
      <c r="DX111" s="37"/>
      <c r="DY111" s="37"/>
      <c r="DZ111" s="37"/>
      <c r="EA111" s="37"/>
      <c r="EB111" s="37"/>
      <c r="EC111" s="37"/>
      <c r="ED111" s="37"/>
      <c r="EE111" s="37"/>
      <c r="EF111" s="37"/>
      <c r="EG111" s="37"/>
      <c r="EH111" s="37"/>
      <c r="EI111" s="37"/>
      <c r="EJ111" s="37"/>
      <c r="EK111" s="37"/>
      <c r="EL111" s="37"/>
      <c r="EM111" s="37"/>
      <c r="EN111" s="37"/>
      <c r="EO111" s="37"/>
      <c r="EP111" s="37"/>
      <c r="EQ111" s="37"/>
      <c r="ER111" s="37"/>
      <c r="ES111" s="37"/>
      <c r="ET111" s="37"/>
      <c r="EU111" s="37"/>
      <c r="EV111" s="37"/>
      <c r="EW111" s="37"/>
      <c r="EX111" s="37"/>
      <c r="EY111" s="37"/>
      <c r="EZ111" s="37"/>
      <c r="FA111" s="37"/>
      <c r="FB111" s="37"/>
      <c r="FC111" s="37"/>
      <c r="FD111" s="37"/>
      <c r="FE111" s="37"/>
      <c r="FF111" s="37"/>
      <c r="FG111" s="37"/>
      <c r="FH111" s="37"/>
      <c r="FI111" s="37"/>
      <c r="FJ111" s="37"/>
      <c r="FK111" s="37"/>
      <c r="FL111" s="37"/>
      <c r="FM111" s="37"/>
      <c r="FN111" s="37"/>
      <c r="FO111" s="37"/>
      <c r="FP111" s="37"/>
      <c r="FQ111" s="37"/>
      <c r="FR111" s="37"/>
      <c r="FS111" s="37"/>
      <c r="FT111" s="37"/>
      <c r="FU111" s="37"/>
      <c r="FV111" s="37"/>
      <c r="FW111" s="37"/>
      <c r="FX111" s="37"/>
      <c r="FY111" s="37"/>
      <c r="FZ111" s="37"/>
      <c r="GA111" s="37"/>
      <c r="GB111" s="37"/>
      <c r="GC111" s="37"/>
      <c r="GD111" s="37"/>
      <c r="GE111" s="37"/>
      <c r="GF111" s="37"/>
      <c r="GG111" s="37"/>
      <c r="GH111" s="37"/>
      <c r="GI111" s="37"/>
      <c r="GJ111" s="37"/>
      <c r="GK111" s="37"/>
      <c r="GL111" s="37"/>
      <c r="GM111" s="37"/>
      <c r="GN111" s="37"/>
      <c r="GO111" s="37"/>
      <c r="GP111" s="37"/>
      <c r="GQ111" s="37"/>
      <c r="GR111" s="37"/>
      <c r="GS111" s="37"/>
      <c r="GT111" s="37"/>
      <c r="GU111" s="37"/>
      <c r="GV111" s="37"/>
      <c r="GW111" s="37"/>
      <c r="GX111" s="37"/>
      <c r="GY111" s="37"/>
      <c r="GZ111" s="37"/>
      <c r="HA111" s="37"/>
      <c r="HB111" s="37"/>
      <c r="HC111" s="37"/>
      <c r="HD111" s="37"/>
      <c r="HE111" s="37"/>
      <c r="HF111" s="37"/>
      <c r="HG111" s="37"/>
      <c r="HH111" s="37"/>
      <c r="HI111" s="37"/>
      <c r="HJ111" s="37"/>
      <c r="HK111" s="37"/>
      <c r="HL111" s="37"/>
      <c r="HM111" s="37"/>
      <c r="HN111" s="37"/>
      <c r="HO111" s="37"/>
      <c r="HP111" s="37"/>
      <c r="HQ111" s="37"/>
      <c r="HR111" s="37"/>
      <c r="HS111" s="37"/>
      <c r="HT111" s="37"/>
      <c r="HU111" s="37"/>
      <c r="HV111" s="37"/>
      <c r="HW111" s="37"/>
      <c r="HX111" s="37"/>
      <c r="HY111" s="37"/>
      <c r="HZ111" s="37"/>
      <c r="IA111" s="37"/>
      <c r="IB111" s="37"/>
      <c r="IC111" s="37"/>
    </row>
    <row r="112" spans="1:237" s="40" customFormat="1" x14ac:dyDescent="0.2">
      <c r="A112" s="62"/>
      <c r="B112" s="63"/>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BZ112" s="37"/>
      <c r="CA112" s="37"/>
      <c r="CB112" s="37"/>
      <c r="CC112" s="37"/>
      <c r="CD112" s="37"/>
      <c r="CE112" s="37"/>
      <c r="CF112" s="37"/>
      <c r="CG112" s="37"/>
      <c r="CH112" s="37"/>
      <c r="CI112" s="37"/>
      <c r="CJ112" s="37"/>
      <c r="CK112" s="37"/>
      <c r="CL112" s="37"/>
      <c r="CM112" s="37"/>
      <c r="CN112" s="37"/>
      <c r="CO112" s="37"/>
      <c r="CP112" s="37"/>
      <c r="CQ112" s="37"/>
      <c r="CR112" s="37"/>
      <c r="CS112" s="37"/>
      <c r="CT112" s="37"/>
      <c r="CU112" s="37"/>
      <c r="CV112" s="37"/>
      <c r="CW112" s="37"/>
      <c r="CX112" s="37"/>
      <c r="CY112" s="37"/>
      <c r="CZ112" s="37"/>
      <c r="DA112" s="37"/>
      <c r="DB112" s="37"/>
      <c r="DC112" s="37"/>
      <c r="DD112" s="37"/>
      <c r="DE112" s="37"/>
      <c r="DF112" s="37"/>
      <c r="DG112" s="37"/>
      <c r="DH112" s="37"/>
      <c r="DI112" s="37"/>
      <c r="DJ112" s="37"/>
      <c r="DK112" s="37"/>
      <c r="DL112" s="37"/>
      <c r="DM112" s="37"/>
      <c r="DN112" s="37"/>
      <c r="DO112" s="37"/>
      <c r="DP112" s="37"/>
      <c r="DQ112" s="37"/>
      <c r="DR112" s="37"/>
      <c r="DS112" s="37"/>
      <c r="DT112" s="37"/>
      <c r="DU112" s="37"/>
      <c r="DV112" s="37"/>
      <c r="DW112" s="37"/>
      <c r="DX112" s="37"/>
      <c r="DY112" s="37"/>
      <c r="DZ112" s="37"/>
      <c r="EA112" s="37"/>
      <c r="EB112" s="37"/>
      <c r="EC112" s="37"/>
      <c r="ED112" s="37"/>
      <c r="EE112" s="37"/>
      <c r="EF112" s="37"/>
      <c r="EG112" s="37"/>
      <c r="EH112" s="37"/>
      <c r="EI112" s="37"/>
      <c r="EJ112" s="37"/>
      <c r="EK112" s="37"/>
      <c r="EL112" s="37"/>
      <c r="EM112" s="37"/>
      <c r="EN112" s="37"/>
      <c r="EO112" s="37"/>
      <c r="EP112" s="37"/>
      <c r="EQ112" s="37"/>
      <c r="ER112" s="37"/>
      <c r="ES112" s="37"/>
      <c r="ET112" s="37"/>
      <c r="EU112" s="37"/>
      <c r="EV112" s="37"/>
      <c r="EW112" s="37"/>
      <c r="EX112" s="37"/>
      <c r="EY112" s="37"/>
      <c r="EZ112" s="37"/>
      <c r="FA112" s="37"/>
      <c r="FB112" s="37"/>
      <c r="FC112" s="37"/>
      <c r="FD112" s="37"/>
      <c r="FE112" s="37"/>
      <c r="FF112" s="37"/>
      <c r="FG112" s="37"/>
      <c r="FH112" s="37"/>
      <c r="FI112" s="37"/>
      <c r="FJ112" s="37"/>
      <c r="FK112" s="37"/>
      <c r="FL112" s="37"/>
      <c r="FM112" s="37"/>
      <c r="FN112" s="37"/>
      <c r="FO112" s="37"/>
      <c r="FP112" s="37"/>
      <c r="FQ112" s="37"/>
      <c r="FR112" s="37"/>
      <c r="FS112" s="37"/>
      <c r="FT112" s="37"/>
      <c r="FU112" s="37"/>
      <c r="FV112" s="37"/>
      <c r="FW112" s="37"/>
      <c r="FX112" s="37"/>
      <c r="FY112" s="37"/>
      <c r="FZ112" s="37"/>
      <c r="GA112" s="37"/>
      <c r="GB112" s="37"/>
      <c r="GC112" s="37"/>
      <c r="GD112" s="37"/>
      <c r="GE112" s="37"/>
      <c r="GF112" s="37"/>
      <c r="GG112" s="37"/>
      <c r="GH112" s="37"/>
      <c r="GI112" s="37"/>
      <c r="GJ112" s="37"/>
      <c r="GK112" s="37"/>
      <c r="GL112" s="37"/>
      <c r="GM112" s="37"/>
      <c r="GN112" s="37"/>
      <c r="GO112" s="37"/>
      <c r="GP112" s="37"/>
      <c r="GQ112" s="37"/>
      <c r="GR112" s="37"/>
      <c r="GS112" s="37"/>
      <c r="GT112" s="37"/>
      <c r="GU112" s="37"/>
      <c r="GV112" s="37"/>
      <c r="GW112" s="37"/>
      <c r="GX112" s="37"/>
      <c r="GY112" s="37"/>
      <c r="GZ112" s="37"/>
      <c r="HA112" s="37"/>
      <c r="HB112" s="37"/>
      <c r="HC112" s="37"/>
      <c r="HD112" s="37"/>
      <c r="HE112" s="37"/>
      <c r="HF112" s="37"/>
      <c r="HG112" s="37"/>
      <c r="HH112" s="37"/>
      <c r="HI112" s="37"/>
      <c r="HJ112" s="37"/>
      <c r="HK112" s="37"/>
      <c r="HL112" s="37"/>
      <c r="HM112" s="37"/>
      <c r="HN112" s="37"/>
      <c r="HO112" s="37"/>
      <c r="HP112" s="37"/>
      <c r="HQ112" s="37"/>
      <c r="HR112" s="37"/>
      <c r="HS112" s="37"/>
      <c r="HT112" s="37"/>
      <c r="HU112" s="37"/>
      <c r="HV112" s="37"/>
      <c r="HW112" s="37"/>
      <c r="HX112" s="37"/>
      <c r="HY112" s="37"/>
      <c r="HZ112" s="37"/>
      <c r="IA112" s="37"/>
      <c r="IB112" s="37"/>
      <c r="IC112" s="37"/>
    </row>
    <row r="113" spans="1:237" s="40" customFormat="1" x14ac:dyDescent="0.2">
      <c r="A113" s="62"/>
      <c r="B113" s="63"/>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7"/>
      <c r="CE113" s="37"/>
      <c r="CF113" s="37"/>
      <c r="CG113" s="37"/>
      <c r="CH113" s="37"/>
      <c r="CI113" s="37"/>
      <c r="CJ113" s="37"/>
      <c r="CK113" s="37"/>
      <c r="CL113" s="37"/>
      <c r="CM113" s="37"/>
      <c r="CN113" s="37"/>
      <c r="CO113" s="37"/>
      <c r="CP113" s="37"/>
      <c r="CQ113" s="37"/>
      <c r="CR113" s="37"/>
      <c r="CS113" s="37"/>
      <c r="CT113" s="37"/>
      <c r="CU113" s="37"/>
      <c r="CV113" s="37"/>
      <c r="CW113" s="37"/>
      <c r="CX113" s="37"/>
      <c r="CY113" s="37"/>
      <c r="CZ113" s="37"/>
      <c r="DA113" s="37"/>
      <c r="DB113" s="37"/>
      <c r="DC113" s="37"/>
      <c r="DD113" s="37"/>
      <c r="DE113" s="37"/>
      <c r="DF113" s="37"/>
      <c r="DG113" s="37"/>
      <c r="DH113" s="37"/>
      <c r="DI113" s="37"/>
      <c r="DJ113" s="37"/>
      <c r="DK113" s="37"/>
      <c r="DL113" s="37"/>
      <c r="DM113" s="37"/>
      <c r="DN113" s="37"/>
      <c r="DO113" s="37"/>
      <c r="DP113" s="37"/>
      <c r="DQ113" s="37"/>
      <c r="DR113" s="37"/>
      <c r="DS113" s="37"/>
      <c r="DT113" s="37"/>
      <c r="DU113" s="37"/>
      <c r="DV113" s="37"/>
      <c r="DW113" s="37"/>
      <c r="DX113" s="37"/>
      <c r="DY113" s="37"/>
      <c r="DZ113" s="37"/>
      <c r="EA113" s="37"/>
      <c r="EB113" s="37"/>
      <c r="EC113" s="37"/>
      <c r="ED113" s="37"/>
      <c r="EE113" s="37"/>
      <c r="EF113" s="37"/>
      <c r="EG113" s="37"/>
      <c r="EH113" s="37"/>
      <c r="EI113" s="37"/>
      <c r="EJ113" s="37"/>
      <c r="EK113" s="37"/>
      <c r="EL113" s="37"/>
      <c r="EM113" s="37"/>
      <c r="EN113" s="37"/>
      <c r="EO113" s="37"/>
      <c r="EP113" s="37"/>
      <c r="EQ113" s="37"/>
      <c r="ER113" s="37"/>
      <c r="ES113" s="37"/>
      <c r="ET113" s="37"/>
      <c r="EU113" s="37"/>
      <c r="EV113" s="37"/>
      <c r="EW113" s="37"/>
      <c r="EX113" s="37"/>
      <c r="EY113" s="37"/>
      <c r="EZ113" s="37"/>
      <c r="FA113" s="37"/>
      <c r="FB113" s="37"/>
      <c r="FC113" s="37"/>
      <c r="FD113" s="37"/>
      <c r="FE113" s="37"/>
      <c r="FF113" s="37"/>
      <c r="FG113" s="37"/>
      <c r="FH113" s="37"/>
      <c r="FI113" s="37"/>
      <c r="FJ113" s="37"/>
      <c r="FK113" s="37"/>
      <c r="FL113" s="37"/>
      <c r="FM113" s="37"/>
      <c r="FN113" s="37"/>
      <c r="FO113" s="37"/>
      <c r="FP113" s="37"/>
      <c r="FQ113" s="37"/>
      <c r="FR113" s="37"/>
      <c r="FS113" s="37"/>
      <c r="FT113" s="37"/>
      <c r="FU113" s="37"/>
      <c r="FV113" s="37"/>
      <c r="FW113" s="37"/>
      <c r="FX113" s="37"/>
      <c r="FY113" s="37"/>
      <c r="FZ113" s="37"/>
      <c r="GA113" s="37"/>
      <c r="GB113" s="37"/>
      <c r="GC113" s="37"/>
      <c r="GD113" s="37"/>
      <c r="GE113" s="37"/>
      <c r="GF113" s="37"/>
      <c r="GG113" s="37"/>
      <c r="GH113" s="37"/>
      <c r="GI113" s="37"/>
      <c r="GJ113" s="37"/>
      <c r="GK113" s="37"/>
      <c r="GL113" s="37"/>
      <c r="GM113" s="37"/>
      <c r="GN113" s="37"/>
      <c r="GO113" s="37"/>
      <c r="GP113" s="37"/>
      <c r="GQ113" s="37"/>
      <c r="GR113" s="37"/>
      <c r="GS113" s="37"/>
      <c r="GT113" s="37"/>
      <c r="GU113" s="37"/>
      <c r="GV113" s="37"/>
      <c r="GW113" s="37"/>
      <c r="GX113" s="37"/>
      <c r="GY113" s="37"/>
      <c r="GZ113" s="37"/>
      <c r="HA113" s="37"/>
      <c r="HB113" s="37"/>
      <c r="HC113" s="37"/>
      <c r="HD113" s="37"/>
      <c r="HE113" s="37"/>
      <c r="HF113" s="37"/>
      <c r="HG113" s="37"/>
      <c r="HH113" s="37"/>
      <c r="HI113" s="37"/>
      <c r="HJ113" s="37"/>
      <c r="HK113" s="37"/>
      <c r="HL113" s="37"/>
      <c r="HM113" s="37"/>
      <c r="HN113" s="37"/>
      <c r="HO113" s="37"/>
      <c r="HP113" s="37"/>
      <c r="HQ113" s="37"/>
      <c r="HR113" s="37"/>
      <c r="HS113" s="37"/>
      <c r="HT113" s="37"/>
      <c r="HU113" s="37"/>
      <c r="HV113" s="37"/>
      <c r="HW113" s="37"/>
      <c r="HX113" s="37"/>
      <c r="HY113" s="37"/>
      <c r="HZ113" s="37"/>
      <c r="IA113" s="37"/>
      <c r="IB113" s="37"/>
      <c r="IC113" s="37"/>
    </row>
    <row r="114" spans="1:237" s="40" customFormat="1" x14ac:dyDescent="0.2">
      <c r="A114" s="62"/>
      <c r="B114" s="63"/>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BZ114" s="37"/>
      <c r="CA114" s="37"/>
      <c r="CB114" s="37"/>
      <c r="CC114" s="37"/>
      <c r="CD114" s="37"/>
      <c r="CE114" s="37"/>
      <c r="CF114" s="37"/>
      <c r="CG114" s="37"/>
      <c r="CH114" s="37"/>
      <c r="CI114" s="37"/>
      <c r="CJ114" s="37"/>
      <c r="CK114" s="37"/>
      <c r="CL114" s="37"/>
      <c r="CM114" s="37"/>
      <c r="CN114" s="37"/>
      <c r="CO114" s="37"/>
      <c r="CP114" s="37"/>
      <c r="CQ114" s="37"/>
      <c r="CR114" s="37"/>
      <c r="CS114" s="37"/>
      <c r="CT114" s="37"/>
      <c r="CU114" s="37"/>
      <c r="CV114" s="37"/>
      <c r="CW114" s="37"/>
      <c r="CX114" s="37"/>
      <c r="CY114" s="37"/>
      <c r="CZ114" s="37"/>
      <c r="DA114" s="37"/>
      <c r="DB114" s="37"/>
      <c r="DC114" s="37"/>
      <c r="DD114" s="37"/>
      <c r="DE114" s="37"/>
      <c r="DF114" s="37"/>
      <c r="DG114" s="37"/>
      <c r="DH114" s="37"/>
      <c r="DI114" s="37"/>
      <c r="DJ114" s="37"/>
      <c r="DK114" s="37"/>
      <c r="DL114" s="37"/>
      <c r="DM114" s="37"/>
      <c r="DN114" s="37"/>
      <c r="DO114" s="37"/>
      <c r="DP114" s="37"/>
      <c r="DQ114" s="37"/>
      <c r="DR114" s="37"/>
      <c r="DS114" s="37"/>
      <c r="DT114" s="37"/>
      <c r="DU114" s="37"/>
      <c r="DV114" s="37"/>
      <c r="DW114" s="37"/>
      <c r="DX114" s="37"/>
      <c r="DY114" s="37"/>
      <c r="DZ114" s="37"/>
      <c r="EA114" s="37"/>
      <c r="EB114" s="37"/>
      <c r="EC114" s="37"/>
      <c r="ED114" s="37"/>
      <c r="EE114" s="37"/>
      <c r="EF114" s="37"/>
      <c r="EG114" s="37"/>
      <c r="EH114" s="37"/>
      <c r="EI114" s="37"/>
      <c r="EJ114" s="37"/>
      <c r="EK114" s="37"/>
      <c r="EL114" s="37"/>
      <c r="EM114" s="37"/>
      <c r="EN114" s="37"/>
      <c r="EO114" s="37"/>
      <c r="EP114" s="37"/>
      <c r="EQ114" s="37"/>
      <c r="ER114" s="37"/>
      <c r="ES114" s="37"/>
      <c r="ET114" s="37"/>
      <c r="EU114" s="37"/>
      <c r="EV114" s="37"/>
      <c r="EW114" s="37"/>
      <c r="EX114" s="37"/>
      <c r="EY114" s="37"/>
      <c r="EZ114" s="37"/>
      <c r="FA114" s="37"/>
      <c r="FB114" s="37"/>
      <c r="FC114" s="37"/>
      <c r="FD114" s="37"/>
      <c r="FE114" s="37"/>
      <c r="FF114" s="37"/>
      <c r="FG114" s="37"/>
      <c r="FH114" s="37"/>
      <c r="FI114" s="37"/>
      <c r="FJ114" s="37"/>
      <c r="FK114" s="37"/>
      <c r="FL114" s="37"/>
      <c r="FM114" s="37"/>
      <c r="FN114" s="37"/>
      <c r="FO114" s="37"/>
      <c r="FP114" s="37"/>
      <c r="FQ114" s="37"/>
      <c r="FR114" s="37"/>
      <c r="FS114" s="37"/>
      <c r="FT114" s="37"/>
      <c r="FU114" s="37"/>
      <c r="FV114" s="37"/>
      <c r="FW114" s="37"/>
      <c r="FX114" s="37"/>
      <c r="FY114" s="37"/>
      <c r="FZ114" s="37"/>
      <c r="GA114" s="37"/>
      <c r="GB114" s="37"/>
      <c r="GC114" s="37"/>
      <c r="GD114" s="37"/>
      <c r="GE114" s="37"/>
      <c r="GF114" s="37"/>
      <c r="GG114" s="37"/>
      <c r="GH114" s="37"/>
      <c r="GI114" s="37"/>
      <c r="GJ114" s="37"/>
      <c r="GK114" s="37"/>
      <c r="GL114" s="37"/>
      <c r="GM114" s="37"/>
      <c r="GN114" s="37"/>
      <c r="GO114" s="37"/>
      <c r="GP114" s="37"/>
      <c r="GQ114" s="37"/>
      <c r="GR114" s="37"/>
      <c r="GS114" s="37"/>
      <c r="GT114" s="37"/>
      <c r="GU114" s="37"/>
      <c r="GV114" s="37"/>
      <c r="GW114" s="37"/>
      <c r="GX114" s="37"/>
      <c r="GY114" s="37"/>
      <c r="GZ114" s="37"/>
      <c r="HA114" s="37"/>
      <c r="HB114" s="37"/>
      <c r="HC114" s="37"/>
      <c r="HD114" s="37"/>
      <c r="HE114" s="37"/>
      <c r="HF114" s="37"/>
      <c r="HG114" s="37"/>
      <c r="HH114" s="37"/>
      <c r="HI114" s="37"/>
      <c r="HJ114" s="37"/>
      <c r="HK114" s="37"/>
      <c r="HL114" s="37"/>
      <c r="HM114" s="37"/>
      <c r="HN114" s="37"/>
      <c r="HO114" s="37"/>
      <c r="HP114" s="37"/>
      <c r="HQ114" s="37"/>
      <c r="HR114" s="37"/>
      <c r="HS114" s="37"/>
      <c r="HT114" s="37"/>
      <c r="HU114" s="37"/>
      <c r="HV114" s="37"/>
      <c r="HW114" s="37"/>
      <c r="HX114" s="37"/>
      <c r="HY114" s="37"/>
      <c r="HZ114" s="37"/>
      <c r="IA114" s="37"/>
      <c r="IB114" s="37"/>
      <c r="IC114" s="37"/>
    </row>
    <row r="115" spans="1:237" s="40" customFormat="1" x14ac:dyDescent="0.2">
      <c r="A115" s="62"/>
      <c r="B115" s="63"/>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c r="CE115" s="37"/>
      <c r="CF115" s="37"/>
      <c r="CG115" s="37"/>
      <c r="CH115" s="37"/>
      <c r="CI115" s="37"/>
      <c r="CJ115" s="37"/>
      <c r="CK115" s="37"/>
      <c r="CL115" s="37"/>
      <c r="CM115" s="37"/>
      <c r="CN115" s="37"/>
      <c r="CO115" s="37"/>
      <c r="CP115" s="37"/>
      <c r="CQ115" s="37"/>
      <c r="CR115" s="37"/>
      <c r="CS115" s="37"/>
      <c r="CT115" s="37"/>
      <c r="CU115" s="37"/>
      <c r="CV115" s="37"/>
      <c r="CW115" s="37"/>
      <c r="CX115" s="37"/>
      <c r="CY115" s="37"/>
      <c r="CZ115" s="37"/>
      <c r="DA115" s="37"/>
      <c r="DB115" s="37"/>
      <c r="DC115" s="37"/>
      <c r="DD115" s="37"/>
      <c r="DE115" s="37"/>
      <c r="DF115" s="37"/>
      <c r="DG115" s="37"/>
      <c r="DH115" s="37"/>
      <c r="DI115" s="37"/>
      <c r="DJ115" s="37"/>
      <c r="DK115" s="37"/>
      <c r="DL115" s="37"/>
      <c r="DM115" s="37"/>
      <c r="DN115" s="37"/>
      <c r="DO115" s="37"/>
      <c r="DP115" s="37"/>
      <c r="DQ115" s="37"/>
      <c r="DR115" s="37"/>
      <c r="DS115" s="37"/>
      <c r="DT115" s="37"/>
      <c r="DU115" s="37"/>
      <c r="DV115" s="37"/>
      <c r="DW115" s="37"/>
      <c r="DX115" s="37"/>
      <c r="DY115" s="37"/>
      <c r="DZ115" s="37"/>
      <c r="EA115" s="37"/>
      <c r="EB115" s="37"/>
      <c r="EC115" s="37"/>
      <c r="ED115" s="37"/>
      <c r="EE115" s="37"/>
      <c r="EF115" s="37"/>
      <c r="EG115" s="37"/>
      <c r="EH115" s="37"/>
      <c r="EI115" s="37"/>
      <c r="EJ115" s="37"/>
      <c r="EK115" s="37"/>
      <c r="EL115" s="37"/>
      <c r="EM115" s="37"/>
      <c r="EN115" s="37"/>
      <c r="EO115" s="37"/>
      <c r="EP115" s="37"/>
      <c r="EQ115" s="37"/>
      <c r="ER115" s="37"/>
      <c r="ES115" s="37"/>
      <c r="ET115" s="37"/>
      <c r="EU115" s="37"/>
      <c r="EV115" s="37"/>
      <c r="EW115" s="37"/>
      <c r="EX115" s="37"/>
      <c r="EY115" s="37"/>
      <c r="EZ115" s="37"/>
      <c r="FA115" s="37"/>
      <c r="FB115" s="37"/>
      <c r="FC115" s="37"/>
      <c r="FD115" s="37"/>
      <c r="FE115" s="37"/>
      <c r="FF115" s="37"/>
      <c r="FG115" s="37"/>
      <c r="FH115" s="37"/>
      <c r="FI115" s="37"/>
      <c r="FJ115" s="37"/>
      <c r="FK115" s="37"/>
      <c r="FL115" s="37"/>
      <c r="FM115" s="37"/>
      <c r="FN115" s="37"/>
      <c r="FO115" s="37"/>
      <c r="FP115" s="37"/>
      <c r="FQ115" s="37"/>
      <c r="FR115" s="37"/>
      <c r="FS115" s="37"/>
      <c r="FT115" s="37"/>
      <c r="FU115" s="37"/>
      <c r="FV115" s="37"/>
      <c r="FW115" s="37"/>
      <c r="FX115" s="37"/>
      <c r="FY115" s="37"/>
      <c r="FZ115" s="37"/>
      <c r="GA115" s="37"/>
      <c r="GB115" s="37"/>
      <c r="GC115" s="37"/>
      <c r="GD115" s="37"/>
      <c r="GE115" s="37"/>
      <c r="GF115" s="37"/>
      <c r="GG115" s="37"/>
      <c r="GH115" s="37"/>
      <c r="GI115" s="37"/>
      <c r="GJ115" s="37"/>
      <c r="GK115" s="37"/>
      <c r="GL115" s="37"/>
      <c r="GM115" s="37"/>
      <c r="GN115" s="37"/>
      <c r="GO115" s="37"/>
      <c r="GP115" s="37"/>
      <c r="GQ115" s="37"/>
      <c r="GR115" s="37"/>
      <c r="GS115" s="37"/>
      <c r="GT115" s="37"/>
      <c r="GU115" s="37"/>
      <c r="GV115" s="37"/>
      <c r="GW115" s="37"/>
      <c r="GX115" s="37"/>
      <c r="GY115" s="37"/>
      <c r="GZ115" s="37"/>
      <c r="HA115" s="37"/>
      <c r="HB115" s="37"/>
      <c r="HC115" s="37"/>
      <c r="HD115" s="37"/>
      <c r="HE115" s="37"/>
      <c r="HF115" s="37"/>
      <c r="HG115" s="37"/>
      <c r="HH115" s="37"/>
      <c r="HI115" s="37"/>
      <c r="HJ115" s="37"/>
      <c r="HK115" s="37"/>
      <c r="HL115" s="37"/>
      <c r="HM115" s="37"/>
      <c r="HN115" s="37"/>
      <c r="HO115" s="37"/>
      <c r="HP115" s="37"/>
      <c r="HQ115" s="37"/>
      <c r="HR115" s="37"/>
      <c r="HS115" s="37"/>
      <c r="HT115" s="37"/>
      <c r="HU115" s="37"/>
      <c r="HV115" s="37"/>
      <c r="HW115" s="37"/>
      <c r="HX115" s="37"/>
      <c r="HY115" s="37"/>
      <c r="HZ115" s="37"/>
      <c r="IA115" s="37"/>
      <c r="IB115" s="37"/>
      <c r="IC115" s="37"/>
    </row>
    <row r="116" spans="1:237" s="40" customFormat="1" x14ac:dyDescent="0.2">
      <c r="A116" s="62"/>
      <c r="B116" s="63"/>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7"/>
      <c r="CE116" s="37"/>
      <c r="CF116" s="37"/>
      <c r="CG116" s="37"/>
      <c r="CH116" s="37"/>
      <c r="CI116" s="37"/>
      <c r="CJ116" s="37"/>
      <c r="CK116" s="37"/>
      <c r="CL116" s="37"/>
      <c r="CM116" s="37"/>
      <c r="CN116" s="37"/>
      <c r="CO116" s="37"/>
      <c r="CP116" s="37"/>
      <c r="CQ116" s="37"/>
      <c r="CR116" s="37"/>
      <c r="CS116" s="37"/>
      <c r="CT116" s="37"/>
      <c r="CU116" s="37"/>
      <c r="CV116" s="37"/>
      <c r="CW116" s="37"/>
      <c r="CX116" s="37"/>
      <c r="CY116" s="37"/>
      <c r="CZ116" s="37"/>
      <c r="DA116" s="37"/>
      <c r="DB116" s="37"/>
      <c r="DC116" s="37"/>
      <c r="DD116" s="37"/>
      <c r="DE116" s="37"/>
      <c r="DF116" s="37"/>
      <c r="DG116" s="37"/>
      <c r="DH116" s="37"/>
      <c r="DI116" s="37"/>
      <c r="DJ116" s="37"/>
      <c r="DK116" s="37"/>
      <c r="DL116" s="37"/>
      <c r="DM116" s="37"/>
      <c r="DN116" s="37"/>
      <c r="DO116" s="37"/>
      <c r="DP116" s="37"/>
      <c r="DQ116" s="37"/>
      <c r="DR116" s="37"/>
      <c r="DS116" s="37"/>
      <c r="DT116" s="37"/>
      <c r="DU116" s="37"/>
      <c r="DV116" s="37"/>
      <c r="DW116" s="37"/>
      <c r="DX116" s="37"/>
      <c r="DY116" s="37"/>
      <c r="DZ116" s="37"/>
      <c r="EA116" s="37"/>
      <c r="EB116" s="37"/>
      <c r="EC116" s="37"/>
      <c r="ED116" s="37"/>
      <c r="EE116" s="37"/>
      <c r="EF116" s="37"/>
      <c r="EG116" s="37"/>
      <c r="EH116" s="37"/>
      <c r="EI116" s="37"/>
      <c r="EJ116" s="37"/>
      <c r="EK116" s="37"/>
      <c r="EL116" s="37"/>
      <c r="EM116" s="37"/>
      <c r="EN116" s="37"/>
      <c r="EO116" s="37"/>
      <c r="EP116" s="37"/>
      <c r="EQ116" s="37"/>
      <c r="ER116" s="37"/>
      <c r="ES116" s="37"/>
      <c r="ET116" s="37"/>
      <c r="EU116" s="37"/>
      <c r="EV116" s="37"/>
      <c r="EW116" s="37"/>
      <c r="EX116" s="37"/>
      <c r="EY116" s="37"/>
      <c r="EZ116" s="37"/>
      <c r="FA116" s="37"/>
      <c r="FB116" s="37"/>
      <c r="FC116" s="37"/>
      <c r="FD116" s="37"/>
      <c r="FE116" s="37"/>
      <c r="FF116" s="37"/>
      <c r="FG116" s="37"/>
      <c r="FH116" s="37"/>
      <c r="FI116" s="37"/>
      <c r="FJ116" s="37"/>
      <c r="FK116" s="37"/>
      <c r="FL116" s="37"/>
      <c r="FM116" s="37"/>
      <c r="FN116" s="37"/>
      <c r="FO116" s="37"/>
      <c r="FP116" s="37"/>
      <c r="FQ116" s="37"/>
      <c r="FR116" s="37"/>
      <c r="FS116" s="37"/>
      <c r="FT116" s="37"/>
      <c r="FU116" s="37"/>
      <c r="FV116" s="37"/>
      <c r="FW116" s="37"/>
      <c r="FX116" s="37"/>
      <c r="FY116" s="37"/>
      <c r="FZ116" s="37"/>
      <c r="GA116" s="37"/>
      <c r="GB116" s="37"/>
      <c r="GC116" s="37"/>
      <c r="GD116" s="37"/>
      <c r="GE116" s="37"/>
      <c r="GF116" s="37"/>
      <c r="GG116" s="37"/>
      <c r="GH116" s="37"/>
      <c r="GI116" s="37"/>
      <c r="GJ116" s="37"/>
      <c r="GK116" s="37"/>
      <c r="GL116" s="37"/>
      <c r="GM116" s="37"/>
      <c r="GN116" s="37"/>
      <c r="GO116" s="37"/>
      <c r="GP116" s="37"/>
      <c r="GQ116" s="37"/>
      <c r="GR116" s="37"/>
      <c r="GS116" s="37"/>
      <c r="GT116" s="37"/>
      <c r="GU116" s="37"/>
      <c r="GV116" s="37"/>
      <c r="GW116" s="37"/>
      <c r="GX116" s="37"/>
      <c r="GY116" s="37"/>
      <c r="GZ116" s="37"/>
      <c r="HA116" s="37"/>
      <c r="HB116" s="37"/>
      <c r="HC116" s="37"/>
      <c r="HD116" s="37"/>
      <c r="HE116" s="37"/>
      <c r="HF116" s="37"/>
      <c r="HG116" s="37"/>
      <c r="HH116" s="37"/>
      <c r="HI116" s="37"/>
      <c r="HJ116" s="37"/>
      <c r="HK116" s="37"/>
      <c r="HL116" s="37"/>
      <c r="HM116" s="37"/>
      <c r="HN116" s="37"/>
      <c r="HO116" s="37"/>
      <c r="HP116" s="37"/>
      <c r="HQ116" s="37"/>
      <c r="HR116" s="37"/>
      <c r="HS116" s="37"/>
      <c r="HT116" s="37"/>
      <c r="HU116" s="37"/>
      <c r="HV116" s="37"/>
      <c r="HW116" s="37"/>
      <c r="HX116" s="37"/>
      <c r="HY116" s="37"/>
      <c r="HZ116" s="37"/>
      <c r="IA116" s="37"/>
      <c r="IB116" s="37"/>
      <c r="IC116" s="37"/>
    </row>
    <row r="117" spans="1:237" s="40" customFormat="1" x14ac:dyDescent="0.2">
      <c r="A117" s="62"/>
      <c r="B117" s="63"/>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7"/>
      <c r="CF117" s="37"/>
      <c r="CG117" s="37"/>
      <c r="CH117" s="37"/>
      <c r="CI117" s="37"/>
      <c r="CJ117" s="37"/>
      <c r="CK117" s="37"/>
      <c r="CL117" s="37"/>
      <c r="CM117" s="37"/>
      <c r="CN117" s="37"/>
      <c r="CO117" s="37"/>
      <c r="CP117" s="37"/>
      <c r="CQ117" s="37"/>
      <c r="CR117" s="37"/>
      <c r="CS117" s="37"/>
      <c r="CT117" s="37"/>
      <c r="CU117" s="37"/>
      <c r="CV117" s="37"/>
      <c r="CW117" s="37"/>
      <c r="CX117" s="37"/>
      <c r="CY117" s="37"/>
      <c r="CZ117" s="37"/>
      <c r="DA117" s="37"/>
      <c r="DB117" s="37"/>
      <c r="DC117" s="37"/>
      <c r="DD117" s="37"/>
      <c r="DE117" s="37"/>
      <c r="DF117" s="37"/>
      <c r="DG117" s="37"/>
      <c r="DH117" s="37"/>
      <c r="DI117" s="37"/>
      <c r="DJ117" s="37"/>
      <c r="DK117" s="37"/>
      <c r="DL117" s="37"/>
      <c r="DM117" s="37"/>
      <c r="DN117" s="37"/>
      <c r="DO117" s="37"/>
      <c r="DP117" s="37"/>
      <c r="DQ117" s="37"/>
      <c r="DR117" s="37"/>
      <c r="DS117" s="37"/>
      <c r="DT117" s="37"/>
      <c r="DU117" s="37"/>
      <c r="DV117" s="37"/>
      <c r="DW117" s="37"/>
      <c r="DX117" s="37"/>
      <c r="DY117" s="37"/>
      <c r="DZ117" s="37"/>
      <c r="EA117" s="37"/>
      <c r="EB117" s="37"/>
      <c r="EC117" s="37"/>
      <c r="ED117" s="37"/>
      <c r="EE117" s="37"/>
      <c r="EF117" s="37"/>
      <c r="EG117" s="37"/>
      <c r="EH117" s="37"/>
      <c r="EI117" s="37"/>
      <c r="EJ117" s="37"/>
      <c r="EK117" s="37"/>
      <c r="EL117" s="37"/>
      <c r="EM117" s="37"/>
      <c r="EN117" s="37"/>
      <c r="EO117" s="37"/>
      <c r="EP117" s="37"/>
      <c r="EQ117" s="37"/>
      <c r="ER117" s="37"/>
      <c r="ES117" s="37"/>
      <c r="ET117" s="37"/>
      <c r="EU117" s="37"/>
      <c r="EV117" s="37"/>
      <c r="EW117" s="37"/>
      <c r="EX117" s="37"/>
      <c r="EY117" s="37"/>
      <c r="EZ117" s="37"/>
      <c r="FA117" s="37"/>
      <c r="FB117" s="37"/>
      <c r="FC117" s="37"/>
      <c r="FD117" s="37"/>
      <c r="FE117" s="37"/>
      <c r="FF117" s="37"/>
      <c r="FG117" s="37"/>
      <c r="FH117" s="37"/>
      <c r="FI117" s="37"/>
      <c r="FJ117" s="37"/>
      <c r="FK117" s="37"/>
      <c r="FL117" s="37"/>
      <c r="FM117" s="37"/>
      <c r="FN117" s="37"/>
      <c r="FO117" s="37"/>
      <c r="FP117" s="37"/>
      <c r="FQ117" s="37"/>
      <c r="FR117" s="37"/>
      <c r="FS117" s="37"/>
      <c r="FT117" s="37"/>
      <c r="FU117" s="37"/>
      <c r="FV117" s="37"/>
      <c r="FW117" s="37"/>
      <c r="FX117" s="37"/>
      <c r="FY117" s="37"/>
      <c r="FZ117" s="37"/>
      <c r="GA117" s="37"/>
      <c r="GB117" s="37"/>
      <c r="GC117" s="37"/>
      <c r="GD117" s="37"/>
      <c r="GE117" s="37"/>
      <c r="GF117" s="37"/>
      <c r="GG117" s="37"/>
      <c r="GH117" s="37"/>
      <c r="GI117" s="37"/>
      <c r="GJ117" s="37"/>
      <c r="GK117" s="37"/>
      <c r="GL117" s="37"/>
      <c r="GM117" s="37"/>
      <c r="GN117" s="37"/>
      <c r="GO117" s="37"/>
      <c r="GP117" s="37"/>
      <c r="GQ117" s="37"/>
      <c r="GR117" s="37"/>
      <c r="GS117" s="37"/>
      <c r="GT117" s="37"/>
      <c r="GU117" s="37"/>
      <c r="GV117" s="37"/>
      <c r="GW117" s="37"/>
      <c r="GX117" s="37"/>
      <c r="GY117" s="37"/>
      <c r="GZ117" s="37"/>
      <c r="HA117" s="37"/>
      <c r="HB117" s="37"/>
      <c r="HC117" s="37"/>
      <c r="HD117" s="37"/>
      <c r="HE117" s="37"/>
      <c r="HF117" s="37"/>
      <c r="HG117" s="37"/>
      <c r="HH117" s="37"/>
      <c r="HI117" s="37"/>
      <c r="HJ117" s="37"/>
      <c r="HK117" s="37"/>
      <c r="HL117" s="37"/>
      <c r="HM117" s="37"/>
      <c r="HN117" s="37"/>
      <c r="HO117" s="37"/>
      <c r="HP117" s="37"/>
      <c r="HQ117" s="37"/>
      <c r="HR117" s="37"/>
      <c r="HS117" s="37"/>
      <c r="HT117" s="37"/>
      <c r="HU117" s="37"/>
      <c r="HV117" s="37"/>
      <c r="HW117" s="37"/>
      <c r="HX117" s="37"/>
      <c r="HY117" s="37"/>
      <c r="HZ117" s="37"/>
      <c r="IA117" s="37"/>
      <c r="IB117" s="37"/>
      <c r="IC117" s="37"/>
    </row>
    <row r="118" spans="1:237" s="40" customFormat="1" x14ac:dyDescent="0.2">
      <c r="A118" s="62"/>
      <c r="B118" s="63"/>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BZ118" s="37"/>
      <c r="CA118" s="37"/>
      <c r="CB118" s="37"/>
      <c r="CC118" s="37"/>
      <c r="CD118" s="37"/>
      <c r="CE118" s="37"/>
      <c r="CF118" s="37"/>
      <c r="CG118" s="37"/>
      <c r="CH118" s="37"/>
      <c r="CI118" s="37"/>
      <c r="CJ118" s="37"/>
      <c r="CK118" s="37"/>
      <c r="CL118" s="37"/>
      <c r="CM118" s="37"/>
      <c r="CN118" s="37"/>
      <c r="CO118" s="37"/>
      <c r="CP118" s="37"/>
      <c r="CQ118" s="37"/>
      <c r="CR118" s="37"/>
      <c r="CS118" s="37"/>
      <c r="CT118" s="37"/>
      <c r="CU118" s="37"/>
      <c r="CV118" s="37"/>
      <c r="CW118" s="37"/>
      <c r="CX118" s="37"/>
      <c r="CY118" s="37"/>
      <c r="CZ118" s="37"/>
      <c r="DA118" s="37"/>
      <c r="DB118" s="37"/>
      <c r="DC118" s="37"/>
      <c r="DD118" s="37"/>
      <c r="DE118" s="37"/>
      <c r="DF118" s="37"/>
      <c r="DG118" s="37"/>
      <c r="DH118" s="37"/>
      <c r="DI118" s="37"/>
      <c r="DJ118" s="37"/>
      <c r="DK118" s="37"/>
      <c r="DL118" s="37"/>
      <c r="DM118" s="37"/>
      <c r="DN118" s="37"/>
      <c r="DO118" s="37"/>
      <c r="DP118" s="37"/>
      <c r="DQ118" s="37"/>
      <c r="DR118" s="37"/>
      <c r="DS118" s="37"/>
      <c r="DT118" s="37"/>
      <c r="DU118" s="37"/>
      <c r="DV118" s="37"/>
      <c r="DW118" s="37"/>
      <c r="DX118" s="37"/>
      <c r="DY118" s="37"/>
      <c r="DZ118" s="37"/>
      <c r="EA118" s="37"/>
      <c r="EB118" s="37"/>
      <c r="EC118" s="37"/>
      <c r="ED118" s="37"/>
      <c r="EE118" s="37"/>
      <c r="EF118" s="37"/>
      <c r="EG118" s="37"/>
      <c r="EH118" s="37"/>
      <c r="EI118" s="37"/>
      <c r="EJ118" s="37"/>
      <c r="EK118" s="37"/>
      <c r="EL118" s="37"/>
      <c r="EM118" s="37"/>
      <c r="EN118" s="37"/>
      <c r="EO118" s="37"/>
      <c r="EP118" s="37"/>
      <c r="EQ118" s="37"/>
      <c r="ER118" s="37"/>
      <c r="ES118" s="37"/>
      <c r="ET118" s="37"/>
      <c r="EU118" s="37"/>
      <c r="EV118" s="37"/>
      <c r="EW118" s="37"/>
      <c r="EX118" s="37"/>
      <c r="EY118" s="37"/>
      <c r="EZ118" s="37"/>
      <c r="FA118" s="37"/>
      <c r="FB118" s="37"/>
      <c r="FC118" s="37"/>
      <c r="FD118" s="37"/>
      <c r="FE118" s="37"/>
      <c r="FF118" s="37"/>
      <c r="FG118" s="37"/>
      <c r="FH118" s="37"/>
      <c r="FI118" s="37"/>
      <c r="FJ118" s="37"/>
      <c r="FK118" s="37"/>
      <c r="FL118" s="37"/>
      <c r="FM118" s="37"/>
      <c r="FN118" s="37"/>
      <c r="FO118" s="37"/>
      <c r="FP118" s="37"/>
      <c r="FQ118" s="37"/>
      <c r="FR118" s="37"/>
      <c r="FS118" s="37"/>
      <c r="FT118" s="37"/>
      <c r="FU118" s="37"/>
      <c r="FV118" s="37"/>
      <c r="FW118" s="37"/>
      <c r="FX118" s="37"/>
      <c r="FY118" s="37"/>
      <c r="FZ118" s="37"/>
      <c r="GA118" s="37"/>
      <c r="GB118" s="37"/>
      <c r="GC118" s="37"/>
      <c r="GD118" s="37"/>
      <c r="GE118" s="37"/>
      <c r="GF118" s="37"/>
      <c r="GG118" s="37"/>
      <c r="GH118" s="37"/>
      <c r="GI118" s="37"/>
      <c r="GJ118" s="37"/>
      <c r="GK118" s="37"/>
      <c r="GL118" s="37"/>
      <c r="GM118" s="37"/>
      <c r="GN118" s="37"/>
      <c r="GO118" s="37"/>
      <c r="GP118" s="37"/>
      <c r="GQ118" s="37"/>
      <c r="GR118" s="37"/>
      <c r="GS118" s="37"/>
      <c r="GT118" s="37"/>
      <c r="GU118" s="37"/>
      <c r="GV118" s="37"/>
      <c r="GW118" s="37"/>
      <c r="GX118" s="37"/>
      <c r="GY118" s="37"/>
      <c r="GZ118" s="37"/>
      <c r="HA118" s="37"/>
      <c r="HB118" s="37"/>
      <c r="HC118" s="37"/>
      <c r="HD118" s="37"/>
      <c r="HE118" s="37"/>
      <c r="HF118" s="37"/>
      <c r="HG118" s="37"/>
      <c r="HH118" s="37"/>
      <c r="HI118" s="37"/>
      <c r="HJ118" s="37"/>
      <c r="HK118" s="37"/>
      <c r="HL118" s="37"/>
      <c r="HM118" s="37"/>
      <c r="HN118" s="37"/>
      <c r="HO118" s="37"/>
      <c r="HP118" s="37"/>
      <c r="HQ118" s="37"/>
      <c r="HR118" s="37"/>
      <c r="HS118" s="37"/>
      <c r="HT118" s="37"/>
      <c r="HU118" s="37"/>
      <c r="HV118" s="37"/>
      <c r="HW118" s="37"/>
      <c r="HX118" s="37"/>
      <c r="HY118" s="37"/>
      <c r="HZ118" s="37"/>
      <c r="IA118" s="37"/>
      <c r="IB118" s="37"/>
      <c r="IC118" s="37"/>
    </row>
    <row r="119" spans="1:237" s="40" customFormat="1" x14ac:dyDescent="0.2">
      <c r="A119" s="62"/>
      <c r="B119" s="63"/>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BZ119" s="37"/>
      <c r="CA119" s="37"/>
      <c r="CB119" s="37"/>
      <c r="CC119" s="37"/>
      <c r="CD119" s="37"/>
      <c r="CE119" s="37"/>
      <c r="CF119" s="37"/>
      <c r="CG119" s="37"/>
      <c r="CH119" s="37"/>
      <c r="CI119" s="37"/>
      <c r="CJ119" s="37"/>
      <c r="CK119" s="37"/>
      <c r="CL119" s="37"/>
      <c r="CM119" s="37"/>
      <c r="CN119" s="37"/>
      <c r="CO119" s="37"/>
      <c r="CP119" s="37"/>
      <c r="CQ119" s="37"/>
      <c r="CR119" s="37"/>
      <c r="CS119" s="37"/>
      <c r="CT119" s="37"/>
      <c r="CU119" s="37"/>
      <c r="CV119" s="37"/>
      <c r="CW119" s="37"/>
      <c r="CX119" s="37"/>
      <c r="CY119" s="37"/>
      <c r="CZ119" s="37"/>
      <c r="DA119" s="37"/>
      <c r="DB119" s="37"/>
      <c r="DC119" s="37"/>
      <c r="DD119" s="37"/>
      <c r="DE119" s="37"/>
      <c r="DF119" s="37"/>
      <c r="DG119" s="37"/>
      <c r="DH119" s="37"/>
      <c r="DI119" s="37"/>
      <c r="DJ119" s="37"/>
      <c r="DK119" s="37"/>
      <c r="DL119" s="37"/>
      <c r="DM119" s="37"/>
      <c r="DN119" s="37"/>
      <c r="DO119" s="37"/>
      <c r="DP119" s="37"/>
      <c r="DQ119" s="37"/>
      <c r="DR119" s="37"/>
      <c r="DS119" s="37"/>
      <c r="DT119" s="37"/>
      <c r="DU119" s="37"/>
      <c r="DV119" s="37"/>
      <c r="DW119" s="37"/>
      <c r="DX119" s="37"/>
      <c r="DY119" s="37"/>
      <c r="DZ119" s="37"/>
      <c r="EA119" s="37"/>
      <c r="EB119" s="37"/>
      <c r="EC119" s="37"/>
      <c r="ED119" s="37"/>
      <c r="EE119" s="37"/>
      <c r="EF119" s="37"/>
      <c r="EG119" s="37"/>
      <c r="EH119" s="37"/>
      <c r="EI119" s="37"/>
      <c r="EJ119" s="37"/>
      <c r="EK119" s="37"/>
      <c r="EL119" s="37"/>
      <c r="EM119" s="37"/>
      <c r="EN119" s="37"/>
      <c r="EO119" s="37"/>
      <c r="EP119" s="37"/>
      <c r="EQ119" s="37"/>
      <c r="ER119" s="37"/>
      <c r="ES119" s="37"/>
      <c r="ET119" s="37"/>
      <c r="EU119" s="37"/>
      <c r="EV119" s="37"/>
      <c r="EW119" s="37"/>
      <c r="EX119" s="37"/>
      <c r="EY119" s="37"/>
      <c r="EZ119" s="37"/>
      <c r="FA119" s="37"/>
      <c r="FB119" s="37"/>
      <c r="FC119" s="37"/>
      <c r="FD119" s="37"/>
      <c r="FE119" s="37"/>
      <c r="FF119" s="37"/>
      <c r="FG119" s="37"/>
      <c r="FH119" s="37"/>
      <c r="FI119" s="37"/>
      <c r="FJ119" s="37"/>
      <c r="FK119" s="37"/>
      <c r="FL119" s="37"/>
      <c r="FM119" s="37"/>
      <c r="FN119" s="37"/>
      <c r="FO119" s="37"/>
      <c r="FP119" s="37"/>
      <c r="FQ119" s="37"/>
      <c r="FR119" s="37"/>
      <c r="FS119" s="37"/>
      <c r="FT119" s="37"/>
      <c r="FU119" s="37"/>
      <c r="FV119" s="37"/>
      <c r="FW119" s="37"/>
      <c r="FX119" s="37"/>
      <c r="FY119" s="37"/>
      <c r="FZ119" s="37"/>
      <c r="GA119" s="37"/>
      <c r="GB119" s="37"/>
      <c r="GC119" s="37"/>
      <c r="GD119" s="37"/>
      <c r="GE119" s="37"/>
      <c r="GF119" s="37"/>
      <c r="GG119" s="37"/>
      <c r="GH119" s="37"/>
      <c r="GI119" s="37"/>
      <c r="GJ119" s="37"/>
      <c r="GK119" s="37"/>
      <c r="GL119" s="37"/>
      <c r="GM119" s="37"/>
      <c r="GN119" s="37"/>
      <c r="GO119" s="37"/>
      <c r="GP119" s="37"/>
      <c r="GQ119" s="37"/>
      <c r="GR119" s="37"/>
      <c r="GS119" s="37"/>
      <c r="GT119" s="37"/>
      <c r="GU119" s="37"/>
      <c r="GV119" s="37"/>
      <c r="GW119" s="37"/>
      <c r="GX119" s="37"/>
      <c r="GY119" s="37"/>
      <c r="GZ119" s="37"/>
      <c r="HA119" s="37"/>
      <c r="HB119" s="37"/>
      <c r="HC119" s="37"/>
      <c r="HD119" s="37"/>
      <c r="HE119" s="37"/>
      <c r="HF119" s="37"/>
      <c r="HG119" s="37"/>
      <c r="HH119" s="37"/>
      <c r="HI119" s="37"/>
      <c r="HJ119" s="37"/>
      <c r="HK119" s="37"/>
      <c r="HL119" s="37"/>
      <c r="HM119" s="37"/>
      <c r="HN119" s="37"/>
      <c r="HO119" s="37"/>
      <c r="HP119" s="37"/>
      <c r="HQ119" s="37"/>
      <c r="HR119" s="37"/>
      <c r="HS119" s="37"/>
      <c r="HT119" s="37"/>
      <c r="HU119" s="37"/>
      <c r="HV119" s="37"/>
      <c r="HW119" s="37"/>
      <c r="HX119" s="37"/>
      <c r="HY119" s="37"/>
      <c r="HZ119" s="37"/>
      <c r="IA119" s="37"/>
      <c r="IB119" s="37"/>
      <c r="IC119" s="37"/>
    </row>
    <row r="120" spans="1:237" s="40" customFormat="1" x14ac:dyDescent="0.2">
      <c r="A120" s="62"/>
      <c r="B120" s="63"/>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BZ120" s="37"/>
      <c r="CA120" s="37"/>
      <c r="CB120" s="37"/>
      <c r="CC120" s="37"/>
      <c r="CD120" s="37"/>
      <c r="CE120" s="37"/>
      <c r="CF120" s="37"/>
      <c r="CG120" s="37"/>
      <c r="CH120" s="37"/>
      <c r="CI120" s="37"/>
      <c r="CJ120" s="37"/>
      <c r="CK120" s="37"/>
      <c r="CL120" s="37"/>
      <c r="CM120" s="37"/>
      <c r="CN120" s="37"/>
      <c r="CO120" s="37"/>
      <c r="CP120" s="37"/>
      <c r="CQ120" s="37"/>
      <c r="CR120" s="37"/>
      <c r="CS120" s="37"/>
      <c r="CT120" s="37"/>
      <c r="CU120" s="37"/>
      <c r="CV120" s="37"/>
      <c r="CW120" s="37"/>
      <c r="CX120" s="37"/>
      <c r="CY120" s="37"/>
      <c r="CZ120" s="37"/>
      <c r="DA120" s="37"/>
      <c r="DB120" s="37"/>
      <c r="DC120" s="37"/>
      <c r="DD120" s="37"/>
      <c r="DE120" s="37"/>
      <c r="DF120" s="37"/>
      <c r="DG120" s="37"/>
      <c r="DH120" s="37"/>
      <c r="DI120" s="37"/>
      <c r="DJ120" s="37"/>
      <c r="DK120" s="37"/>
      <c r="DL120" s="37"/>
      <c r="DM120" s="37"/>
      <c r="DN120" s="37"/>
      <c r="DO120" s="37"/>
      <c r="DP120" s="37"/>
      <c r="DQ120" s="37"/>
      <c r="DR120" s="37"/>
      <c r="DS120" s="37"/>
      <c r="DT120" s="37"/>
      <c r="DU120" s="37"/>
      <c r="DV120" s="37"/>
      <c r="DW120" s="37"/>
      <c r="DX120" s="37"/>
      <c r="DY120" s="37"/>
      <c r="DZ120" s="37"/>
      <c r="EA120" s="37"/>
      <c r="EB120" s="37"/>
      <c r="EC120" s="37"/>
      <c r="ED120" s="37"/>
      <c r="EE120" s="37"/>
      <c r="EF120" s="37"/>
      <c r="EG120" s="37"/>
      <c r="EH120" s="37"/>
      <c r="EI120" s="37"/>
      <c r="EJ120" s="37"/>
      <c r="EK120" s="37"/>
      <c r="EL120" s="37"/>
      <c r="EM120" s="37"/>
      <c r="EN120" s="37"/>
      <c r="EO120" s="37"/>
      <c r="EP120" s="37"/>
      <c r="EQ120" s="37"/>
      <c r="ER120" s="37"/>
      <c r="ES120" s="37"/>
      <c r="ET120" s="37"/>
      <c r="EU120" s="37"/>
      <c r="EV120" s="37"/>
      <c r="EW120" s="37"/>
      <c r="EX120" s="37"/>
      <c r="EY120" s="37"/>
      <c r="EZ120" s="37"/>
      <c r="FA120" s="37"/>
      <c r="FB120" s="37"/>
      <c r="FC120" s="37"/>
      <c r="FD120" s="37"/>
      <c r="FE120" s="37"/>
      <c r="FF120" s="37"/>
      <c r="FG120" s="37"/>
      <c r="FH120" s="37"/>
      <c r="FI120" s="37"/>
      <c r="FJ120" s="37"/>
      <c r="FK120" s="37"/>
      <c r="FL120" s="37"/>
      <c r="FM120" s="37"/>
      <c r="FN120" s="37"/>
      <c r="FO120" s="37"/>
      <c r="FP120" s="37"/>
      <c r="FQ120" s="37"/>
      <c r="FR120" s="37"/>
      <c r="FS120" s="37"/>
      <c r="FT120" s="37"/>
      <c r="FU120" s="37"/>
      <c r="FV120" s="37"/>
      <c r="FW120" s="37"/>
      <c r="FX120" s="37"/>
      <c r="FY120" s="37"/>
      <c r="FZ120" s="37"/>
      <c r="GA120" s="37"/>
      <c r="GB120" s="37"/>
      <c r="GC120" s="37"/>
      <c r="GD120" s="37"/>
      <c r="GE120" s="37"/>
      <c r="GF120" s="37"/>
      <c r="GG120" s="37"/>
      <c r="GH120" s="37"/>
      <c r="GI120" s="37"/>
      <c r="GJ120" s="37"/>
      <c r="GK120" s="37"/>
      <c r="GL120" s="37"/>
      <c r="GM120" s="37"/>
      <c r="GN120" s="37"/>
      <c r="GO120" s="37"/>
      <c r="GP120" s="37"/>
      <c r="GQ120" s="37"/>
      <c r="GR120" s="37"/>
      <c r="GS120" s="37"/>
      <c r="GT120" s="37"/>
      <c r="GU120" s="37"/>
      <c r="GV120" s="37"/>
      <c r="GW120" s="37"/>
      <c r="GX120" s="37"/>
      <c r="GY120" s="37"/>
      <c r="GZ120" s="37"/>
      <c r="HA120" s="37"/>
      <c r="HB120" s="37"/>
      <c r="HC120" s="37"/>
      <c r="HD120" s="37"/>
      <c r="HE120" s="37"/>
      <c r="HF120" s="37"/>
      <c r="HG120" s="37"/>
      <c r="HH120" s="37"/>
      <c r="HI120" s="37"/>
      <c r="HJ120" s="37"/>
      <c r="HK120" s="37"/>
      <c r="HL120" s="37"/>
      <c r="HM120" s="37"/>
      <c r="HN120" s="37"/>
      <c r="HO120" s="37"/>
      <c r="HP120" s="37"/>
      <c r="HQ120" s="37"/>
      <c r="HR120" s="37"/>
      <c r="HS120" s="37"/>
      <c r="HT120" s="37"/>
      <c r="HU120" s="37"/>
      <c r="HV120" s="37"/>
      <c r="HW120" s="37"/>
      <c r="HX120" s="37"/>
      <c r="HY120" s="37"/>
      <c r="HZ120" s="37"/>
      <c r="IA120" s="37"/>
      <c r="IB120" s="37"/>
      <c r="IC120" s="37"/>
    </row>
    <row r="121" spans="1:237" s="40" customFormat="1" x14ac:dyDescent="0.2">
      <c r="A121" s="62"/>
      <c r="B121" s="63"/>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c r="BZ121" s="37"/>
      <c r="CA121" s="37"/>
      <c r="CB121" s="37"/>
      <c r="CC121" s="37"/>
      <c r="CD121" s="37"/>
      <c r="CE121" s="37"/>
      <c r="CF121" s="37"/>
      <c r="CG121" s="37"/>
      <c r="CH121" s="37"/>
      <c r="CI121" s="37"/>
      <c r="CJ121" s="37"/>
      <c r="CK121" s="37"/>
      <c r="CL121" s="37"/>
      <c r="CM121" s="37"/>
      <c r="CN121" s="37"/>
      <c r="CO121" s="37"/>
      <c r="CP121" s="37"/>
      <c r="CQ121" s="37"/>
      <c r="CR121" s="37"/>
      <c r="CS121" s="37"/>
      <c r="CT121" s="37"/>
      <c r="CU121" s="37"/>
      <c r="CV121" s="37"/>
      <c r="CW121" s="37"/>
      <c r="CX121" s="37"/>
      <c r="CY121" s="37"/>
      <c r="CZ121" s="37"/>
      <c r="DA121" s="37"/>
      <c r="DB121" s="37"/>
      <c r="DC121" s="37"/>
      <c r="DD121" s="37"/>
      <c r="DE121" s="37"/>
      <c r="DF121" s="37"/>
      <c r="DG121" s="37"/>
      <c r="DH121" s="37"/>
      <c r="DI121" s="37"/>
      <c r="DJ121" s="37"/>
      <c r="DK121" s="37"/>
      <c r="DL121" s="37"/>
      <c r="DM121" s="37"/>
      <c r="DN121" s="37"/>
      <c r="DO121" s="37"/>
      <c r="DP121" s="37"/>
      <c r="DQ121" s="37"/>
      <c r="DR121" s="37"/>
      <c r="DS121" s="37"/>
      <c r="DT121" s="37"/>
      <c r="DU121" s="37"/>
      <c r="DV121" s="37"/>
      <c r="DW121" s="37"/>
      <c r="DX121" s="37"/>
      <c r="DY121" s="37"/>
      <c r="DZ121" s="37"/>
      <c r="EA121" s="37"/>
      <c r="EB121" s="37"/>
      <c r="EC121" s="37"/>
      <c r="ED121" s="37"/>
      <c r="EE121" s="37"/>
      <c r="EF121" s="37"/>
      <c r="EG121" s="37"/>
      <c r="EH121" s="37"/>
      <c r="EI121" s="37"/>
      <c r="EJ121" s="37"/>
      <c r="EK121" s="37"/>
      <c r="EL121" s="37"/>
      <c r="EM121" s="37"/>
      <c r="EN121" s="37"/>
      <c r="EO121" s="37"/>
      <c r="EP121" s="37"/>
      <c r="EQ121" s="37"/>
      <c r="ER121" s="37"/>
      <c r="ES121" s="37"/>
      <c r="ET121" s="37"/>
      <c r="EU121" s="37"/>
      <c r="EV121" s="37"/>
      <c r="EW121" s="37"/>
      <c r="EX121" s="37"/>
      <c r="EY121" s="37"/>
      <c r="EZ121" s="37"/>
      <c r="FA121" s="37"/>
      <c r="FB121" s="37"/>
      <c r="FC121" s="37"/>
      <c r="FD121" s="37"/>
      <c r="FE121" s="37"/>
      <c r="FF121" s="37"/>
      <c r="FG121" s="37"/>
      <c r="FH121" s="37"/>
      <c r="FI121" s="37"/>
      <c r="FJ121" s="37"/>
      <c r="FK121" s="37"/>
      <c r="FL121" s="37"/>
      <c r="FM121" s="37"/>
      <c r="FN121" s="37"/>
      <c r="FO121" s="37"/>
      <c r="FP121" s="37"/>
      <c r="FQ121" s="37"/>
      <c r="FR121" s="37"/>
      <c r="FS121" s="37"/>
      <c r="FT121" s="37"/>
      <c r="FU121" s="37"/>
      <c r="FV121" s="37"/>
      <c r="FW121" s="37"/>
      <c r="FX121" s="37"/>
      <c r="FY121" s="37"/>
      <c r="FZ121" s="37"/>
      <c r="GA121" s="37"/>
      <c r="GB121" s="37"/>
      <c r="GC121" s="37"/>
      <c r="GD121" s="37"/>
      <c r="GE121" s="37"/>
      <c r="GF121" s="37"/>
      <c r="GG121" s="37"/>
      <c r="GH121" s="37"/>
      <c r="GI121" s="37"/>
      <c r="GJ121" s="37"/>
      <c r="GK121" s="37"/>
      <c r="GL121" s="37"/>
      <c r="GM121" s="37"/>
      <c r="GN121" s="37"/>
      <c r="GO121" s="37"/>
      <c r="GP121" s="37"/>
      <c r="GQ121" s="37"/>
      <c r="GR121" s="37"/>
      <c r="GS121" s="37"/>
      <c r="GT121" s="37"/>
      <c r="GU121" s="37"/>
      <c r="GV121" s="37"/>
      <c r="GW121" s="37"/>
      <c r="GX121" s="37"/>
      <c r="GY121" s="37"/>
      <c r="GZ121" s="37"/>
      <c r="HA121" s="37"/>
      <c r="HB121" s="37"/>
      <c r="HC121" s="37"/>
      <c r="HD121" s="37"/>
      <c r="HE121" s="37"/>
      <c r="HF121" s="37"/>
      <c r="HG121" s="37"/>
      <c r="HH121" s="37"/>
      <c r="HI121" s="37"/>
      <c r="HJ121" s="37"/>
      <c r="HK121" s="37"/>
      <c r="HL121" s="37"/>
      <c r="HM121" s="37"/>
      <c r="HN121" s="37"/>
      <c r="HO121" s="37"/>
      <c r="HP121" s="37"/>
      <c r="HQ121" s="37"/>
      <c r="HR121" s="37"/>
      <c r="HS121" s="37"/>
      <c r="HT121" s="37"/>
      <c r="HU121" s="37"/>
      <c r="HV121" s="37"/>
      <c r="HW121" s="37"/>
      <c r="HX121" s="37"/>
      <c r="HY121" s="37"/>
      <c r="HZ121" s="37"/>
      <c r="IA121" s="37"/>
      <c r="IB121" s="37"/>
      <c r="IC121" s="37"/>
    </row>
    <row r="122" spans="1:237" s="40" customFormat="1" x14ac:dyDescent="0.2">
      <c r="A122" s="62"/>
      <c r="B122" s="63"/>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c r="BX122" s="37"/>
      <c r="BY122" s="37"/>
      <c r="BZ122" s="37"/>
      <c r="CA122" s="37"/>
      <c r="CB122" s="37"/>
      <c r="CC122" s="37"/>
      <c r="CD122" s="37"/>
      <c r="CE122" s="37"/>
      <c r="CF122" s="37"/>
      <c r="CG122" s="37"/>
      <c r="CH122" s="37"/>
      <c r="CI122" s="37"/>
      <c r="CJ122" s="37"/>
      <c r="CK122" s="37"/>
      <c r="CL122" s="37"/>
      <c r="CM122" s="37"/>
      <c r="CN122" s="37"/>
      <c r="CO122" s="37"/>
      <c r="CP122" s="37"/>
      <c r="CQ122" s="37"/>
      <c r="CR122" s="37"/>
      <c r="CS122" s="37"/>
      <c r="CT122" s="37"/>
      <c r="CU122" s="37"/>
      <c r="CV122" s="37"/>
      <c r="CW122" s="37"/>
      <c r="CX122" s="37"/>
      <c r="CY122" s="37"/>
      <c r="CZ122" s="37"/>
      <c r="DA122" s="37"/>
      <c r="DB122" s="37"/>
      <c r="DC122" s="37"/>
      <c r="DD122" s="37"/>
      <c r="DE122" s="37"/>
      <c r="DF122" s="37"/>
      <c r="DG122" s="37"/>
      <c r="DH122" s="37"/>
      <c r="DI122" s="37"/>
      <c r="DJ122" s="37"/>
      <c r="DK122" s="37"/>
      <c r="DL122" s="37"/>
      <c r="DM122" s="37"/>
      <c r="DN122" s="37"/>
      <c r="DO122" s="37"/>
      <c r="DP122" s="37"/>
      <c r="DQ122" s="37"/>
      <c r="DR122" s="37"/>
      <c r="DS122" s="37"/>
      <c r="DT122" s="37"/>
      <c r="DU122" s="37"/>
      <c r="DV122" s="37"/>
      <c r="DW122" s="37"/>
      <c r="DX122" s="37"/>
      <c r="DY122" s="37"/>
      <c r="DZ122" s="37"/>
      <c r="EA122" s="37"/>
      <c r="EB122" s="37"/>
      <c r="EC122" s="37"/>
      <c r="ED122" s="37"/>
      <c r="EE122" s="37"/>
      <c r="EF122" s="37"/>
      <c r="EG122" s="37"/>
      <c r="EH122" s="37"/>
      <c r="EI122" s="37"/>
      <c r="EJ122" s="37"/>
      <c r="EK122" s="37"/>
      <c r="EL122" s="37"/>
      <c r="EM122" s="37"/>
      <c r="EN122" s="37"/>
      <c r="EO122" s="37"/>
      <c r="EP122" s="37"/>
      <c r="EQ122" s="37"/>
      <c r="ER122" s="37"/>
      <c r="ES122" s="37"/>
      <c r="ET122" s="37"/>
      <c r="EU122" s="37"/>
      <c r="EV122" s="37"/>
      <c r="EW122" s="37"/>
      <c r="EX122" s="37"/>
      <c r="EY122" s="37"/>
      <c r="EZ122" s="37"/>
      <c r="FA122" s="37"/>
      <c r="FB122" s="37"/>
      <c r="FC122" s="37"/>
      <c r="FD122" s="37"/>
      <c r="FE122" s="37"/>
      <c r="FF122" s="37"/>
      <c r="FG122" s="37"/>
      <c r="FH122" s="37"/>
      <c r="FI122" s="37"/>
      <c r="FJ122" s="37"/>
      <c r="FK122" s="37"/>
      <c r="FL122" s="37"/>
      <c r="FM122" s="37"/>
      <c r="FN122" s="37"/>
      <c r="FO122" s="37"/>
      <c r="FP122" s="37"/>
      <c r="FQ122" s="37"/>
      <c r="FR122" s="37"/>
      <c r="FS122" s="37"/>
      <c r="FT122" s="37"/>
      <c r="FU122" s="37"/>
      <c r="FV122" s="37"/>
      <c r="FW122" s="37"/>
      <c r="FX122" s="37"/>
      <c r="FY122" s="37"/>
      <c r="FZ122" s="37"/>
      <c r="GA122" s="37"/>
      <c r="GB122" s="37"/>
      <c r="GC122" s="37"/>
      <c r="GD122" s="37"/>
      <c r="GE122" s="37"/>
      <c r="GF122" s="37"/>
      <c r="GG122" s="37"/>
      <c r="GH122" s="37"/>
      <c r="GI122" s="37"/>
      <c r="GJ122" s="37"/>
      <c r="GK122" s="37"/>
      <c r="GL122" s="37"/>
      <c r="GM122" s="37"/>
      <c r="GN122" s="37"/>
      <c r="GO122" s="37"/>
      <c r="GP122" s="37"/>
      <c r="GQ122" s="37"/>
      <c r="GR122" s="37"/>
      <c r="GS122" s="37"/>
      <c r="GT122" s="37"/>
      <c r="GU122" s="37"/>
      <c r="GV122" s="37"/>
      <c r="GW122" s="37"/>
      <c r="GX122" s="37"/>
      <c r="GY122" s="37"/>
      <c r="GZ122" s="37"/>
      <c r="HA122" s="37"/>
      <c r="HB122" s="37"/>
      <c r="HC122" s="37"/>
      <c r="HD122" s="37"/>
      <c r="HE122" s="37"/>
      <c r="HF122" s="37"/>
      <c r="HG122" s="37"/>
      <c r="HH122" s="37"/>
      <c r="HI122" s="37"/>
      <c r="HJ122" s="37"/>
      <c r="HK122" s="37"/>
      <c r="HL122" s="37"/>
      <c r="HM122" s="37"/>
      <c r="HN122" s="37"/>
      <c r="HO122" s="37"/>
      <c r="HP122" s="37"/>
      <c r="HQ122" s="37"/>
      <c r="HR122" s="37"/>
      <c r="HS122" s="37"/>
      <c r="HT122" s="37"/>
      <c r="HU122" s="37"/>
      <c r="HV122" s="37"/>
      <c r="HW122" s="37"/>
      <c r="HX122" s="37"/>
      <c r="HY122" s="37"/>
      <c r="HZ122" s="37"/>
      <c r="IA122" s="37"/>
      <c r="IB122" s="37"/>
      <c r="IC122" s="37"/>
    </row>
    <row r="123" spans="1:237" s="40" customFormat="1" x14ac:dyDescent="0.2">
      <c r="A123" s="62"/>
      <c r="B123" s="63"/>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c r="BC123" s="37"/>
      <c r="BD123" s="37"/>
      <c r="BE123" s="37"/>
      <c r="BF123" s="37"/>
      <c r="BG123" s="37"/>
      <c r="BH123" s="37"/>
      <c r="BI123" s="37"/>
      <c r="BJ123" s="37"/>
      <c r="BK123" s="37"/>
      <c r="BL123" s="37"/>
      <c r="BM123" s="37"/>
      <c r="BN123" s="37"/>
      <c r="BO123" s="37"/>
      <c r="BP123" s="37"/>
      <c r="BQ123" s="37"/>
      <c r="BR123" s="37"/>
      <c r="BS123" s="37"/>
      <c r="BT123" s="37"/>
      <c r="BU123" s="37"/>
      <c r="BV123" s="37"/>
      <c r="BW123" s="37"/>
      <c r="BX123" s="37"/>
      <c r="BY123" s="37"/>
      <c r="BZ123" s="37"/>
      <c r="CA123" s="37"/>
      <c r="CB123" s="37"/>
      <c r="CC123" s="37"/>
      <c r="CD123" s="37"/>
      <c r="CE123" s="37"/>
      <c r="CF123" s="37"/>
      <c r="CG123" s="37"/>
      <c r="CH123" s="37"/>
      <c r="CI123" s="37"/>
      <c r="CJ123" s="37"/>
      <c r="CK123" s="37"/>
      <c r="CL123" s="37"/>
      <c r="CM123" s="37"/>
      <c r="CN123" s="37"/>
      <c r="CO123" s="37"/>
      <c r="CP123" s="37"/>
      <c r="CQ123" s="37"/>
      <c r="CR123" s="37"/>
      <c r="CS123" s="37"/>
      <c r="CT123" s="37"/>
      <c r="CU123" s="37"/>
      <c r="CV123" s="37"/>
      <c r="CW123" s="37"/>
      <c r="CX123" s="37"/>
      <c r="CY123" s="37"/>
      <c r="CZ123" s="37"/>
      <c r="DA123" s="37"/>
      <c r="DB123" s="37"/>
      <c r="DC123" s="37"/>
      <c r="DD123" s="37"/>
      <c r="DE123" s="37"/>
      <c r="DF123" s="37"/>
      <c r="DG123" s="37"/>
      <c r="DH123" s="37"/>
      <c r="DI123" s="37"/>
      <c r="DJ123" s="37"/>
      <c r="DK123" s="37"/>
      <c r="DL123" s="37"/>
      <c r="DM123" s="37"/>
      <c r="DN123" s="37"/>
      <c r="DO123" s="37"/>
      <c r="DP123" s="37"/>
      <c r="DQ123" s="37"/>
      <c r="DR123" s="37"/>
      <c r="DS123" s="37"/>
      <c r="DT123" s="37"/>
      <c r="DU123" s="37"/>
      <c r="DV123" s="37"/>
      <c r="DW123" s="37"/>
      <c r="DX123" s="37"/>
      <c r="DY123" s="37"/>
      <c r="DZ123" s="37"/>
      <c r="EA123" s="37"/>
      <c r="EB123" s="37"/>
      <c r="EC123" s="37"/>
      <c r="ED123" s="37"/>
      <c r="EE123" s="37"/>
      <c r="EF123" s="37"/>
      <c r="EG123" s="37"/>
      <c r="EH123" s="37"/>
      <c r="EI123" s="37"/>
      <c r="EJ123" s="37"/>
      <c r="EK123" s="37"/>
      <c r="EL123" s="37"/>
      <c r="EM123" s="37"/>
      <c r="EN123" s="37"/>
      <c r="EO123" s="37"/>
      <c r="EP123" s="37"/>
      <c r="EQ123" s="37"/>
      <c r="ER123" s="37"/>
      <c r="ES123" s="37"/>
      <c r="ET123" s="37"/>
      <c r="EU123" s="37"/>
      <c r="EV123" s="37"/>
      <c r="EW123" s="37"/>
      <c r="EX123" s="37"/>
      <c r="EY123" s="37"/>
      <c r="EZ123" s="37"/>
      <c r="FA123" s="37"/>
      <c r="FB123" s="37"/>
      <c r="FC123" s="37"/>
      <c r="FD123" s="37"/>
      <c r="FE123" s="37"/>
      <c r="FF123" s="37"/>
      <c r="FG123" s="37"/>
      <c r="FH123" s="37"/>
      <c r="FI123" s="37"/>
      <c r="FJ123" s="37"/>
      <c r="FK123" s="37"/>
      <c r="FL123" s="37"/>
      <c r="FM123" s="37"/>
      <c r="FN123" s="37"/>
      <c r="FO123" s="37"/>
      <c r="FP123" s="37"/>
      <c r="FQ123" s="37"/>
      <c r="FR123" s="37"/>
      <c r="FS123" s="37"/>
      <c r="FT123" s="37"/>
      <c r="FU123" s="37"/>
      <c r="FV123" s="37"/>
      <c r="FW123" s="37"/>
      <c r="FX123" s="37"/>
      <c r="FY123" s="37"/>
      <c r="FZ123" s="37"/>
      <c r="GA123" s="37"/>
      <c r="GB123" s="37"/>
      <c r="GC123" s="37"/>
      <c r="GD123" s="37"/>
      <c r="GE123" s="37"/>
      <c r="GF123" s="37"/>
      <c r="GG123" s="37"/>
      <c r="GH123" s="37"/>
      <c r="GI123" s="37"/>
      <c r="GJ123" s="37"/>
      <c r="GK123" s="37"/>
      <c r="GL123" s="37"/>
      <c r="GM123" s="37"/>
      <c r="GN123" s="37"/>
      <c r="GO123" s="37"/>
      <c r="GP123" s="37"/>
      <c r="GQ123" s="37"/>
      <c r="GR123" s="37"/>
      <c r="GS123" s="37"/>
      <c r="GT123" s="37"/>
      <c r="GU123" s="37"/>
      <c r="GV123" s="37"/>
      <c r="GW123" s="37"/>
      <c r="GX123" s="37"/>
      <c r="GY123" s="37"/>
      <c r="GZ123" s="37"/>
      <c r="HA123" s="37"/>
      <c r="HB123" s="37"/>
      <c r="HC123" s="37"/>
      <c r="HD123" s="37"/>
      <c r="HE123" s="37"/>
      <c r="HF123" s="37"/>
      <c r="HG123" s="37"/>
      <c r="HH123" s="37"/>
      <c r="HI123" s="37"/>
      <c r="HJ123" s="37"/>
      <c r="HK123" s="37"/>
      <c r="HL123" s="37"/>
      <c r="HM123" s="37"/>
      <c r="HN123" s="37"/>
      <c r="HO123" s="37"/>
      <c r="HP123" s="37"/>
      <c r="HQ123" s="37"/>
      <c r="HR123" s="37"/>
      <c r="HS123" s="37"/>
      <c r="HT123" s="37"/>
      <c r="HU123" s="37"/>
      <c r="HV123" s="37"/>
      <c r="HW123" s="37"/>
      <c r="HX123" s="37"/>
      <c r="HY123" s="37"/>
      <c r="HZ123" s="37"/>
      <c r="IA123" s="37"/>
      <c r="IB123" s="37"/>
      <c r="IC123" s="37"/>
    </row>
    <row r="124" spans="1:237" s="40" customFormat="1" x14ac:dyDescent="0.2">
      <c r="A124" s="62"/>
      <c r="B124" s="63"/>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37"/>
      <c r="BI124" s="37"/>
      <c r="BJ124" s="37"/>
      <c r="BK124" s="37"/>
      <c r="BL124" s="37"/>
      <c r="BM124" s="37"/>
      <c r="BN124" s="37"/>
      <c r="BO124" s="37"/>
      <c r="BP124" s="37"/>
      <c r="BQ124" s="37"/>
      <c r="BR124" s="37"/>
      <c r="BS124" s="37"/>
      <c r="BT124" s="37"/>
      <c r="BU124" s="37"/>
      <c r="BV124" s="37"/>
      <c r="BW124" s="37"/>
      <c r="BX124" s="37"/>
      <c r="BY124" s="37"/>
      <c r="BZ124" s="37"/>
      <c r="CA124" s="37"/>
      <c r="CB124" s="37"/>
      <c r="CC124" s="37"/>
      <c r="CD124" s="37"/>
      <c r="CE124" s="37"/>
      <c r="CF124" s="37"/>
      <c r="CG124" s="37"/>
      <c r="CH124" s="37"/>
      <c r="CI124" s="37"/>
      <c r="CJ124" s="37"/>
      <c r="CK124" s="37"/>
      <c r="CL124" s="37"/>
      <c r="CM124" s="37"/>
      <c r="CN124" s="37"/>
      <c r="CO124" s="37"/>
      <c r="CP124" s="37"/>
      <c r="CQ124" s="37"/>
      <c r="CR124" s="37"/>
      <c r="CS124" s="37"/>
      <c r="CT124" s="37"/>
      <c r="CU124" s="37"/>
      <c r="CV124" s="37"/>
      <c r="CW124" s="37"/>
      <c r="CX124" s="37"/>
      <c r="CY124" s="37"/>
      <c r="CZ124" s="37"/>
      <c r="DA124" s="37"/>
      <c r="DB124" s="37"/>
      <c r="DC124" s="37"/>
      <c r="DD124" s="37"/>
      <c r="DE124" s="37"/>
      <c r="DF124" s="37"/>
      <c r="DG124" s="37"/>
      <c r="DH124" s="37"/>
      <c r="DI124" s="37"/>
      <c r="DJ124" s="37"/>
      <c r="DK124" s="37"/>
      <c r="DL124" s="37"/>
      <c r="DM124" s="37"/>
      <c r="DN124" s="37"/>
      <c r="DO124" s="37"/>
      <c r="DP124" s="37"/>
      <c r="DQ124" s="37"/>
      <c r="DR124" s="37"/>
      <c r="DS124" s="37"/>
      <c r="DT124" s="37"/>
      <c r="DU124" s="37"/>
      <c r="DV124" s="37"/>
      <c r="DW124" s="37"/>
      <c r="DX124" s="37"/>
      <c r="DY124" s="37"/>
      <c r="DZ124" s="37"/>
      <c r="EA124" s="37"/>
      <c r="EB124" s="37"/>
      <c r="EC124" s="37"/>
      <c r="ED124" s="37"/>
      <c r="EE124" s="37"/>
      <c r="EF124" s="37"/>
      <c r="EG124" s="37"/>
      <c r="EH124" s="37"/>
      <c r="EI124" s="37"/>
      <c r="EJ124" s="37"/>
      <c r="EK124" s="37"/>
      <c r="EL124" s="37"/>
      <c r="EM124" s="37"/>
      <c r="EN124" s="37"/>
      <c r="EO124" s="37"/>
      <c r="EP124" s="37"/>
      <c r="EQ124" s="37"/>
      <c r="ER124" s="37"/>
      <c r="ES124" s="37"/>
      <c r="ET124" s="37"/>
      <c r="EU124" s="37"/>
      <c r="EV124" s="37"/>
      <c r="EW124" s="37"/>
      <c r="EX124" s="37"/>
      <c r="EY124" s="37"/>
      <c r="EZ124" s="37"/>
      <c r="FA124" s="37"/>
      <c r="FB124" s="37"/>
      <c r="FC124" s="37"/>
      <c r="FD124" s="37"/>
      <c r="FE124" s="37"/>
      <c r="FF124" s="37"/>
      <c r="FG124" s="37"/>
      <c r="FH124" s="37"/>
      <c r="FI124" s="37"/>
      <c r="FJ124" s="37"/>
      <c r="FK124" s="37"/>
      <c r="FL124" s="37"/>
      <c r="FM124" s="37"/>
      <c r="FN124" s="37"/>
      <c r="FO124" s="37"/>
      <c r="FP124" s="37"/>
      <c r="FQ124" s="37"/>
      <c r="FR124" s="37"/>
      <c r="FS124" s="37"/>
      <c r="FT124" s="37"/>
      <c r="FU124" s="37"/>
      <c r="FV124" s="37"/>
      <c r="FW124" s="37"/>
      <c r="FX124" s="37"/>
      <c r="FY124" s="37"/>
      <c r="FZ124" s="37"/>
      <c r="GA124" s="37"/>
      <c r="GB124" s="37"/>
      <c r="GC124" s="37"/>
      <c r="GD124" s="37"/>
      <c r="GE124" s="37"/>
      <c r="GF124" s="37"/>
      <c r="GG124" s="37"/>
      <c r="GH124" s="37"/>
      <c r="GI124" s="37"/>
      <c r="GJ124" s="37"/>
      <c r="GK124" s="37"/>
      <c r="GL124" s="37"/>
      <c r="GM124" s="37"/>
      <c r="GN124" s="37"/>
      <c r="GO124" s="37"/>
      <c r="GP124" s="37"/>
      <c r="GQ124" s="37"/>
      <c r="GR124" s="37"/>
      <c r="GS124" s="37"/>
      <c r="GT124" s="37"/>
      <c r="GU124" s="37"/>
      <c r="GV124" s="37"/>
      <c r="GW124" s="37"/>
      <c r="GX124" s="37"/>
      <c r="GY124" s="37"/>
      <c r="GZ124" s="37"/>
      <c r="HA124" s="37"/>
      <c r="HB124" s="37"/>
      <c r="HC124" s="37"/>
      <c r="HD124" s="37"/>
      <c r="HE124" s="37"/>
      <c r="HF124" s="37"/>
      <c r="HG124" s="37"/>
      <c r="HH124" s="37"/>
      <c r="HI124" s="37"/>
      <c r="HJ124" s="37"/>
      <c r="HK124" s="37"/>
      <c r="HL124" s="37"/>
      <c r="HM124" s="37"/>
      <c r="HN124" s="37"/>
      <c r="HO124" s="37"/>
      <c r="HP124" s="37"/>
      <c r="HQ124" s="37"/>
      <c r="HR124" s="37"/>
      <c r="HS124" s="37"/>
      <c r="HT124" s="37"/>
      <c r="HU124" s="37"/>
      <c r="HV124" s="37"/>
      <c r="HW124" s="37"/>
      <c r="HX124" s="37"/>
      <c r="HY124" s="37"/>
      <c r="HZ124" s="37"/>
      <c r="IA124" s="37"/>
      <c r="IB124" s="37"/>
      <c r="IC124" s="37"/>
    </row>
    <row r="125" spans="1:237" s="40" customFormat="1" x14ac:dyDescent="0.2">
      <c r="A125" s="62"/>
      <c r="B125" s="63"/>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c r="BZ125" s="37"/>
      <c r="CA125" s="37"/>
      <c r="CB125" s="37"/>
      <c r="CC125" s="37"/>
      <c r="CD125" s="37"/>
      <c r="CE125" s="37"/>
      <c r="CF125" s="37"/>
      <c r="CG125" s="37"/>
      <c r="CH125" s="37"/>
      <c r="CI125" s="37"/>
      <c r="CJ125" s="37"/>
      <c r="CK125" s="37"/>
      <c r="CL125" s="37"/>
      <c r="CM125" s="37"/>
      <c r="CN125" s="37"/>
      <c r="CO125" s="37"/>
      <c r="CP125" s="37"/>
      <c r="CQ125" s="37"/>
      <c r="CR125" s="37"/>
      <c r="CS125" s="37"/>
      <c r="CT125" s="37"/>
      <c r="CU125" s="37"/>
      <c r="CV125" s="37"/>
      <c r="CW125" s="37"/>
      <c r="CX125" s="37"/>
      <c r="CY125" s="37"/>
      <c r="CZ125" s="37"/>
      <c r="DA125" s="37"/>
      <c r="DB125" s="37"/>
      <c r="DC125" s="37"/>
      <c r="DD125" s="37"/>
      <c r="DE125" s="37"/>
      <c r="DF125" s="37"/>
      <c r="DG125" s="37"/>
      <c r="DH125" s="37"/>
      <c r="DI125" s="37"/>
      <c r="DJ125" s="37"/>
      <c r="DK125" s="37"/>
      <c r="DL125" s="37"/>
      <c r="DM125" s="37"/>
      <c r="DN125" s="37"/>
      <c r="DO125" s="37"/>
      <c r="DP125" s="37"/>
      <c r="DQ125" s="37"/>
      <c r="DR125" s="37"/>
      <c r="DS125" s="37"/>
      <c r="DT125" s="37"/>
      <c r="DU125" s="37"/>
      <c r="DV125" s="37"/>
      <c r="DW125" s="37"/>
      <c r="DX125" s="37"/>
      <c r="DY125" s="37"/>
      <c r="DZ125" s="37"/>
      <c r="EA125" s="37"/>
      <c r="EB125" s="37"/>
      <c r="EC125" s="37"/>
      <c r="ED125" s="37"/>
      <c r="EE125" s="37"/>
      <c r="EF125" s="37"/>
      <c r="EG125" s="37"/>
      <c r="EH125" s="37"/>
      <c r="EI125" s="37"/>
      <c r="EJ125" s="37"/>
      <c r="EK125" s="37"/>
      <c r="EL125" s="37"/>
      <c r="EM125" s="37"/>
      <c r="EN125" s="37"/>
      <c r="EO125" s="37"/>
      <c r="EP125" s="37"/>
      <c r="EQ125" s="37"/>
      <c r="ER125" s="37"/>
      <c r="ES125" s="37"/>
      <c r="ET125" s="37"/>
      <c r="EU125" s="37"/>
      <c r="EV125" s="37"/>
      <c r="EW125" s="37"/>
      <c r="EX125" s="37"/>
      <c r="EY125" s="37"/>
      <c r="EZ125" s="37"/>
      <c r="FA125" s="37"/>
      <c r="FB125" s="37"/>
      <c r="FC125" s="37"/>
      <c r="FD125" s="37"/>
      <c r="FE125" s="37"/>
      <c r="FF125" s="37"/>
      <c r="FG125" s="37"/>
      <c r="FH125" s="37"/>
      <c r="FI125" s="37"/>
      <c r="FJ125" s="37"/>
      <c r="FK125" s="37"/>
      <c r="FL125" s="37"/>
      <c r="FM125" s="37"/>
      <c r="FN125" s="37"/>
      <c r="FO125" s="37"/>
      <c r="FP125" s="37"/>
      <c r="FQ125" s="37"/>
      <c r="FR125" s="37"/>
      <c r="FS125" s="37"/>
      <c r="FT125" s="37"/>
      <c r="FU125" s="37"/>
      <c r="FV125" s="37"/>
      <c r="FW125" s="37"/>
      <c r="FX125" s="37"/>
      <c r="FY125" s="37"/>
      <c r="FZ125" s="37"/>
      <c r="GA125" s="37"/>
      <c r="GB125" s="37"/>
      <c r="GC125" s="37"/>
      <c r="GD125" s="37"/>
      <c r="GE125" s="37"/>
      <c r="GF125" s="37"/>
      <c r="GG125" s="37"/>
      <c r="GH125" s="37"/>
      <c r="GI125" s="37"/>
      <c r="GJ125" s="37"/>
      <c r="GK125" s="37"/>
      <c r="GL125" s="37"/>
      <c r="GM125" s="37"/>
      <c r="GN125" s="37"/>
      <c r="GO125" s="37"/>
      <c r="GP125" s="37"/>
      <c r="GQ125" s="37"/>
      <c r="GR125" s="37"/>
      <c r="GS125" s="37"/>
      <c r="GT125" s="37"/>
      <c r="GU125" s="37"/>
      <c r="GV125" s="37"/>
      <c r="GW125" s="37"/>
      <c r="GX125" s="37"/>
      <c r="GY125" s="37"/>
      <c r="GZ125" s="37"/>
      <c r="HA125" s="37"/>
      <c r="HB125" s="37"/>
      <c r="HC125" s="37"/>
      <c r="HD125" s="37"/>
      <c r="HE125" s="37"/>
      <c r="HF125" s="37"/>
      <c r="HG125" s="37"/>
      <c r="HH125" s="37"/>
      <c r="HI125" s="37"/>
      <c r="HJ125" s="37"/>
      <c r="HK125" s="37"/>
      <c r="HL125" s="37"/>
      <c r="HM125" s="37"/>
      <c r="HN125" s="37"/>
      <c r="HO125" s="37"/>
      <c r="HP125" s="37"/>
      <c r="HQ125" s="37"/>
      <c r="HR125" s="37"/>
      <c r="HS125" s="37"/>
      <c r="HT125" s="37"/>
      <c r="HU125" s="37"/>
      <c r="HV125" s="37"/>
      <c r="HW125" s="37"/>
      <c r="HX125" s="37"/>
      <c r="HY125" s="37"/>
      <c r="HZ125" s="37"/>
      <c r="IA125" s="37"/>
      <c r="IB125" s="37"/>
      <c r="IC125" s="37"/>
    </row>
    <row r="126" spans="1:237" s="40" customFormat="1" x14ac:dyDescent="0.2">
      <c r="A126" s="62"/>
      <c r="B126" s="63"/>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37"/>
      <c r="BH126" s="37"/>
      <c r="BI126" s="37"/>
      <c r="BJ126" s="37"/>
      <c r="BK126" s="37"/>
      <c r="BL126" s="37"/>
      <c r="BM126" s="37"/>
      <c r="BN126" s="37"/>
      <c r="BO126" s="37"/>
      <c r="BP126" s="37"/>
      <c r="BQ126" s="37"/>
      <c r="BR126" s="37"/>
      <c r="BS126" s="37"/>
      <c r="BT126" s="37"/>
      <c r="BU126" s="37"/>
      <c r="BV126" s="37"/>
      <c r="BW126" s="37"/>
      <c r="BX126" s="37"/>
      <c r="BY126" s="37"/>
      <c r="BZ126" s="37"/>
      <c r="CA126" s="37"/>
      <c r="CB126" s="37"/>
      <c r="CC126" s="37"/>
      <c r="CD126" s="37"/>
      <c r="CE126" s="37"/>
      <c r="CF126" s="37"/>
      <c r="CG126" s="37"/>
      <c r="CH126" s="37"/>
      <c r="CI126" s="37"/>
      <c r="CJ126" s="37"/>
      <c r="CK126" s="37"/>
      <c r="CL126" s="37"/>
      <c r="CM126" s="37"/>
      <c r="CN126" s="37"/>
      <c r="CO126" s="37"/>
      <c r="CP126" s="37"/>
      <c r="CQ126" s="37"/>
      <c r="CR126" s="37"/>
      <c r="CS126" s="37"/>
      <c r="CT126" s="37"/>
      <c r="CU126" s="37"/>
      <c r="CV126" s="37"/>
      <c r="CW126" s="37"/>
      <c r="CX126" s="37"/>
      <c r="CY126" s="37"/>
      <c r="CZ126" s="37"/>
      <c r="DA126" s="37"/>
      <c r="DB126" s="37"/>
      <c r="DC126" s="37"/>
      <c r="DD126" s="37"/>
      <c r="DE126" s="37"/>
      <c r="DF126" s="37"/>
      <c r="DG126" s="37"/>
      <c r="DH126" s="37"/>
      <c r="DI126" s="37"/>
      <c r="DJ126" s="37"/>
      <c r="DK126" s="37"/>
      <c r="DL126" s="37"/>
      <c r="DM126" s="37"/>
      <c r="DN126" s="37"/>
      <c r="DO126" s="37"/>
      <c r="DP126" s="37"/>
      <c r="DQ126" s="37"/>
      <c r="DR126" s="37"/>
      <c r="DS126" s="37"/>
      <c r="DT126" s="37"/>
      <c r="DU126" s="37"/>
      <c r="DV126" s="37"/>
      <c r="DW126" s="37"/>
      <c r="DX126" s="37"/>
      <c r="DY126" s="37"/>
      <c r="DZ126" s="37"/>
      <c r="EA126" s="37"/>
      <c r="EB126" s="37"/>
      <c r="EC126" s="37"/>
      <c r="ED126" s="37"/>
      <c r="EE126" s="37"/>
      <c r="EF126" s="37"/>
      <c r="EG126" s="37"/>
      <c r="EH126" s="37"/>
      <c r="EI126" s="37"/>
      <c r="EJ126" s="37"/>
      <c r="EK126" s="37"/>
      <c r="EL126" s="37"/>
      <c r="EM126" s="37"/>
      <c r="EN126" s="37"/>
      <c r="EO126" s="37"/>
      <c r="EP126" s="37"/>
      <c r="EQ126" s="37"/>
      <c r="ER126" s="37"/>
      <c r="ES126" s="37"/>
      <c r="ET126" s="37"/>
      <c r="EU126" s="37"/>
      <c r="EV126" s="37"/>
      <c r="EW126" s="37"/>
      <c r="EX126" s="37"/>
      <c r="EY126" s="37"/>
      <c r="EZ126" s="37"/>
      <c r="FA126" s="37"/>
      <c r="FB126" s="37"/>
      <c r="FC126" s="37"/>
      <c r="FD126" s="37"/>
      <c r="FE126" s="37"/>
      <c r="FF126" s="37"/>
      <c r="FG126" s="37"/>
      <c r="FH126" s="37"/>
      <c r="FI126" s="37"/>
      <c r="FJ126" s="37"/>
      <c r="FK126" s="37"/>
      <c r="FL126" s="37"/>
      <c r="FM126" s="37"/>
      <c r="FN126" s="37"/>
      <c r="FO126" s="37"/>
      <c r="FP126" s="37"/>
      <c r="FQ126" s="37"/>
      <c r="FR126" s="37"/>
      <c r="FS126" s="37"/>
      <c r="FT126" s="37"/>
      <c r="FU126" s="37"/>
      <c r="FV126" s="37"/>
      <c r="FW126" s="37"/>
      <c r="FX126" s="37"/>
      <c r="FY126" s="37"/>
      <c r="FZ126" s="37"/>
      <c r="GA126" s="37"/>
      <c r="GB126" s="37"/>
      <c r="GC126" s="37"/>
      <c r="GD126" s="37"/>
      <c r="GE126" s="37"/>
      <c r="GF126" s="37"/>
      <c r="GG126" s="37"/>
      <c r="GH126" s="37"/>
      <c r="GI126" s="37"/>
      <c r="GJ126" s="37"/>
      <c r="GK126" s="37"/>
      <c r="GL126" s="37"/>
      <c r="GM126" s="37"/>
      <c r="GN126" s="37"/>
      <c r="GO126" s="37"/>
      <c r="GP126" s="37"/>
      <c r="GQ126" s="37"/>
      <c r="GR126" s="37"/>
      <c r="GS126" s="37"/>
      <c r="GT126" s="37"/>
      <c r="GU126" s="37"/>
      <c r="GV126" s="37"/>
      <c r="GW126" s="37"/>
      <c r="GX126" s="37"/>
      <c r="GY126" s="37"/>
      <c r="GZ126" s="37"/>
      <c r="HA126" s="37"/>
      <c r="HB126" s="37"/>
      <c r="HC126" s="37"/>
      <c r="HD126" s="37"/>
      <c r="HE126" s="37"/>
      <c r="HF126" s="37"/>
      <c r="HG126" s="37"/>
      <c r="HH126" s="37"/>
      <c r="HI126" s="37"/>
      <c r="HJ126" s="37"/>
      <c r="HK126" s="37"/>
      <c r="HL126" s="37"/>
      <c r="HM126" s="37"/>
      <c r="HN126" s="37"/>
      <c r="HO126" s="37"/>
      <c r="HP126" s="37"/>
      <c r="HQ126" s="37"/>
      <c r="HR126" s="37"/>
      <c r="HS126" s="37"/>
      <c r="HT126" s="37"/>
      <c r="HU126" s="37"/>
      <c r="HV126" s="37"/>
      <c r="HW126" s="37"/>
      <c r="HX126" s="37"/>
      <c r="HY126" s="37"/>
      <c r="HZ126" s="37"/>
      <c r="IA126" s="37"/>
      <c r="IB126" s="37"/>
      <c r="IC126" s="37"/>
    </row>
    <row r="127" spans="1:237" s="40" customFormat="1" x14ac:dyDescent="0.2">
      <c r="A127" s="62"/>
      <c r="B127" s="63"/>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7"/>
      <c r="BJ127" s="37"/>
      <c r="BK127" s="37"/>
      <c r="BL127" s="37"/>
      <c r="BM127" s="37"/>
      <c r="BN127" s="37"/>
      <c r="BO127" s="37"/>
      <c r="BP127" s="37"/>
      <c r="BQ127" s="37"/>
      <c r="BR127" s="37"/>
      <c r="BS127" s="37"/>
      <c r="BT127" s="37"/>
      <c r="BU127" s="37"/>
      <c r="BV127" s="37"/>
      <c r="BW127" s="37"/>
      <c r="BX127" s="37"/>
      <c r="BY127" s="37"/>
      <c r="BZ127" s="37"/>
      <c r="CA127" s="37"/>
      <c r="CB127" s="37"/>
      <c r="CC127" s="37"/>
      <c r="CD127" s="37"/>
      <c r="CE127" s="37"/>
      <c r="CF127" s="37"/>
      <c r="CG127" s="37"/>
      <c r="CH127" s="37"/>
      <c r="CI127" s="37"/>
      <c r="CJ127" s="37"/>
      <c r="CK127" s="37"/>
      <c r="CL127" s="37"/>
      <c r="CM127" s="37"/>
      <c r="CN127" s="37"/>
      <c r="CO127" s="37"/>
      <c r="CP127" s="37"/>
      <c r="CQ127" s="37"/>
      <c r="CR127" s="37"/>
      <c r="CS127" s="37"/>
      <c r="CT127" s="37"/>
      <c r="CU127" s="37"/>
      <c r="CV127" s="37"/>
      <c r="CW127" s="37"/>
      <c r="CX127" s="37"/>
      <c r="CY127" s="37"/>
      <c r="CZ127" s="37"/>
      <c r="DA127" s="37"/>
      <c r="DB127" s="37"/>
      <c r="DC127" s="37"/>
      <c r="DD127" s="37"/>
      <c r="DE127" s="37"/>
      <c r="DF127" s="37"/>
      <c r="DG127" s="37"/>
      <c r="DH127" s="37"/>
      <c r="DI127" s="37"/>
      <c r="DJ127" s="37"/>
      <c r="DK127" s="37"/>
      <c r="DL127" s="37"/>
      <c r="DM127" s="37"/>
      <c r="DN127" s="37"/>
      <c r="DO127" s="37"/>
      <c r="DP127" s="37"/>
      <c r="DQ127" s="37"/>
      <c r="DR127" s="37"/>
      <c r="DS127" s="37"/>
      <c r="DT127" s="37"/>
      <c r="DU127" s="37"/>
      <c r="DV127" s="37"/>
      <c r="DW127" s="37"/>
      <c r="DX127" s="37"/>
      <c r="DY127" s="37"/>
      <c r="DZ127" s="37"/>
      <c r="EA127" s="37"/>
      <c r="EB127" s="37"/>
      <c r="EC127" s="37"/>
      <c r="ED127" s="37"/>
      <c r="EE127" s="37"/>
      <c r="EF127" s="37"/>
      <c r="EG127" s="37"/>
      <c r="EH127" s="37"/>
      <c r="EI127" s="37"/>
      <c r="EJ127" s="37"/>
      <c r="EK127" s="37"/>
      <c r="EL127" s="37"/>
      <c r="EM127" s="37"/>
      <c r="EN127" s="37"/>
      <c r="EO127" s="37"/>
      <c r="EP127" s="37"/>
      <c r="EQ127" s="37"/>
      <c r="ER127" s="37"/>
      <c r="ES127" s="37"/>
      <c r="ET127" s="37"/>
      <c r="EU127" s="37"/>
      <c r="EV127" s="37"/>
      <c r="EW127" s="37"/>
      <c r="EX127" s="37"/>
      <c r="EY127" s="37"/>
      <c r="EZ127" s="37"/>
      <c r="FA127" s="37"/>
      <c r="FB127" s="37"/>
      <c r="FC127" s="37"/>
      <c r="FD127" s="37"/>
      <c r="FE127" s="37"/>
      <c r="FF127" s="37"/>
      <c r="FG127" s="37"/>
      <c r="FH127" s="37"/>
      <c r="FI127" s="37"/>
      <c r="FJ127" s="37"/>
      <c r="FK127" s="37"/>
      <c r="FL127" s="37"/>
      <c r="FM127" s="37"/>
      <c r="FN127" s="37"/>
      <c r="FO127" s="37"/>
      <c r="FP127" s="37"/>
      <c r="FQ127" s="37"/>
      <c r="FR127" s="37"/>
      <c r="FS127" s="37"/>
      <c r="FT127" s="37"/>
      <c r="FU127" s="37"/>
      <c r="FV127" s="37"/>
      <c r="FW127" s="37"/>
      <c r="FX127" s="37"/>
      <c r="FY127" s="37"/>
      <c r="FZ127" s="37"/>
      <c r="GA127" s="37"/>
      <c r="GB127" s="37"/>
      <c r="GC127" s="37"/>
      <c r="GD127" s="37"/>
      <c r="GE127" s="37"/>
      <c r="GF127" s="37"/>
      <c r="GG127" s="37"/>
      <c r="GH127" s="37"/>
      <c r="GI127" s="37"/>
      <c r="GJ127" s="37"/>
      <c r="GK127" s="37"/>
      <c r="GL127" s="37"/>
      <c r="GM127" s="37"/>
      <c r="GN127" s="37"/>
      <c r="GO127" s="37"/>
      <c r="GP127" s="37"/>
      <c r="GQ127" s="37"/>
      <c r="GR127" s="37"/>
      <c r="GS127" s="37"/>
      <c r="GT127" s="37"/>
      <c r="GU127" s="37"/>
      <c r="GV127" s="37"/>
      <c r="GW127" s="37"/>
      <c r="GX127" s="37"/>
      <c r="GY127" s="37"/>
      <c r="GZ127" s="37"/>
      <c r="HA127" s="37"/>
      <c r="HB127" s="37"/>
      <c r="HC127" s="37"/>
      <c r="HD127" s="37"/>
      <c r="HE127" s="37"/>
      <c r="HF127" s="37"/>
      <c r="HG127" s="37"/>
      <c r="HH127" s="37"/>
      <c r="HI127" s="37"/>
      <c r="HJ127" s="37"/>
      <c r="HK127" s="37"/>
      <c r="HL127" s="37"/>
      <c r="HM127" s="37"/>
      <c r="HN127" s="37"/>
      <c r="HO127" s="37"/>
      <c r="HP127" s="37"/>
      <c r="HQ127" s="37"/>
      <c r="HR127" s="37"/>
      <c r="HS127" s="37"/>
      <c r="HT127" s="37"/>
      <c r="HU127" s="37"/>
      <c r="HV127" s="37"/>
      <c r="HW127" s="37"/>
      <c r="HX127" s="37"/>
      <c r="HY127" s="37"/>
      <c r="HZ127" s="37"/>
      <c r="IA127" s="37"/>
      <c r="IB127" s="37"/>
      <c r="IC127" s="37"/>
    </row>
    <row r="128" spans="1:237" s="40" customFormat="1" x14ac:dyDescent="0.2">
      <c r="A128" s="62"/>
      <c r="B128" s="63"/>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BZ128" s="37"/>
      <c r="CA128" s="37"/>
      <c r="CB128" s="37"/>
      <c r="CC128" s="37"/>
      <c r="CD128" s="37"/>
      <c r="CE128" s="37"/>
      <c r="CF128" s="37"/>
      <c r="CG128" s="37"/>
      <c r="CH128" s="37"/>
      <c r="CI128" s="37"/>
      <c r="CJ128" s="37"/>
      <c r="CK128" s="37"/>
      <c r="CL128" s="37"/>
      <c r="CM128" s="37"/>
      <c r="CN128" s="37"/>
      <c r="CO128" s="37"/>
      <c r="CP128" s="37"/>
      <c r="CQ128" s="37"/>
      <c r="CR128" s="37"/>
      <c r="CS128" s="37"/>
      <c r="CT128" s="37"/>
      <c r="CU128" s="37"/>
      <c r="CV128" s="37"/>
      <c r="CW128" s="37"/>
      <c r="CX128" s="37"/>
      <c r="CY128" s="37"/>
      <c r="CZ128" s="37"/>
      <c r="DA128" s="37"/>
      <c r="DB128" s="37"/>
      <c r="DC128" s="37"/>
      <c r="DD128" s="37"/>
      <c r="DE128" s="37"/>
      <c r="DF128" s="37"/>
      <c r="DG128" s="37"/>
      <c r="DH128" s="37"/>
      <c r="DI128" s="37"/>
      <c r="DJ128" s="37"/>
      <c r="DK128" s="37"/>
      <c r="DL128" s="37"/>
      <c r="DM128" s="37"/>
      <c r="DN128" s="37"/>
      <c r="DO128" s="37"/>
      <c r="DP128" s="37"/>
      <c r="DQ128" s="37"/>
      <c r="DR128" s="37"/>
      <c r="DS128" s="37"/>
      <c r="DT128" s="37"/>
      <c r="DU128" s="37"/>
      <c r="DV128" s="37"/>
      <c r="DW128" s="37"/>
      <c r="DX128" s="37"/>
      <c r="DY128" s="37"/>
      <c r="DZ128" s="37"/>
      <c r="EA128" s="37"/>
      <c r="EB128" s="37"/>
      <c r="EC128" s="37"/>
      <c r="ED128" s="37"/>
      <c r="EE128" s="37"/>
      <c r="EF128" s="37"/>
      <c r="EG128" s="37"/>
      <c r="EH128" s="37"/>
      <c r="EI128" s="37"/>
      <c r="EJ128" s="37"/>
      <c r="EK128" s="37"/>
      <c r="EL128" s="37"/>
      <c r="EM128" s="37"/>
      <c r="EN128" s="37"/>
      <c r="EO128" s="37"/>
      <c r="EP128" s="37"/>
      <c r="EQ128" s="37"/>
      <c r="ER128" s="37"/>
      <c r="ES128" s="37"/>
      <c r="ET128" s="37"/>
      <c r="EU128" s="37"/>
      <c r="EV128" s="37"/>
      <c r="EW128" s="37"/>
      <c r="EX128" s="37"/>
      <c r="EY128" s="37"/>
      <c r="EZ128" s="37"/>
      <c r="FA128" s="37"/>
      <c r="FB128" s="37"/>
      <c r="FC128" s="37"/>
      <c r="FD128" s="37"/>
      <c r="FE128" s="37"/>
      <c r="FF128" s="37"/>
      <c r="FG128" s="37"/>
      <c r="FH128" s="37"/>
      <c r="FI128" s="37"/>
      <c r="FJ128" s="37"/>
      <c r="FK128" s="37"/>
      <c r="FL128" s="37"/>
      <c r="FM128" s="37"/>
      <c r="FN128" s="37"/>
      <c r="FO128" s="37"/>
      <c r="FP128" s="37"/>
      <c r="FQ128" s="37"/>
      <c r="FR128" s="37"/>
      <c r="FS128" s="37"/>
      <c r="FT128" s="37"/>
      <c r="FU128" s="37"/>
      <c r="FV128" s="37"/>
      <c r="FW128" s="37"/>
      <c r="FX128" s="37"/>
      <c r="FY128" s="37"/>
      <c r="FZ128" s="37"/>
      <c r="GA128" s="37"/>
      <c r="GB128" s="37"/>
      <c r="GC128" s="37"/>
      <c r="GD128" s="37"/>
      <c r="GE128" s="37"/>
      <c r="GF128" s="37"/>
      <c r="GG128" s="37"/>
      <c r="GH128" s="37"/>
      <c r="GI128" s="37"/>
      <c r="GJ128" s="37"/>
      <c r="GK128" s="37"/>
      <c r="GL128" s="37"/>
      <c r="GM128" s="37"/>
      <c r="GN128" s="37"/>
      <c r="GO128" s="37"/>
      <c r="GP128" s="37"/>
      <c r="GQ128" s="37"/>
      <c r="GR128" s="37"/>
      <c r="GS128" s="37"/>
      <c r="GT128" s="37"/>
      <c r="GU128" s="37"/>
      <c r="GV128" s="37"/>
      <c r="GW128" s="37"/>
      <c r="GX128" s="37"/>
      <c r="GY128" s="37"/>
      <c r="GZ128" s="37"/>
      <c r="HA128" s="37"/>
      <c r="HB128" s="37"/>
      <c r="HC128" s="37"/>
      <c r="HD128" s="37"/>
      <c r="HE128" s="37"/>
      <c r="HF128" s="37"/>
      <c r="HG128" s="37"/>
      <c r="HH128" s="37"/>
      <c r="HI128" s="37"/>
      <c r="HJ128" s="37"/>
      <c r="HK128" s="37"/>
      <c r="HL128" s="37"/>
      <c r="HM128" s="37"/>
      <c r="HN128" s="37"/>
      <c r="HO128" s="37"/>
      <c r="HP128" s="37"/>
      <c r="HQ128" s="37"/>
      <c r="HR128" s="37"/>
      <c r="HS128" s="37"/>
      <c r="HT128" s="37"/>
      <c r="HU128" s="37"/>
      <c r="HV128" s="37"/>
      <c r="HW128" s="37"/>
      <c r="HX128" s="37"/>
      <c r="HY128" s="37"/>
      <c r="HZ128" s="37"/>
      <c r="IA128" s="37"/>
      <c r="IB128" s="37"/>
      <c r="IC128" s="37"/>
    </row>
    <row r="129" spans="1:237" s="40" customFormat="1" x14ac:dyDescent="0.2">
      <c r="A129" s="62"/>
      <c r="B129" s="63"/>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c r="BC129" s="37"/>
      <c r="BD129" s="37"/>
      <c r="BE129" s="37"/>
      <c r="BF129" s="37"/>
      <c r="BG129" s="37"/>
      <c r="BH129" s="37"/>
      <c r="BI129" s="37"/>
      <c r="BJ129" s="37"/>
      <c r="BK129" s="37"/>
      <c r="BL129" s="37"/>
      <c r="BM129" s="37"/>
      <c r="BN129" s="37"/>
      <c r="BO129" s="37"/>
      <c r="BP129" s="37"/>
      <c r="BQ129" s="37"/>
      <c r="BR129" s="37"/>
      <c r="BS129" s="37"/>
      <c r="BT129" s="37"/>
      <c r="BU129" s="37"/>
      <c r="BV129" s="37"/>
      <c r="BW129" s="37"/>
      <c r="BX129" s="37"/>
      <c r="BY129" s="37"/>
      <c r="BZ129" s="37"/>
      <c r="CA129" s="37"/>
      <c r="CB129" s="37"/>
      <c r="CC129" s="37"/>
      <c r="CD129" s="37"/>
      <c r="CE129" s="37"/>
      <c r="CF129" s="37"/>
      <c r="CG129" s="37"/>
      <c r="CH129" s="37"/>
      <c r="CI129" s="37"/>
      <c r="CJ129" s="37"/>
      <c r="CK129" s="37"/>
      <c r="CL129" s="37"/>
      <c r="CM129" s="37"/>
      <c r="CN129" s="37"/>
      <c r="CO129" s="37"/>
      <c r="CP129" s="37"/>
      <c r="CQ129" s="37"/>
      <c r="CR129" s="37"/>
      <c r="CS129" s="37"/>
      <c r="CT129" s="37"/>
      <c r="CU129" s="37"/>
      <c r="CV129" s="37"/>
      <c r="CW129" s="37"/>
      <c r="CX129" s="37"/>
      <c r="CY129" s="37"/>
      <c r="CZ129" s="37"/>
      <c r="DA129" s="37"/>
      <c r="DB129" s="37"/>
      <c r="DC129" s="37"/>
      <c r="DD129" s="37"/>
      <c r="DE129" s="37"/>
      <c r="DF129" s="37"/>
      <c r="DG129" s="37"/>
      <c r="DH129" s="37"/>
      <c r="DI129" s="37"/>
      <c r="DJ129" s="37"/>
      <c r="DK129" s="37"/>
      <c r="DL129" s="37"/>
      <c r="DM129" s="37"/>
      <c r="DN129" s="37"/>
      <c r="DO129" s="37"/>
      <c r="DP129" s="37"/>
      <c r="DQ129" s="37"/>
      <c r="DR129" s="37"/>
      <c r="DS129" s="37"/>
      <c r="DT129" s="37"/>
      <c r="DU129" s="37"/>
      <c r="DV129" s="37"/>
      <c r="DW129" s="37"/>
      <c r="DX129" s="37"/>
      <c r="DY129" s="37"/>
      <c r="DZ129" s="37"/>
      <c r="EA129" s="37"/>
      <c r="EB129" s="37"/>
      <c r="EC129" s="37"/>
      <c r="ED129" s="37"/>
      <c r="EE129" s="37"/>
      <c r="EF129" s="37"/>
      <c r="EG129" s="37"/>
      <c r="EH129" s="37"/>
      <c r="EI129" s="37"/>
      <c r="EJ129" s="37"/>
      <c r="EK129" s="37"/>
      <c r="EL129" s="37"/>
      <c r="EM129" s="37"/>
      <c r="EN129" s="37"/>
      <c r="EO129" s="37"/>
      <c r="EP129" s="37"/>
      <c r="EQ129" s="37"/>
      <c r="ER129" s="37"/>
      <c r="ES129" s="37"/>
      <c r="ET129" s="37"/>
      <c r="EU129" s="37"/>
      <c r="EV129" s="37"/>
      <c r="EW129" s="37"/>
      <c r="EX129" s="37"/>
      <c r="EY129" s="37"/>
      <c r="EZ129" s="37"/>
      <c r="FA129" s="37"/>
      <c r="FB129" s="37"/>
      <c r="FC129" s="37"/>
      <c r="FD129" s="37"/>
      <c r="FE129" s="37"/>
      <c r="FF129" s="37"/>
      <c r="FG129" s="37"/>
      <c r="FH129" s="37"/>
      <c r="FI129" s="37"/>
      <c r="FJ129" s="37"/>
      <c r="FK129" s="37"/>
      <c r="FL129" s="37"/>
      <c r="FM129" s="37"/>
      <c r="FN129" s="37"/>
      <c r="FO129" s="37"/>
      <c r="FP129" s="37"/>
      <c r="FQ129" s="37"/>
      <c r="FR129" s="37"/>
      <c r="FS129" s="37"/>
      <c r="FT129" s="37"/>
      <c r="FU129" s="37"/>
      <c r="FV129" s="37"/>
      <c r="FW129" s="37"/>
      <c r="FX129" s="37"/>
      <c r="FY129" s="37"/>
      <c r="FZ129" s="37"/>
      <c r="GA129" s="37"/>
      <c r="GB129" s="37"/>
      <c r="GC129" s="37"/>
      <c r="GD129" s="37"/>
      <c r="GE129" s="37"/>
      <c r="GF129" s="37"/>
      <c r="GG129" s="37"/>
      <c r="GH129" s="37"/>
      <c r="GI129" s="37"/>
      <c r="GJ129" s="37"/>
      <c r="GK129" s="37"/>
      <c r="GL129" s="37"/>
      <c r="GM129" s="37"/>
      <c r="GN129" s="37"/>
      <c r="GO129" s="37"/>
      <c r="GP129" s="37"/>
      <c r="GQ129" s="37"/>
      <c r="GR129" s="37"/>
      <c r="GS129" s="37"/>
      <c r="GT129" s="37"/>
      <c r="GU129" s="37"/>
      <c r="GV129" s="37"/>
      <c r="GW129" s="37"/>
      <c r="GX129" s="37"/>
      <c r="GY129" s="37"/>
      <c r="GZ129" s="37"/>
      <c r="HA129" s="37"/>
      <c r="HB129" s="37"/>
      <c r="HC129" s="37"/>
      <c r="HD129" s="37"/>
      <c r="HE129" s="37"/>
      <c r="HF129" s="37"/>
      <c r="HG129" s="37"/>
      <c r="HH129" s="37"/>
      <c r="HI129" s="37"/>
      <c r="HJ129" s="37"/>
      <c r="HK129" s="37"/>
      <c r="HL129" s="37"/>
      <c r="HM129" s="37"/>
      <c r="HN129" s="37"/>
      <c r="HO129" s="37"/>
      <c r="HP129" s="37"/>
      <c r="HQ129" s="37"/>
      <c r="HR129" s="37"/>
      <c r="HS129" s="37"/>
      <c r="HT129" s="37"/>
      <c r="HU129" s="37"/>
      <c r="HV129" s="37"/>
      <c r="HW129" s="37"/>
      <c r="HX129" s="37"/>
      <c r="HY129" s="37"/>
      <c r="HZ129" s="37"/>
      <c r="IA129" s="37"/>
      <c r="IB129" s="37"/>
      <c r="IC129" s="37"/>
    </row>
    <row r="130" spans="1:237" s="40" customFormat="1" x14ac:dyDescent="0.2">
      <c r="A130" s="62"/>
      <c r="B130" s="63"/>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37"/>
      <c r="BI130" s="37"/>
      <c r="BJ130" s="37"/>
      <c r="BK130" s="37"/>
      <c r="BL130" s="37"/>
      <c r="BM130" s="37"/>
      <c r="BN130" s="37"/>
      <c r="BO130" s="37"/>
      <c r="BP130" s="37"/>
      <c r="BQ130" s="37"/>
      <c r="BR130" s="37"/>
      <c r="BS130" s="37"/>
      <c r="BT130" s="37"/>
      <c r="BU130" s="37"/>
      <c r="BV130" s="37"/>
      <c r="BW130" s="37"/>
      <c r="BX130" s="37"/>
      <c r="BY130" s="37"/>
      <c r="BZ130" s="37"/>
      <c r="CA130" s="37"/>
      <c r="CB130" s="37"/>
      <c r="CC130" s="37"/>
      <c r="CD130" s="37"/>
      <c r="CE130" s="37"/>
      <c r="CF130" s="37"/>
      <c r="CG130" s="37"/>
      <c r="CH130" s="37"/>
      <c r="CI130" s="37"/>
      <c r="CJ130" s="37"/>
      <c r="CK130" s="37"/>
      <c r="CL130" s="37"/>
      <c r="CM130" s="37"/>
      <c r="CN130" s="37"/>
      <c r="CO130" s="37"/>
      <c r="CP130" s="37"/>
      <c r="CQ130" s="37"/>
      <c r="CR130" s="37"/>
      <c r="CS130" s="37"/>
      <c r="CT130" s="37"/>
      <c r="CU130" s="37"/>
      <c r="CV130" s="37"/>
      <c r="CW130" s="37"/>
      <c r="CX130" s="37"/>
      <c r="CY130" s="37"/>
      <c r="CZ130" s="37"/>
      <c r="DA130" s="37"/>
      <c r="DB130" s="37"/>
      <c r="DC130" s="37"/>
      <c r="DD130" s="37"/>
      <c r="DE130" s="37"/>
      <c r="DF130" s="37"/>
      <c r="DG130" s="37"/>
      <c r="DH130" s="37"/>
      <c r="DI130" s="37"/>
      <c r="DJ130" s="37"/>
      <c r="DK130" s="37"/>
      <c r="DL130" s="37"/>
      <c r="DM130" s="37"/>
      <c r="DN130" s="37"/>
      <c r="DO130" s="37"/>
      <c r="DP130" s="37"/>
      <c r="DQ130" s="37"/>
      <c r="DR130" s="37"/>
      <c r="DS130" s="37"/>
      <c r="DT130" s="37"/>
      <c r="DU130" s="37"/>
      <c r="DV130" s="37"/>
      <c r="DW130" s="37"/>
      <c r="DX130" s="37"/>
      <c r="DY130" s="37"/>
      <c r="DZ130" s="37"/>
      <c r="EA130" s="37"/>
      <c r="EB130" s="37"/>
      <c r="EC130" s="37"/>
      <c r="ED130" s="37"/>
      <c r="EE130" s="37"/>
      <c r="EF130" s="37"/>
      <c r="EG130" s="37"/>
      <c r="EH130" s="37"/>
      <c r="EI130" s="37"/>
      <c r="EJ130" s="37"/>
      <c r="EK130" s="37"/>
      <c r="EL130" s="37"/>
      <c r="EM130" s="37"/>
      <c r="EN130" s="37"/>
      <c r="EO130" s="37"/>
      <c r="EP130" s="37"/>
      <c r="EQ130" s="37"/>
      <c r="ER130" s="37"/>
      <c r="ES130" s="37"/>
      <c r="ET130" s="37"/>
      <c r="EU130" s="37"/>
      <c r="EV130" s="37"/>
      <c r="EW130" s="37"/>
      <c r="EX130" s="37"/>
      <c r="EY130" s="37"/>
      <c r="EZ130" s="37"/>
      <c r="FA130" s="37"/>
      <c r="FB130" s="37"/>
      <c r="FC130" s="37"/>
      <c r="FD130" s="37"/>
      <c r="FE130" s="37"/>
      <c r="FF130" s="37"/>
      <c r="FG130" s="37"/>
      <c r="FH130" s="37"/>
      <c r="FI130" s="37"/>
      <c r="FJ130" s="37"/>
      <c r="FK130" s="37"/>
      <c r="FL130" s="37"/>
      <c r="FM130" s="37"/>
      <c r="FN130" s="37"/>
      <c r="FO130" s="37"/>
      <c r="FP130" s="37"/>
      <c r="FQ130" s="37"/>
      <c r="FR130" s="37"/>
      <c r="FS130" s="37"/>
      <c r="FT130" s="37"/>
      <c r="FU130" s="37"/>
      <c r="FV130" s="37"/>
      <c r="FW130" s="37"/>
      <c r="FX130" s="37"/>
      <c r="FY130" s="37"/>
      <c r="FZ130" s="37"/>
      <c r="GA130" s="37"/>
      <c r="GB130" s="37"/>
      <c r="GC130" s="37"/>
      <c r="GD130" s="37"/>
      <c r="GE130" s="37"/>
      <c r="GF130" s="37"/>
      <c r="GG130" s="37"/>
      <c r="GH130" s="37"/>
      <c r="GI130" s="37"/>
      <c r="GJ130" s="37"/>
      <c r="GK130" s="37"/>
      <c r="GL130" s="37"/>
      <c r="GM130" s="37"/>
      <c r="GN130" s="37"/>
      <c r="GO130" s="37"/>
      <c r="GP130" s="37"/>
      <c r="GQ130" s="37"/>
      <c r="GR130" s="37"/>
      <c r="GS130" s="37"/>
      <c r="GT130" s="37"/>
      <c r="GU130" s="37"/>
      <c r="GV130" s="37"/>
      <c r="GW130" s="37"/>
      <c r="GX130" s="37"/>
      <c r="GY130" s="37"/>
      <c r="GZ130" s="37"/>
      <c r="HA130" s="37"/>
      <c r="HB130" s="37"/>
      <c r="HC130" s="37"/>
      <c r="HD130" s="37"/>
      <c r="HE130" s="37"/>
      <c r="HF130" s="37"/>
      <c r="HG130" s="37"/>
      <c r="HH130" s="37"/>
      <c r="HI130" s="37"/>
      <c r="HJ130" s="37"/>
      <c r="HK130" s="37"/>
      <c r="HL130" s="37"/>
      <c r="HM130" s="37"/>
      <c r="HN130" s="37"/>
      <c r="HO130" s="37"/>
      <c r="HP130" s="37"/>
      <c r="HQ130" s="37"/>
      <c r="HR130" s="37"/>
      <c r="HS130" s="37"/>
      <c r="HT130" s="37"/>
      <c r="HU130" s="37"/>
      <c r="HV130" s="37"/>
      <c r="HW130" s="37"/>
      <c r="HX130" s="37"/>
      <c r="HY130" s="37"/>
      <c r="HZ130" s="37"/>
      <c r="IA130" s="37"/>
      <c r="IB130" s="37"/>
      <c r="IC130" s="37"/>
    </row>
    <row r="131" spans="1:237" s="40" customFormat="1" x14ac:dyDescent="0.2">
      <c r="A131" s="62"/>
      <c r="B131" s="63"/>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BZ131" s="37"/>
      <c r="CA131" s="37"/>
      <c r="CB131" s="37"/>
      <c r="CC131" s="37"/>
      <c r="CD131" s="37"/>
      <c r="CE131" s="37"/>
      <c r="CF131" s="37"/>
      <c r="CG131" s="37"/>
      <c r="CH131" s="37"/>
      <c r="CI131" s="37"/>
      <c r="CJ131" s="37"/>
      <c r="CK131" s="37"/>
      <c r="CL131" s="37"/>
      <c r="CM131" s="37"/>
      <c r="CN131" s="37"/>
      <c r="CO131" s="37"/>
      <c r="CP131" s="37"/>
      <c r="CQ131" s="37"/>
      <c r="CR131" s="37"/>
      <c r="CS131" s="37"/>
      <c r="CT131" s="37"/>
      <c r="CU131" s="37"/>
      <c r="CV131" s="37"/>
      <c r="CW131" s="37"/>
      <c r="CX131" s="37"/>
      <c r="CY131" s="37"/>
      <c r="CZ131" s="37"/>
      <c r="DA131" s="37"/>
      <c r="DB131" s="37"/>
      <c r="DC131" s="37"/>
      <c r="DD131" s="37"/>
      <c r="DE131" s="37"/>
      <c r="DF131" s="37"/>
      <c r="DG131" s="37"/>
      <c r="DH131" s="37"/>
      <c r="DI131" s="37"/>
      <c r="DJ131" s="37"/>
      <c r="DK131" s="37"/>
      <c r="DL131" s="37"/>
      <c r="DM131" s="37"/>
      <c r="DN131" s="37"/>
      <c r="DO131" s="37"/>
      <c r="DP131" s="37"/>
      <c r="DQ131" s="37"/>
      <c r="DR131" s="37"/>
      <c r="DS131" s="37"/>
      <c r="DT131" s="37"/>
      <c r="DU131" s="37"/>
      <c r="DV131" s="37"/>
      <c r="DW131" s="37"/>
      <c r="DX131" s="37"/>
      <c r="DY131" s="37"/>
      <c r="DZ131" s="37"/>
      <c r="EA131" s="37"/>
      <c r="EB131" s="37"/>
      <c r="EC131" s="37"/>
      <c r="ED131" s="37"/>
      <c r="EE131" s="37"/>
      <c r="EF131" s="37"/>
      <c r="EG131" s="37"/>
      <c r="EH131" s="37"/>
      <c r="EI131" s="37"/>
      <c r="EJ131" s="37"/>
      <c r="EK131" s="37"/>
      <c r="EL131" s="37"/>
      <c r="EM131" s="37"/>
      <c r="EN131" s="37"/>
      <c r="EO131" s="37"/>
      <c r="EP131" s="37"/>
      <c r="EQ131" s="37"/>
      <c r="ER131" s="37"/>
      <c r="ES131" s="37"/>
      <c r="ET131" s="37"/>
      <c r="EU131" s="37"/>
      <c r="EV131" s="37"/>
      <c r="EW131" s="37"/>
      <c r="EX131" s="37"/>
      <c r="EY131" s="37"/>
      <c r="EZ131" s="37"/>
      <c r="FA131" s="37"/>
      <c r="FB131" s="37"/>
      <c r="FC131" s="37"/>
      <c r="FD131" s="37"/>
      <c r="FE131" s="37"/>
      <c r="FF131" s="37"/>
      <c r="FG131" s="37"/>
      <c r="FH131" s="37"/>
      <c r="FI131" s="37"/>
      <c r="FJ131" s="37"/>
      <c r="FK131" s="37"/>
      <c r="FL131" s="37"/>
      <c r="FM131" s="37"/>
      <c r="FN131" s="37"/>
      <c r="FO131" s="37"/>
      <c r="FP131" s="37"/>
      <c r="FQ131" s="37"/>
      <c r="FR131" s="37"/>
      <c r="FS131" s="37"/>
      <c r="FT131" s="37"/>
      <c r="FU131" s="37"/>
      <c r="FV131" s="37"/>
      <c r="FW131" s="37"/>
      <c r="FX131" s="37"/>
      <c r="FY131" s="37"/>
      <c r="FZ131" s="37"/>
      <c r="GA131" s="37"/>
      <c r="GB131" s="37"/>
      <c r="GC131" s="37"/>
      <c r="GD131" s="37"/>
      <c r="GE131" s="37"/>
      <c r="GF131" s="37"/>
      <c r="GG131" s="37"/>
      <c r="GH131" s="37"/>
      <c r="GI131" s="37"/>
      <c r="GJ131" s="37"/>
      <c r="GK131" s="37"/>
      <c r="GL131" s="37"/>
      <c r="GM131" s="37"/>
      <c r="GN131" s="37"/>
      <c r="GO131" s="37"/>
      <c r="GP131" s="37"/>
      <c r="GQ131" s="37"/>
      <c r="GR131" s="37"/>
      <c r="GS131" s="37"/>
      <c r="GT131" s="37"/>
      <c r="GU131" s="37"/>
      <c r="GV131" s="37"/>
      <c r="GW131" s="37"/>
      <c r="GX131" s="37"/>
      <c r="GY131" s="37"/>
      <c r="GZ131" s="37"/>
      <c r="HA131" s="37"/>
      <c r="HB131" s="37"/>
      <c r="HC131" s="37"/>
      <c r="HD131" s="37"/>
      <c r="HE131" s="37"/>
      <c r="HF131" s="37"/>
      <c r="HG131" s="37"/>
      <c r="HH131" s="37"/>
      <c r="HI131" s="37"/>
      <c r="HJ131" s="37"/>
      <c r="HK131" s="37"/>
      <c r="HL131" s="37"/>
      <c r="HM131" s="37"/>
      <c r="HN131" s="37"/>
      <c r="HO131" s="37"/>
      <c r="HP131" s="37"/>
      <c r="HQ131" s="37"/>
      <c r="HR131" s="37"/>
      <c r="HS131" s="37"/>
      <c r="HT131" s="37"/>
      <c r="HU131" s="37"/>
      <c r="HV131" s="37"/>
      <c r="HW131" s="37"/>
      <c r="HX131" s="37"/>
      <c r="HY131" s="37"/>
      <c r="HZ131" s="37"/>
      <c r="IA131" s="37"/>
      <c r="IB131" s="37"/>
      <c r="IC131" s="37"/>
    </row>
    <row r="132" spans="1:237" s="40" customFormat="1" x14ac:dyDescent="0.2">
      <c r="A132" s="62"/>
      <c r="B132" s="63"/>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BZ132" s="37"/>
      <c r="CA132" s="37"/>
      <c r="CB132" s="37"/>
      <c r="CC132" s="37"/>
      <c r="CD132" s="37"/>
      <c r="CE132" s="37"/>
      <c r="CF132" s="37"/>
      <c r="CG132" s="37"/>
      <c r="CH132" s="37"/>
      <c r="CI132" s="37"/>
      <c r="CJ132" s="37"/>
      <c r="CK132" s="37"/>
      <c r="CL132" s="37"/>
      <c r="CM132" s="37"/>
      <c r="CN132" s="37"/>
      <c r="CO132" s="37"/>
      <c r="CP132" s="37"/>
      <c r="CQ132" s="37"/>
      <c r="CR132" s="37"/>
      <c r="CS132" s="37"/>
      <c r="CT132" s="37"/>
      <c r="CU132" s="37"/>
      <c r="CV132" s="37"/>
      <c r="CW132" s="37"/>
      <c r="CX132" s="37"/>
      <c r="CY132" s="37"/>
      <c r="CZ132" s="37"/>
      <c r="DA132" s="37"/>
      <c r="DB132" s="37"/>
      <c r="DC132" s="37"/>
      <c r="DD132" s="37"/>
      <c r="DE132" s="37"/>
      <c r="DF132" s="37"/>
      <c r="DG132" s="37"/>
      <c r="DH132" s="37"/>
      <c r="DI132" s="37"/>
      <c r="DJ132" s="37"/>
      <c r="DK132" s="37"/>
      <c r="DL132" s="37"/>
      <c r="DM132" s="37"/>
      <c r="DN132" s="37"/>
      <c r="DO132" s="37"/>
      <c r="DP132" s="37"/>
      <c r="DQ132" s="37"/>
      <c r="DR132" s="37"/>
      <c r="DS132" s="37"/>
      <c r="DT132" s="37"/>
      <c r="DU132" s="37"/>
      <c r="DV132" s="37"/>
      <c r="DW132" s="37"/>
      <c r="DX132" s="37"/>
      <c r="DY132" s="37"/>
      <c r="DZ132" s="37"/>
      <c r="EA132" s="37"/>
      <c r="EB132" s="37"/>
      <c r="EC132" s="37"/>
      <c r="ED132" s="37"/>
      <c r="EE132" s="37"/>
      <c r="EF132" s="37"/>
      <c r="EG132" s="37"/>
      <c r="EH132" s="37"/>
      <c r="EI132" s="37"/>
      <c r="EJ132" s="37"/>
      <c r="EK132" s="37"/>
      <c r="EL132" s="37"/>
      <c r="EM132" s="37"/>
      <c r="EN132" s="37"/>
      <c r="EO132" s="37"/>
      <c r="EP132" s="37"/>
      <c r="EQ132" s="37"/>
      <c r="ER132" s="37"/>
      <c r="ES132" s="37"/>
      <c r="ET132" s="37"/>
      <c r="EU132" s="37"/>
      <c r="EV132" s="37"/>
      <c r="EW132" s="37"/>
      <c r="EX132" s="37"/>
      <c r="EY132" s="37"/>
      <c r="EZ132" s="37"/>
      <c r="FA132" s="37"/>
      <c r="FB132" s="37"/>
      <c r="FC132" s="37"/>
      <c r="FD132" s="37"/>
      <c r="FE132" s="37"/>
      <c r="FF132" s="37"/>
      <c r="FG132" s="37"/>
      <c r="FH132" s="37"/>
      <c r="FI132" s="37"/>
      <c r="FJ132" s="37"/>
      <c r="FK132" s="37"/>
      <c r="FL132" s="37"/>
      <c r="FM132" s="37"/>
      <c r="FN132" s="37"/>
      <c r="FO132" s="37"/>
      <c r="FP132" s="37"/>
      <c r="FQ132" s="37"/>
      <c r="FR132" s="37"/>
      <c r="FS132" s="37"/>
      <c r="FT132" s="37"/>
      <c r="FU132" s="37"/>
      <c r="FV132" s="37"/>
      <c r="FW132" s="37"/>
      <c r="FX132" s="37"/>
      <c r="FY132" s="37"/>
      <c r="FZ132" s="37"/>
      <c r="GA132" s="37"/>
      <c r="GB132" s="37"/>
      <c r="GC132" s="37"/>
      <c r="GD132" s="37"/>
      <c r="GE132" s="37"/>
      <c r="GF132" s="37"/>
      <c r="GG132" s="37"/>
      <c r="GH132" s="37"/>
      <c r="GI132" s="37"/>
      <c r="GJ132" s="37"/>
      <c r="GK132" s="37"/>
      <c r="GL132" s="37"/>
      <c r="GM132" s="37"/>
      <c r="GN132" s="37"/>
      <c r="GO132" s="37"/>
      <c r="GP132" s="37"/>
      <c r="GQ132" s="37"/>
      <c r="GR132" s="37"/>
      <c r="GS132" s="37"/>
      <c r="GT132" s="37"/>
      <c r="GU132" s="37"/>
      <c r="GV132" s="37"/>
      <c r="GW132" s="37"/>
      <c r="GX132" s="37"/>
      <c r="GY132" s="37"/>
      <c r="GZ132" s="37"/>
      <c r="HA132" s="37"/>
      <c r="HB132" s="37"/>
      <c r="HC132" s="37"/>
      <c r="HD132" s="37"/>
      <c r="HE132" s="37"/>
      <c r="HF132" s="37"/>
      <c r="HG132" s="37"/>
      <c r="HH132" s="37"/>
      <c r="HI132" s="37"/>
      <c r="HJ132" s="37"/>
      <c r="HK132" s="37"/>
      <c r="HL132" s="37"/>
      <c r="HM132" s="37"/>
      <c r="HN132" s="37"/>
      <c r="HO132" s="37"/>
      <c r="HP132" s="37"/>
      <c r="HQ132" s="37"/>
      <c r="HR132" s="37"/>
      <c r="HS132" s="37"/>
      <c r="HT132" s="37"/>
      <c r="HU132" s="37"/>
      <c r="HV132" s="37"/>
      <c r="HW132" s="37"/>
      <c r="HX132" s="37"/>
      <c r="HY132" s="37"/>
      <c r="HZ132" s="37"/>
      <c r="IA132" s="37"/>
      <c r="IB132" s="37"/>
      <c r="IC132" s="37"/>
    </row>
    <row r="133" spans="1:237" s="40" customFormat="1" x14ac:dyDescent="0.2">
      <c r="A133" s="62"/>
      <c r="B133" s="63"/>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c r="BC133" s="37"/>
      <c r="BD133" s="37"/>
      <c r="BE133" s="37"/>
      <c r="BF133" s="37"/>
      <c r="BG133" s="37"/>
      <c r="BH133" s="37"/>
      <c r="BI133" s="37"/>
      <c r="BJ133" s="37"/>
      <c r="BK133" s="37"/>
      <c r="BL133" s="37"/>
      <c r="BM133" s="37"/>
      <c r="BN133" s="37"/>
      <c r="BO133" s="37"/>
      <c r="BP133" s="37"/>
      <c r="BQ133" s="37"/>
      <c r="BR133" s="37"/>
      <c r="BS133" s="37"/>
      <c r="BT133" s="37"/>
      <c r="BU133" s="37"/>
      <c r="BV133" s="37"/>
      <c r="BW133" s="37"/>
      <c r="BX133" s="37"/>
      <c r="BY133" s="37"/>
      <c r="BZ133" s="37"/>
      <c r="CA133" s="37"/>
      <c r="CB133" s="37"/>
      <c r="CC133" s="37"/>
      <c r="CD133" s="37"/>
      <c r="CE133" s="37"/>
      <c r="CF133" s="37"/>
      <c r="CG133" s="37"/>
      <c r="CH133" s="37"/>
      <c r="CI133" s="37"/>
      <c r="CJ133" s="37"/>
      <c r="CK133" s="37"/>
      <c r="CL133" s="37"/>
      <c r="CM133" s="37"/>
      <c r="CN133" s="37"/>
      <c r="CO133" s="37"/>
      <c r="CP133" s="37"/>
      <c r="CQ133" s="37"/>
      <c r="CR133" s="37"/>
      <c r="CS133" s="37"/>
      <c r="CT133" s="37"/>
      <c r="CU133" s="37"/>
      <c r="CV133" s="37"/>
      <c r="CW133" s="37"/>
      <c r="CX133" s="37"/>
      <c r="CY133" s="37"/>
      <c r="CZ133" s="37"/>
      <c r="DA133" s="37"/>
      <c r="DB133" s="37"/>
      <c r="DC133" s="37"/>
      <c r="DD133" s="37"/>
      <c r="DE133" s="37"/>
      <c r="DF133" s="37"/>
      <c r="DG133" s="37"/>
      <c r="DH133" s="37"/>
      <c r="DI133" s="37"/>
      <c r="DJ133" s="37"/>
      <c r="DK133" s="37"/>
      <c r="DL133" s="37"/>
      <c r="DM133" s="37"/>
      <c r="DN133" s="37"/>
      <c r="DO133" s="37"/>
      <c r="DP133" s="37"/>
      <c r="DQ133" s="37"/>
      <c r="DR133" s="37"/>
      <c r="DS133" s="37"/>
      <c r="DT133" s="37"/>
      <c r="DU133" s="37"/>
      <c r="DV133" s="37"/>
      <c r="DW133" s="37"/>
      <c r="DX133" s="37"/>
      <c r="DY133" s="37"/>
      <c r="DZ133" s="37"/>
      <c r="EA133" s="37"/>
      <c r="EB133" s="37"/>
      <c r="EC133" s="37"/>
      <c r="ED133" s="37"/>
      <c r="EE133" s="37"/>
      <c r="EF133" s="37"/>
      <c r="EG133" s="37"/>
      <c r="EH133" s="37"/>
      <c r="EI133" s="37"/>
      <c r="EJ133" s="37"/>
      <c r="EK133" s="37"/>
      <c r="EL133" s="37"/>
      <c r="EM133" s="37"/>
      <c r="EN133" s="37"/>
      <c r="EO133" s="37"/>
      <c r="EP133" s="37"/>
      <c r="EQ133" s="37"/>
      <c r="ER133" s="37"/>
      <c r="ES133" s="37"/>
      <c r="ET133" s="37"/>
      <c r="EU133" s="37"/>
      <c r="EV133" s="37"/>
      <c r="EW133" s="37"/>
      <c r="EX133" s="37"/>
      <c r="EY133" s="37"/>
      <c r="EZ133" s="37"/>
      <c r="FA133" s="37"/>
      <c r="FB133" s="37"/>
      <c r="FC133" s="37"/>
      <c r="FD133" s="37"/>
      <c r="FE133" s="37"/>
      <c r="FF133" s="37"/>
      <c r="FG133" s="37"/>
      <c r="FH133" s="37"/>
      <c r="FI133" s="37"/>
      <c r="FJ133" s="37"/>
      <c r="FK133" s="37"/>
      <c r="FL133" s="37"/>
      <c r="FM133" s="37"/>
      <c r="FN133" s="37"/>
      <c r="FO133" s="37"/>
      <c r="FP133" s="37"/>
      <c r="FQ133" s="37"/>
      <c r="FR133" s="37"/>
      <c r="FS133" s="37"/>
      <c r="FT133" s="37"/>
      <c r="FU133" s="37"/>
      <c r="FV133" s="37"/>
      <c r="FW133" s="37"/>
      <c r="FX133" s="37"/>
      <c r="FY133" s="37"/>
      <c r="FZ133" s="37"/>
      <c r="GA133" s="37"/>
      <c r="GB133" s="37"/>
      <c r="GC133" s="37"/>
      <c r="GD133" s="37"/>
      <c r="GE133" s="37"/>
      <c r="GF133" s="37"/>
      <c r="GG133" s="37"/>
      <c r="GH133" s="37"/>
      <c r="GI133" s="37"/>
      <c r="GJ133" s="37"/>
      <c r="GK133" s="37"/>
      <c r="GL133" s="37"/>
      <c r="GM133" s="37"/>
      <c r="GN133" s="37"/>
      <c r="GO133" s="37"/>
      <c r="GP133" s="37"/>
      <c r="GQ133" s="37"/>
      <c r="GR133" s="37"/>
      <c r="GS133" s="37"/>
      <c r="GT133" s="37"/>
      <c r="GU133" s="37"/>
      <c r="GV133" s="37"/>
      <c r="GW133" s="37"/>
      <c r="GX133" s="37"/>
      <c r="GY133" s="37"/>
      <c r="GZ133" s="37"/>
      <c r="HA133" s="37"/>
      <c r="HB133" s="37"/>
      <c r="HC133" s="37"/>
      <c r="HD133" s="37"/>
      <c r="HE133" s="37"/>
      <c r="HF133" s="37"/>
      <c r="HG133" s="37"/>
      <c r="HH133" s="37"/>
      <c r="HI133" s="37"/>
      <c r="HJ133" s="37"/>
      <c r="HK133" s="37"/>
      <c r="HL133" s="37"/>
      <c r="HM133" s="37"/>
      <c r="HN133" s="37"/>
      <c r="HO133" s="37"/>
      <c r="HP133" s="37"/>
      <c r="HQ133" s="37"/>
      <c r="HR133" s="37"/>
      <c r="HS133" s="37"/>
      <c r="HT133" s="37"/>
      <c r="HU133" s="37"/>
      <c r="HV133" s="37"/>
      <c r="HW133" s="37"/>
      <c r="HX133" s="37"/>
      <c r="HY133" s="37"/>
      <c r="HZ133" s="37"/>
      <c r="IA133" s="37"/>
      <c r="IB133" s="37"/>
      <c r="IC133" s="37"/>
    </row>
    <row r="134" spans="1:237" s="40" customFormat="1" x14ac:dyDescent="0.2">
      <c r="A134" s="62"/>
      <c r="B134" s="63"/>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c r="BC134" s="37"/>
      <c r="BD134" s="37"/>
      <c r="BE134" s="37"/>
      <c r="BF134" s="37"/>
      <c r="BG134" s="37"/>
      <c r="BH134" s="37"/>
      <c r="BI134" s="37"/>
      <c r="BJ134" s="37"/>
      <c r="BK134" s="37"/>
      <c r="BL134" s="37"/>
      <c r="BM134" s="37"/>
      <c r="BN134" s="37"/>
      <c r="BO134" s="37"/>
      <c r="BP134" s="37"/>
      <c r="BQ134" s="37"/>
      <c r="BR134" s="37"/>
      <c r="BS134" s="37"/>
      <c r="BT134" s="37"/>
      <c r="BU134" s="37"/>
      <c r="BV134" s="37"/>
      <c r="BW134" s="37"/>
      <c r="BX134" s="37"/>
      <c r="BY134" s="37"/>
      <c r="BZ134" s="37"/>
      <c r="CA134" s="37"/>
      <c r="CB134" s="37"/>
      <c r="CC134" s="37"/>
      <c r="CD134" s="37"/>
      <c r="CE134" s="37"/>
      <c r="CF134" s="37"/>
      <c r="CG134" s="37"/>
      <c r="CH134" s="37"/>
      <c r="CI134" s="37"/>
      <c r="CJ134" s="37"/>
      <c r="CK134" s="37"/>
      <c r="CL134" s="37"/>
      <c r="CM134" s="37"/>
      <c r="CN134" s="37"/>
      <c r="CO134" s="37"/>
      <c r="CP134" s="37"/>
      <c r="CQ134" s="37"/>
      <c r="CR134" s="37"/>
      <c r="CS134" s="37"/>
      <c r="CT134" s="37"/>
      <c r="CU134" s="37"/>
      <c r="CV134" s="37"/>
      <c r="CW134" s="37"/>
      <c r="CX134" s="37"/>
      <c r="CY134" s="37"/>
      <c r="CZ134" s="37"/>
      <c r="DA134" s="37"/>
      <c r="DB134" s="37"/>
      <c r="DC134" s="37"/>
      <c r="DD134" s="37"/>
      <c r="DE134" s="37"/>
      <c r="DF134" s="37"/>
      <c r="DG134" s="37"/>
      <c r="DH134" s="37"/>
      <c r="DI134" s="37"/>
      <c r="DJ134" s="37"/>
      <c r="DK134" s="37"/>
      <c r="DL134" s="37"/>
      <c r="DM134" s="37"/>
      <c r="DN134" s="37"/>
      <c r="DO134" s="37"/>
      <c r="DP134" s="37"/>
      <c r="DQ134" s="37"/>
      <c r="DR134" s="37"/>
      <c r="DS134" s="37"/>
      <c r="DT134" s="37"/>
      <c r="DU134" s="37"/>
      <c r="DV134" s="37"/>
      <c r="DW134" s="37"/>
      <c r="DX134" s="37"/>
      <c r="DY134" s="37"/>
      <c r="DZ134" s="37"/>
      <c r="EA134" s="37"/>
      <c r="EB134" s="37"/>
      <c r="EC134" s="37"/>
      <c r="ED134" s="37"/>
      <c r="EE134" s="37"/>
      <c r="EF134" s="37"/>
      <c r="EG134" s="37"/>
      <c r="EH134" s="37"/>
      <c r="EI134" s="37"/>
      <c r="EJ134" s="37"/>
      <c r="EK134" s="37"/>
      <c r="EL134" s="37"/>
      <c r="EM134" s="37"/>
      <c r="EN134" s="37"/>
      <c r="EO134" s="37"/>
      <c r="EP134" s="37"/>
      <c r="EQ134" s="37"/>
      <c r="ER134" s="37"/>
      <c r="ES134" s="37"/>
      <c r="ET134" s="37"/>
      <c r="EU134" s="37"/>
      <c r="EV134" s="37"/>
      <c r="EW134" s="37"/>
      <c r="EX134" s="37"/>
      <c r="EY134" s="37"/>
      <c r="EZ134" s="37"/>
      <c r="FA134" s="37"/>
      <c r="FB134" s="37"/>
      <c r="FC134" s="37"/>
      <c r="FD134" s="37"/>
      <c r="FE134" s="37"/>
      <c r="FF134" s="37"/>
      <c r="FG134" s="37"/>
      <c r="FH134" s="37"/>
      <c r="FI134" s="37"/>
      <c r="FJ134" s="37"/>
      <c r="FK134" s="37"/>
      <c r="FL134" s="37"/>
      <c r="FM134" s="37"/>
      <c r="FN134" s="37"/>
      <c r="FO134" s="37"/>
      <c r="FP134" s="37"/>
      <c r="FQ134" s="37"/>
      <c r="FR134" s="37"/>
      <c r="FS134" s="37"/>
      <c r="FT134" s="37"/>
      <c r="FU134" s="37"/>
      <c r="FV134" s="37"/>
      <c r="FW134" s="37"/>
      <c r="FX134" s="37"/>
      <c r="FY134" s="37"/>
      <c r="FZ134" s="37"/>
      <c r="GA134" s="37"/>
      <c r="GB134" s="37"/>
      <c r="GC134" s="37"/>
      <c r="GD134" s="37"/>
      <c r="GE134" s="37"/>
      <c r="GF134" s="37"/>
      <c r="GG134" s="37"/>
      <c r="GH134" s="37"/>
      <c r="GI134" s="37"/>
      <c r="GJ134" s="37"/>
      <c r="GK134" s="37"/>
      <c r="GL134" s="37"/>
      <c r="GM134" s="37"/>
      <c r="GN134" s="37"/>
      <c r="GO134" s="37"/>
      <c r="GP134" s="37"/>
      <c r="GQ134" s="37"/>
      <c r="GR134" s="37"/>
      <c r="GS134" s="37"/>
      <c r="GT134" s="37"/>
      <c r="GU134" s="37"/>
      <c r="GV134" s="37"/>
      <c r="GW134" s="37"/>
      <c r="GX134" s="37"/>
      <c r="GY134" s="37"/>
      <c r="GZ134" s="37"/>
      <c r="HA134" s="37"/>
      <c r="HB134" s="37"/>
      <c r="HC134" s="37"/>
      <c r="HD134" s="37"/>
      <c r="HE134" s="37"/>
      <c r="HF134" s="37"/>
      <c r="HG134" s="37"/>
      <c r="HH134" s="37"/>
      <c r="HI134" s="37"/>
      <c r="HJ134" s="37"/>
      <c r="HK134" s="37"/>
      <c r="HL134" s="37"/>
      <c r="HM134" s="37"/>
      <c r="HN134" s="37"/>
      <c r="HO134" s="37"/>
      <c r="HP134" s="37"/>
      <c r="HQ134" s="37"/>
      <c r="HR134" s="37"/>
      <c r="HS134" s="37"/>
      <c r="HT134" s="37"/>
      <c r="HU134" s="37"/>
      <c r="HV134" s="37"/>
      <c r="HW134" s="37"/>
      <c r="HX134" s="37"/>
      <c r="HY134" s="37"/>
      <c r="HZ134" s="37"/>
      <c r="IA134" s="37"/>
      <c r="IB134" s="37"/>
      <c r="IC134" s="37"/>
    </row>
    <row r="135" spans="1:237" s="40" customFormat="1" x14ac:dyDescent="0.2">
      <c r="A135" s="62"/>
      <c r="B135" s="63"/>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c r="BC135" s="37"/>
      <c r="BD135" s="37"/>
      <c r="BE135" s="37"/>
      <c r="BF135" s="37"/>
      <c r="BG135" s="37"/>
      <c r="BH135" s="37"/>
      <c r="BI135" s="37"/>
      <c r="BJ135" s="37"/>
      <c r="BK135" s="37"/>
      <c r="BL135" s="37"/>
      <c r="BM135" s="37"/>
      <c r="BN135" s="37"/>
      <c r="BO135" s="37"/>
      <c r="BP135" s="37"/>
      <c r="BQ135" s="37"/>
      <c r="BR135" s="37"/>
      <c r="BS135" s="37"/>
      <c r="BT135" s="37"/>
      <c r="BU135" s="37"/>
      <c r="BV135" s="37"/>
      <c r="BW135" s="37"/>
      <c r="BX135" s="37"/>
      <c r="BY135" s="37"/>
      <c r="BZ135" s="37"/>
      <c r="CA135" s="37"/>
      <c r="CB135" s="37"/>
      <c r="CC135" s="37"/>
      <c r="CD135" s="37"/>
      <c r="CE135" s="37"/>
      <c r="CF135" s="37"/>
      <c r="CG135" s="37"/>
      <c r="CH135" s="37"/>
      <c r="CI135" s="37"/>
      <c r="CJ135" s="37"/>
      <c r="CK135" s="37"/>
      <c r="CL135" s="37"/>
      <c r="CM135" s="37"/>
      <c r="CN135" s="37"/>
      <c r="CO135" s="37"/>
      <c r="CP135" s="37"/>
      <c r="CQ135" s="37"/>
      <c r="CR135" s="37"/>
      <c r="CS135" s="37"/>
      <c r="CT135" s="37"/>
      <c r="CU135" s="37"/>
      <c r="CV135" s="37"/>
      <c r="CW135" s="37"/>
      <c r="CX135" s="37"/>
      <c r="CY135" s="37"/>
      <c r="CZ135" s="37"/>
      <c r="DA135" s="37"/>
      <c r="DB135" s="37"/>
      <c r="DC135" s="37"/>
      <c r="DD135" s="37"/>
      <c r="DE135" s="37"/>
      <c r="DF135" s="37"/>
      <c r="DG135" s="37"/>
      <c r="DH135" s="37"/>
      <c r="DI135" s="37"/>
      <c r="DJ135" s="37"/>
      <c r="DK135" s="37"/>
      <c r="DL135" s="37"/>
      <c r="DM135" s="37"/>
      <c r="DN135" s="37"/>
      <c r="DO135" s="37"/>
      <c r="DP135" s="37"/>
      <c r="DQ135" s="37"/>
      <c r="DR135" s="37"/>
      <c r="DS135" s="37"/>
      <c r="DT135" s="37"/>
      <c r="DU135" s="37"/>
      <c r="DV135" s="37"/>
      <c r="DW135" s="37"/>
      <c r="DX135" s="37"/>
      <c r="DY135" s="37"/>
      <c r="DZ135" s="37"/>
      <c r="EA135" s="37"/>
      <c r="EB135" s="37"/>
      <c r="EC135" s="37"/>
      <c r="ED135" s="37"/>
      <c r="EE135" s="37"/>
      <c r="EF135" s="37"/>
      <c r="EG135" s="37"/>
      <c r="EH135" s="37"/>
      <c r="EI135" s="37"/>
      <c r="EJ135" s="37"/>
      <c r="EK135" s="37"/>
      <c r="EL135" s="37"/>
      <c r="EM135" s="37"/>
      <c r="EN135" s="37"/>
      <c r="EO135" s="37"/>
      <c r="EP135" s="37"/>
      <c r="EQ135" s="37"/>
      <c r="ER135" s="37"/>
      <c r="ES135" s="37"/>
      <c r="ET135" s="37"/>
      <c r="EU135" s="37"/>
      <c r="EV135" s="37"/>
      <c r="EW135" s="37"/>
      <c r="EX135" s="37"/>
      <c r="EY135" s="37"/>
      <c r="EZ135" s="37"/>
      <c r="FA135" s="37"/>
      <c r="FB135" s="37"/>
      <c r="FC135" s="37"/>
      <c r="FD135" s="37"/>
      <c r="FE135" s="37"/>
      <c r="FF135" s="37"/>
      <c r="FG135" s="37"/>
      <c r="FH135" s="37"/>
      <c r="FI135" s="37"/>
      <c r="FJ135" s="37"/>
      <c r="FK135" s="37"/>
      <c r="FL135" s="37"/>
      <c r="FM135" s="37"/>
      <c r="FN135" s="37"/>
      <c r="FO135" s="37"/>
      <c r="FP135" s="37"/>
      <c r="FQ135" s="37"/>
      <c r="FR135" s="37"/>
      <c r="FS135" s="37"/>
      <c r="FT135" s="37"/>
      <c r="FU135" s="37"/>
      <c r="FV135" s="37"/>
      <c r="FW135" s="37"/>
      <c r="FX135" s="37"/>
      <c r="FY135" s="37"/>
      <c r="FZ135" s="37"/>
      <c r="GA135" s="37"/>
      <c r="GB135" s="37"/>
      <c r="GC135" s="37"/>
      <c r="GD135" s="37"/>
      <c r="GE135" s="37"/>
      <c r="GF135" s="37"/>
      <c r="GG135" s="37"/>
      <c r="GH135" s="37"/>
      <c r="GI135" s="37"/>
      <c r="GJ135" s="37"/>
      <c r="GK135" s="37"/>
      <c r="GL135" s="37"/>
      <c r="GM135" s="37"/>
      <c r="GN135" s="37"/>
      <c r="GO135" s="37"/>
      <c r="GP135" s="37"/>
      <c r="GQ135" s="37"/>
      <c r="GR135" s="37"/>
      <c r="GS135" s="37"/>
      <c r="GT135" s="37"/>
      <c r="GU135" s="37"/>
      <c r="GV135" s="37"/>
      <c r="GW135" s="37"/>
      <c r="GX135" s="37"/>
      <c r="GY135" s="37"/>
      <c r="GZ135" s="37"/>
      <c r="HA135" s="37"/>
      <c r="HB135" s="37"/>
      <c r="HC135" s="37"/>
      <c r="HD135" s="37"/>
      <c r="HE135" s="37"/>
      <c r="HF135" s="37"/>
      <c r="HG135" s="37"/>
      <c r="HH135" s="37"/>
      <c r="HI135" s="37"/>
      <c r="HJ135" s="37"/>
      <c r="HK135" s="37"/>
      <c r="HL135" s="37"/>
      <c r="HM135" s="37"/>
      <c r="HN135" s="37"/>
      <c r="HO135" s="37"/>
      <c r="HP135" s="37"/>
      <c r="HQ135" s="37"/>
      <c r="HR135" s="37"/>
      <c r="HS135" s="37"/>
      <c r="HT135" s="37"/>
      <c r="HU135" s="37"/>
      <c r="HV135" s="37"/>
      <c r="HW135" s="37"/>
      <c r="HX135" s="37"/>
      <c r="HY135" s="37"/>
      <c r="HZ135" s="37"/>
      <c r="IA135" s="37"/>
      <c r="IB135" s="37"/>
      <c r="IC135" s="37"/>
    </row>
    <row r="136" spans="1:237" s="40" customFormat="1" x14ac:dyDescent="0.2">
      <c r="A136" s="62"/>
      <c r="B136" s="63"/>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c r="AY136" s="37"/>
      <c r="AZ136" s="37"/>
      <c r="BA136" s="37"/>
      <c r="BB136" s="37"/>
      <c r="BC136" s="37"/>
      <c r="BD136" s="37"/>
      <c r="BE136" s="37"/>
      <c r="BF136" s="37"/>
      <c r="BG136" s="37"/>
      <c r="BH136" s="37"/>
      <c r="BI136" s="37"/>
      <c r="BJ136" s="37"/>
      <c r="BK136" s="37"/>
      <c r="BL136" s="37"/>
      <c r="BM136" s="37"/>
      <c r="BN136" s="37"/>
      <c r="BO136" s="37"/>
      <c r="BP136" s="37"/>
      <c r="BQ136" s="37"/>
      <c r="BR136" s="37"/>
      <c r="BS136" s="37"/>
      <c r="BT136" s="37"/>
      <c r="BU136" s="37"/>
      <c r="BV136" s="37"/>
      <c r="BW136" s="37"/>
      <c r="BX136" s="37"/>
      <c r="BY136" s="37"/>
      <c r="BZ136" s="37"/>
      <c r="CA136" s="37"/>
      <c r="CB136" s="37"/>
      <c r="CC136" s="37"/>
      <c r="CD136" s="37"/>
      <c r="CE136" s="37"/>
      <c r="CF136" s="37"/>
      <c r="CG136" s="37"/>
      <c r="CH136" s="37"/>
      <c r="CI136" s="37"/>
      <c r="CJ136" s="37"/>
      <c r="CK136" s="37"/>
      <c r="CL136" s="37"/>
      <c r="CM136" s="37"/>
      <c r="CN136" s="37"/>
      <c r="CO136" s="37"/>
      <c r="CP136" s="37"/>
      <c r="CQ136" s="37"/>
      <c r="CR136" s="37"/>
      <c r="CS136" s="37"/>
      <c r="CT136" s="37"/>
      <c r="CU136" s="37"/>
      <c r="CV136" s="37"/>
      <c r="CW136" s="37"/>
      <c r="CX136" s="37"/>
      <c r="CY136" s="37"/>
      <c r="CZ136" s="37"/>
      <c r="DA136" s="37"/>
      <c r="DB136" s="37"/>
      <c r="DC136" s="37"/>
      <c r="DD136" s="37"/>
      <c r="DE136" s="37"/>
      <c r="DF136" s="37"/>
      <c r="DG136" s="37"/>
      <c r="DH136" s="37"/>
      <c r="DI136" s="37"/>
      <c r="DJ136" s="37"/>
      <c r="DK136" s="37"/>
      <c r="DL136" s="37"/>
      <c r="DM136" s="37"/>
      <c r="DN136" s="37"/>
      <c r="DO136" s="37"/>
      <c r="DP136" s="37"/>
      <c r="DQ136" s="37"/>
      <c r="DR136" s="37"/>
      <c r="DS136" s="37"/>
      <c r="DT136" s="37"/>
      <c r="DU136" s="37"/>
      <c r="DV136" s="37"/>
      <c r="DW136" s="37"/>
      <c r="DX136" s="37"/>
      <c r="DY136" s="37"/>
      <c r="DZ136" s="37"/>
      <c r="EA136" s="37"/>
      <c r="EB136" s="37"/>
      <c r="EC136" s="37"/>
      <c r="ED136" s="37"/>
      <c r="EE136" s="37"/>
      <c r="EF136" s="37"/>
      <c r="EG136" s="37"/>
      <c r="EH136" s="37"/>
      <c r="EI136" s="37"/>
      <c r="EJ136" s="37"/>
      <c r="EK136" s="37"/>
      <c r="EL136" s="37"/>
      <c r="EM136" s="37"/>
      <c r="EN136" s="37"/>
      <c r="EO136" s="37"/>
      <c r="EP136" s="37"/>
      <c r="EQ136" s="37"/>
      <c r="ER136" s="37"/>
      <c r="ES136" s="37"/>
      <c r="ET136" s="37"/>
      <c r="EU136" s="37"/>
      <c r="EV136" s="37"/>
      <c r="EW136" s="37"/>
      <c r="EX136" s="37"/>
      <c r="EY136" s="37"/>
      <c r="EZ136" s="37"/>
      <c r="FA136" s="37"/>
      <c r="FB136" s="37"/>
      <c r="FC136" s="37"/>
      <c r="FD136" s="37"/>
      <c r="FE136" s="37"/>
      <c r="FF136" s="37"/>
      <c r="FG136" s="37"/>
      <c r="FH136" s="37"/>
      <c r="FI136" s="37"/>
      <c r="FJ136" s="37"/>
      <c r="FK136" s="37"/>
      <c r="FL136" s="37"/>
      <c r="FM136" s="37"/>
      <c r="FN136" s="37"/>
      <c r="FO136" s="37"/>
      <c r="FP136" s="37"/>
      <c r="FQ136" s="37"/>
      <c r="FR136" s="37"/>
      <c r="FS136" s="37"/>
      <c r="FT136" s="37"/>
      <c r="FU136" s="37"/>
      <c r="FV136" s="37"/>
      <c r="FW136" s="37"/>
      <c r="FX136" s="37"/>
      <c r="FY136" s="37"/>
      <c r="FZ136" s="37"/>
      <c r="GA136" s="37"/>
      <c r="GB136" s="37"/>
      <c r="GC136" s="37"/>
      <c r="GD136" s="37"/>
      <c r="GE136" s="37"/>
      <c r="GF136" s="37"/>
      <c r="GG136" s="37"/>
      <c r="GH136" s="37"/>
      <c r="GI136" s="37"/>
      <c r="GJ136" s="37"/>
      <c r="GK136" s="37"/>
      <c r="GL136" s="37"/>
      <c r="GM136" s="37"/>
      <c r="GN136" s="37"/>
      <c r="GO136" s="37"/>
      <c r="GP136" s="37"/>
      <c r="GQ136" s="37"/>
      <c r="GR136" s="37"/>
      <c r="GS136" s="37"/>
      <c r="GT136" s="37"/>
      <c r="GU136" s="37"/>
      <c r="GV136" s="37"/>
      <c r="GW136" s="37"/>
      <c r="GX136" s="37"/>
      <c r="GY136" s="37"/>
      <c r="GZ136" s="37"/>
      <c r="HA136" s="37"/>
      <c r="HB136" s="37"/>
      <c r="HC136" s="37"/>
      <c r="HD136" s="37"/>
      <c r="HE136" s="37"/>
      <c r="HF136" s="37"/>
      <c r="HG136" s="37"/>
      <c r="HH136" s="37"/>
      <c r="HI136" s="37"/>
      <c r="HJ136" s="37"/>
      <c r="HK136" s="37"/>
      <c r="HL136" s="37"/>
      <c r="HM136" s="37"/>
      <c r="HN136" s="37"/>
      <c r="HO136" s="37"/>
      <c r="HP136" s="37"/>
      <c r="HQ136" s="37"/>
      <c r="HR136" s="37"/>
      <c r="HS136" s="37"/>
      <c r="HT136" s="37"/>
      <c r="HU136" s="37"/>
      <c r="HV136" s="37"/>
      <c r="HW136" s="37"/>
      <c r="HX136" s="37"/>
      <c r="HY136" s="37"/>
      <c r="HZ136" s="37"/>
      <c r="IA136" s="37"/>
      <c r="IB136" s="37"/>
      <c r="IC136" s="37"/>
    </row>
    <row r="137" spans="1:237" s="40" customFormat="1" x14ac:dyDescent="0.2">
      <c r="A137" s="62"/>
      <c r="B137" s="63"/>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37"/>
      <c r="AX137" s="37"/>
      <c r="AY137" s="37"/>
      <c r="AZ137" s="37"/>
      <c r="BA137" s="37"/>
      <c r="BB137" s="37"/>
      <c r="BC137" s="37"/>
      <c r="BD137" s="37"/>
      <c r="BE137" s="37"/>
      <c r="BF137" s="37"/>
      <c r="BG137" s="37"/>
      <c r="BH137" s="37"/>
      <c r="BI137" s="37"/>
      <c r="BJ137" s="37"/>
      <c r="BK137" s="37"/>
      <c r="BL137" s="37"/>
      <c r="BM137" s="37"/>
      <c r="BN137" s="37"/>
      <c r="BO137" s="37"/>
      <c r="BP137" s="37"/>
      <c r="BQ137" s="37"/>
      <c r="BR137" s="37"/>
      <c r="BS137" s="37"/>
      <c r="BT137" s="37"/>
      <c r="BU137" s="37"/>
      <c r="BV137" s="37"/>
      <c r="BW137" s="37"/>
      <c r="BX137" s="37"/>
      <c r="BY137" s="37"/>
      <c r="BZ137" s="37"/>
      <c r="CA137" s="37"/>
      <c r="CB137" s="37"/>
      <c r="CC137" s="37"/>
      <c r="CD137" s="37"/>
      <c r="CE137" s="37"/>
      <c r="CF137" s="37"/>
      <c r="CG137" s="37"/>
      <c r="CH137" s="37"/>
      <c r="CI137" s="37"/>
      <c r="CJ137" s="37"/>
      <c r="CK137" s="37"/>
      <c r="CL137" s="37"/>
      <c r="CM137" s="37"/>
      <c r="CN137" s="37"/>
      <c r="CO137" s="37"/>
      <c r="CP137" s="37"/>
      <c r="CQ137" s="37"/>
      <c r="CR137" s="37"/>
      <c r="CS137" s="37"/>
      <c r="CT137" s="37"/>
      <c r="CU137" s="37"/>
      <c r="CV137" s="37"/>
      <c r="CW137" s="37"/>
      <c r="CX137" s="37"/>
      <c r="CY137" s="37"/>
      <c r="CZ137" s="37"/>
      <c r="DA137" s="37"/>
      <c r="DB137" s="37"/>
      <c r="DC137" s="37"/>
      <c r="DD137" s="37"/>
      <c r="DE137" s="37"/>
      <c r="DF137" s="37"/>
      <c r="DG137" s="37"/>
      <c r="DH137" s="37"/>
      <c r="DI137" s="37"/>
      <c r="DJ137" s="37"/>
      <c r="DK137" s="37"/>
      <c r="DL137" s="37"/>
      <c r="DM137" s="37"/>
      <c r="DN137" s="37"/>
      <c r="DO137" s="37"/>
      <c r="DP137" s="37"/>
      <c r="DQ137" s="37"/>
      <c r="DR137" s="37"/>
      <c r="DS137" s="37"/>
      <c r="DT137" s="37"/>
      <c r="DU137" s="37"/>
      <c r="DV137" s="37"/>
      <c r="DW137" s="37"/>
      <c r="DX137" s="37"/>
      <c r="DY137" s="37"/>
      <c r="DZ137" s="37"/>
      <c r="EA137" s="37"/>
      <c r="EB137" s="37"/>
      <c r="EC137" s="37"/>
      <c r="ED137" s="37"/>
      <c r="EE137" s="37"/>
      <c r="EF137" s="37"/>
      <c r="EG137" s="37"/>
      <c r="EH137" s="37"/>
      <c r="EI137" s="37"/>
      <c r="EJ137" s="37"/>
      <c r="EK137" s="37"/>
      <c r="EL137" s="37"/>
      <c r="EM137" s="37"/>
      <c r="EN137" s="37"/>
      <c r="EO137" s="37"/>
      <c r="EP137" s="37"/>
      <c r="EQ137" s="37"/>
      <c r="ER137" s="37"/>
      <c r="ES137" s="37"/>
      <c r="ET137" s="37"/>
      <c r="EU137" s="37"/>
      <c r="EV137" s="37"/>
      <c r="EW137" s="37"/>
      <c r="EX137" s="37"/>
      <c r="EY137" s="37"/>
      <c r="EZ137" s="37"/>
      <c r="FA137" s="37"/>
      <c r="FB137" s="37"/>
      <c r="FC137" s="37"/>
      <c r="FD137" s="37"/>
      <c r="FE137" s="37"/>
      <c r="FF137" s="37"/>
      <c r="FG137" s="37"/>
      <c r="FH137" s="37"/>
      <c r="FI137" s="37"/>
      <c r="FJ137" s="37"/>
      <c r="FK137" s="37"/>
      <c r="FL137" s="37"/>
      <c r="FM137" s="37"/>
      <c r="FN137" s="37"/>
      <c r="FO137" s="37"/>
      <c r="FP137" s="37"/>
      <c r="FQ137" s="37"/>
      <c r="FR137" s="37"/>
      <c r="FS137" s="37"/>
      <c r="FT137" s="37"/>
      <c r="FU137" s="37"/>
      <c r="FV137" s="37"/>
      <c r="FW137" s="37"/>
      <c r="FX137" s="37"/>
      <c r="FY137" s="37"/>
      <c r="FZ137" s="37"/>
      <c r="GA137" s="37"/>
      <c r="GB137" s="37"/>
      <c r="GC137" s="37"/>
      <c r="GD137" s="37"/>
      <c r="GE137" s="37"/>
      <c r="GF137" s="37"/>
      <c r="GG137" s="37"/>
      <c r="GH137" s="37"/>
      <c r="GI137" s="37"/>
      <c r="GJ137" s="37"/>
      <c r="GK137" s="37"/>
      <c r="GL137" s="37"/>
      <c r="GM137" s="37"/>
      <c r="GN137" s="37"/>
      <c r="GO137" s="37"/>
      <c r="GP137" s="37"/>
      <c r="GQ137" s="37"/>
      <c r="GR137" s="37"/>
      <c r="GS137" s="37"/>
      <c r="GT137" s="37"/>
      <c r="GU137" s="37"/>
      <c r="GV137" s="37"/>
      <c r="GW137" s="37"/>
      <c r="GX137" s="37"/>
      <c r="GY137" s="37"/>
      <c r="GZ137" s="37"/>
      <c r="HA137" s="37"/>
      <c r="HB137" s="37"/>
      <c r="HC137" s="37"/>
      <c r="HD137" s="37"/>
      <c r="HE137" s="37"/>
      <c r="HF137" s="37"/>
      <c r="HG137" s="37"/>
      <c r="HH137" s="37"/>
      <c r="HI137" s="37"/>
      <c r="HJ137" s="37"/>
      <c r="HK137" s="37"/>
      <c r="HL137" s="37"/>
      <c r="HM137" s="37"/>
      <c r="HN137" s="37"/>
      <c r="HO137" s="37"/>
      <c r="HP137" s="37"/>
      <c r="HQ137" s="37"/>
      <c r="HR137" s="37"/>
      <c r="HS137" s="37"/>
      <c r="HT137" s="37"/>
      <c r="HU137" s="37"/>
      <c r="HV137" s="37"/>
      <c r="HW137" s="37"/>
      <c r="HX137" s="37"/>
      <c r="HY137" s="37"/>
      <c r="HZ137" s="37"/>
      <c r="IA137" s="37"/>
      <c r="IB137" s="37"/>
      <c r="IC137" s="37"/>
    </row>
    <row r="138" spans="1:237" s="40" customFormat="1" x14ac:dyDescent="0.2">
      <c r="A138" s="62"/>
      <c r="B138" s="63"/>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7"/>
      <c r="AZ138" s="37"/>
      <c r="BA138" s="37"/>
      <c r="BB138" s="37"/>
      <c r="BC138" s="37"/>
      <c r="BD138" s="37"/>
      <c r="BE138" s="37"/>
      <c r="BF138" s="37"/>
      <c r="BG138" s="37"/>
      <c r="BH138" s="37"/>
      <c r="BI138" s="37"/>
      <c r="BJ138" s="37"/>
      <c r="BK138" s="37"/>
      <c r="BL138" s="37"/>
      <c r="BM138" s="37"/>
      <c r="BN138" s="37"/>
      <c r="BO138" s="37"/>
      <c r="BP138" s="37"/>
      <c r="BQ138" s="37"/>
      <c r="BR138" s="37"/>
      <c r="BS138" s="37"/>
      <c r="BT138" s="37"/>
      <c r="BU138" s="37"/>
      <c r="BV138" s="37"/>
      <c r="BW138" s="37"/>
      <c r="BX138" s="37"/>
      <c r="BY138" s="37"/>
      <c r="BZ138" s="37"/>
      <c r="CA138" s="37"/>
      <c r="CB138" s="37"/>
      <c r="CC138" s="37"/>
      <c r="CD138" s="37"/>
      <c r="CE138" s="37"/>
      <c r="CF138" s="37"/>
      <c r="CG138" s="37"/>
      <c r="CH138" s="37"/>
      <c r="CI138" s="37"/>
      <c r="CJ138" s="37"/>
      <c r="CK138" s="37"/>
      <c r="CL138" s="37"/>
      <c r="CM138" s="37"/>
      <c r="CN138" s="37"/>
      <c r="CO138" s="37"/>
      <c r="CP138" s="37"/>
      <c r="CQ138" s="37"/>
      <c r="CR138" s="37"/>
      <c r="CS138" s="37"/>
      <c r="CT138" s="37"/>
      <c r="CU138" s="37"/>
      <c r="CV138" s="37"/>
      <c r="CW138" s="37"/>
      <c r="CX138" s="37"/>
      <c r="CY138" s="37"/>
      <c r="CZ138" s="37"/>
      <c r="DA138" s="37"/>
      <c r="DB138" s="37"/>
      <c r="DC138" s="37"/>
      <c r="DD138" s="37"/>
      <c r="DE138" s="37"/>
      <c r="DF138" s="37"/>
      <c r="DG138" s="37"/>
      <c r="DH138" s="37"/>
      <c r="DI138" s="37"/>
      <c r="DJ138" s="37"/>
      <c r="DK138" s="37"/>
      <c r="DL138" s="37"/>
      <c r="DM138" s="37"/>
      <c r="DN138" s="37"/>
      <c r="DO138" s="37"/>
      <c r="DP138" s="37"/>
      <c r="DQ138" s="37"/>
      <c r="DR138" s="37"/>
      <c r="DS138" s="37"/>
      <c r="DT138" s="37"/>
      <c r="DU138" s="37"/>
      <c r="DV138" s="37"/>
      <c r="DW138" s="37"/>
      <c r="DX138" s="37"/>
      <c r="DY138" s="37"/>
      <c r="DZ138" s="37"/>
      <c r="EA138" s="37"/>
      <c r="EB138" s="37"/>
      <c r="EC138" s="37"/>
      <c r="ED138" s="37"/>
      <c r="EE138" s="37"/>
      <c r="EF138" s="37"/>
      <c r="EG138" s="37"/>
      <c r="EH138" s="37"/>
      <c r="EI138" s="37"/>
      <c r="EJ138" s="37"/>
      <c r="EK138" s="37"/>
      <c r="EL138" s="37"/>
      <c r="EM138" s="37"/>
      <c r="EN138" s="37"/>
      <c r="EO138" s="37"/>
      <c r="EP138" s="37"/>
      <c r="EQ138" s="37"/>
      <c r="ER138" s="37"/>
      <c r="ES138" s="37"/>
      <c r="ET138" s="37"/>
      <c r="EU138" s="37"/>
      <c r="EV138" s="37"/>
      <c r="EW138" s="37"/>
      <c r="EX138" s="37"/>
      <c r="EY138" s="37"/>
      <c r="EZ138" s="37"/>
      <c r="FA138" s="37"/>
      <c r="FB138" s="37"/>
      <c r="FC138" s="37"/>
      <c r="FD138" s="37"/>
      <c r="FE138" s="37"/>
      <c r="FF138" s="37"/>
      <c r="FG138" s="37"/>
      <c r="FH138" s="37"/>
      <c r="FI138" s="37"/>
      <c r="FJ138" s="37"/>
      <c r="FK138" s="37"/>
      <c r="FL138" s="37"/>
      <c r="FM138" s="37"/>
      <c r="FN138" s="37"/>
      <c r="FO138" s="37"/>
      <c r="FP138" s="37"/>
      <c r="FQ138" s="37"/>
      <c r="FR138" s="37"/>
      <c r="FS138" s="37"/>
      <c r="FT138" s="37"/>
      <c r="FU138" s="37"/>
      <c r="FV138" s="37"/>
      <c r="FW138" s="37"/>
      <c r="FX138" s="37"/>
      <c r="FY138" s="37"/>
      <c r="FZ138" s="37"/>
      <c r="GA138" s="37"/>
      <c r="GB138" s="37"/>
      <c r="GC138" s="37"/>
      <c r="GD138" s="37"/>
      <c r="GE138" s="37"/>
      <c r="GF138" s="37"/>
      <c r="GG138" s="37"/>
      <c r="GH138" s="37"/>
      <c r="GI138" s="37"/>
      <c r="GJ138" s="37"/>
      <c r="GK138" s="37"/>
      <c r="GL138" s="37"/>
      <c r="GM138" s="37"/>
      <c r="GN138" s="37"/>
      <c r="GO138" s="37"/>
      <c r="GP138" s="37"/>
      <c r="GQ138" s="37"/>
      <c r="GR138" s="37"/>
      <c r="GS138" s="37"/>
      <c r="GT138" s="37"/>
      <c r="GU138" s="37"/>
      <c r="GV138" s="37"/>
      <c r="GW138" s="37"/>
      <c r="GX138" s="37"/>
      <c r="GY138" s="37"/>
      <c r="GZ138" s="37"/>
      <c r="HA138" s="37"/>
      <c r="HB138" s="37"/>
      <c r="HC138" s="37"/>
      <c r="HD138" s="37"/>
      <c r="HE138" s="37"/>
      <c r="HF138" s="37"/>
      <c r="HG138" s="37"/>
      <c r="HH138" s="37"/>
      <c r="HI138" s="37"/>
      <c r="HJ138" s="37"/>
      <c r="HK138" s="37"/>
      <c r="HL138" s="37"/>
      <c r="HM138" s="37"/>
      <c r="HN138" s="37"/>
      <c r="HO138" s="37"/>
      <c r="HP138" s="37"/>
      <c r="HQ138" s="37"/>
      <c r="HR138" s="37"/>
      <c r="HS138" s="37"/>
      <c r="HT138" s="37"/>
      <c r="HU138" s="37"/>
      <c r="HV138" s="37"/>
      <c r="HW138" s="37"/>
      <c r="HX138" s="37"/>
      <c r="HY138" s="37"/>
      <c r="HZ138" s="37"/>
      <c r="IA138" s="37"/>
      <c r="IB138" s="37"/>
      <c r="IC138" s="37"/>
    </row>
    <row r="139" spans="1:237" s="40" customFormat="1" x14ac:dyDescent="0.2">
      <c r="A139" s="62"/>
      <c r="B139" s="63"/>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37"/>
      <c r="AX139" s="37"/>
      <c r="AY139" s="37"/>
      <c r="AZ139" s="37"/>
      <c r="BA139" s="37"/>
      <c r="BB139" s="37"/>
      <c r="BC139" s="37"/>
      <c r="BD139" s="37"/>
      <c r="BE139" s="37"/>
      <c r="BF139" s="37"/>
      <c r="BG139" s="37"/>
      <c r="BH139" s="37"/>
      <c r="BI139" s="37"/>
      <c r="BJ139" s="37"/>
      <c r="BK139" s="37"/>
      <c r="BL139" s="37"/>
      <c r="BM139" s="37"/>
      <c r="BN139" s="37"/>
      <c r="BO139" s="37"/>
      <c r="BP139" s="37"/>
      <c r="BQ139" s="37"/>
      <c r="BR139" s="37"/>
      <c r="BS139" s="37"/>
      <c r="BT139" s="37"/>
      <c r="BU139" s="37"/>
      <c r="BV139" s="37"/>
      <c r="BW139" s="37"/>
      <c r="BX139" s="37"/>
      <c r="BY139" s="37"/>
      <c r="BZ139" s="37"/>
      <c r="CA139" s="37"/>
      <c r="CB139" s="37"/>
      <c r="CC139" s="37"/>
      <c r="CD139" s="37"/>
      <c r="CE139" s="37"/>
      <c r="CF139" s="37"/>
      <c r="CG139" s="37"/>
      <c r="CH139" s="37"/>
      <c r="CI139" s="37"/>
      <c r="CJ139" s="37"/>
      <c r="CK139" s="37"/>
      <c r="CL139" s="37"/>
      <c r="CM139" s="37"/>
      <c r="CN139" s="37"/>
      <c r="CO139" s="37"/>
      <c r="CP139" s="37"/>
      <c r="CQ139" s="37"/>
      <c r="CR139" s="37"/>
      <c r="CS139" s="37"/>
      <c r="CT139" s="37"/>
      <c r="CU139" s="37"/>
      <c r="CV139" s="37"/>
      <c r="CW139" s="37"/>
      <c r="CX139" s="37"/>
      <c r="CY139" s="37"/>
      <c r="CZ139" s="37"/>
      <c r="DA139" s="37"/>
      <c r="DB139" s="37"/>
      <c r="DC139" s="37"/>
      <c r="DD139" s="37"/>
      <c r="DE139" s="37"/>
      <c r="DF139" s="37"/>
      <c r="DG139" s="37"/>
      <c r="DH139" s="37"/>
      <c r="DI139" s="37"/>
      <c r="DJ139" s="37"/>
      <c r="DK139" s="37"/>
      <c r="DL139" s="37"/>
      <c r="DM139" s="37"/>
      <c r="DN139" s="37"/>
      <c r="DO139" s="37"/>
      <c r="DP139" s="37"/>
      <c r="DQ139" s="37"/>
      <c r="DR139" s="37"/>
      <c r="DS139" s="37"/>
      <c r="DT139" s="37"/>
      <c r="DU139" s="37"/>
      <c r="DV139" s="37"/>
      <c r="DW139" s="37"/>
      <c r="DX139" s="37"/>
      <c r="DY139" s="37"/>
      <c r="DZ139" s="37"/>
      <c r="EA139" s="37"/>
      <c r="EB139" s="37"/>
      <c r="EC139" s="37"/>
      <c r="ED139" s="37"/>
      <c r="EE139" s="37"/>
      <c r="EF139" s="37"/>
      <c r="EG139" s="37"/>
      <c r="EH139" s="37"/>
      <c r="EI139" s="37"/>
      <c r="EJ139" s="37"/>
      <c r="EK139" s="37"/>
      <c r="EL139" s="37"/>
      <c r="EM139" s="37"/>
      <c r="EN139" s="37"/>
      <c r="EO139" s="37"/>
      <c r="EP139" s="37"/>
      <c r="EQ139" s="37"/>
      <c r="ER139" s="37"/>
      <c r="ES139" s="37"/>
      <c r="ET139" s="37"/>
      <c r="EU139" s="37"/>
      <c r="EV139" s="37"/>
      <c r="EW139" s="37"/>
      <c r="EX139" s="37"/>
      <c r="EY139" s="37"/>
      <c r="EZ139" s="37"/>
      <c r="FA139" s="37"/>
      <c r="FB139" s="37"/>
      <c r="FC139" s="37"/>
      <c r="FD139" s="37"/>
      <c r="FE139" s="37"/>
      <c r="FF139" s="37"/>
      <c r="FG139" s="37"/>
      <c r="FH139" s="37"/>
      <c r="FI139" s="37"/>
      <c r="FJ139" s="37"/>
      <c r="FK139" s="37"/>
      <c r="FL139" s="37"/>
      <c r="FM139" s="37"/>
      <c r="FN139" s="37"/>
      <c r="FO139" s="37"/>
      <c r="FP139" s="37"/>
      <c r="FQ139" s="37"/>
      <c r="FR139" s="37"/>
      <c r="FS139" s="37"/>
      <c r="FT139" s="37"/>
      <c r="FU139" s="37"/>
      <c r="FV139" s="37"/>
      <c r="FW139" s="37"/>
      <c r="FX139" s="37"/>
      <c r="FY139" s="37"/>
      <c r="FZ139" s="37"/>
      <c r="GA139" s="37"/>
      <c r="GB139" s="37"/>
      <c r="GC139" s="37"/>
      <c r="GD139" s="37"/>
      <c r="GE139" s="37"/>
      <c r="GF139" s="37"/>
      <c r="GG139" s="37"/>
      <c r="GH139" s="37"/>
      <c r="GI139" s="37"/>
      <c r="GJ139" s="37"/>
      <c r="GK139" s="37"/>
      <c r="GL139" s="37"/>
      <c r="GM139" s="37"/>
      <c r="GN139" s="37"/>
      <c r="GO139" s="37"/>
      <c r="GP139" s="37"/>
      <c r="GQ139" s="37"/>
      <c r="GR139" s="37"/>
      <c r="GS139" s="37"/>
      <c r="GT139" s="37"/>
      <c r="GU139" s="37"/>
      <c r="GV139" s="37"/>
      <c r="GW139" s="37"/>
      <c r="GX139" s="37"/>
      <c r="GY139" s="37"/>
      <c r="GZ139" s="37"/>
      <c r="HA139" s="37"/>
      <c r="HB139" s="37"/>
      <c r="HC139" s="37"/>
      <c r="HD139" s="37"/>
      <c r="HE139" s="37"/>
      <c r="HF139" s="37"/>
      <c r="HG139" s="37"/>
      <c r="HH139" s="37"/>
      <c r="HI139" s="37"/>
      <c r="HJ139" s="37"/>
      <c r="HK139" s="37"/>
      <c r="HL139" s="37"/>
      <c r="HM139" s="37"/>
      <c r="HN139" s="37"/>
      <c r="HO139" s="37"/>
      <c r="HP139" s="37"/>
      <c r="HQ139" s="37"/>
      <c r="HR139" s="37"/>
      <c r="HS139" s="37"/>
      <c r="HT139" s="37"/>
      <c r="HU139" s="37"/>
      <c r="HV139" s="37"/>
      <c r="HW139" s="37"/>
      <c r="HX139" s="37"/>
      <c r="HY139" s="37"/>
      <c r="HZ139" s="37"/>
      <c r="IA139" s="37"/>
      <c r="IB139" s="37"/>
      <c r="IC139" s="37"/>
    </row>
    <row r="140" spans="1:237" s="40" customFormat="1" x14ac:dyDescent="0.2">
      <c r="A140" s="62"/>
      <c r="B140" s="63"/>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c r="AR140" s="37"/>
      <c r="AS140" s="37"/>
      <c r="AT140" s="37"/>
      <c r="AU140" s="37"/>
      <c r="AV140" s="37"/>
      <c r="AW140" s="37"/>
      <c r="AX140" s="37"/>
      <c r="AY140" s="37"/>
      <c r="AZ140" s="37"/>
      <c r="BA140" s="37"/>
      <c r="BB140" s="37"/>
      <c r="BC140" s="37"/>
      <c r="BD140" s="37"/>
      <c r="BE140" s="37"/>
      <c r="BF140" s="37"/>
      <c r="BG140" s="37"/>
      <c r="BH140" s="37"/>
      <c r="BI140" s="37"/>
      <c r="BJ140" s="37"/>
      <c r="BK140" s="37"/>
      <c r="BL140" s="37"/>
      <c r="BM140" s="37"/>
      <c r="BN140" s="37"/>
      <c r="BO140" s="37"/>
      <c r="BP140" s="37"/>
      <c r="BQ140" s="37"/>
      <c r="BR140" s="37"/>
      <c r="BS140" s="37"/>
      <c r="BT140" s="37"/>
      <c r="BU140" s="37"/>
      <c r="BV140" s="37"/>
      <c r="BW140" s="37"/>
      <c r="BX140" s="37"/>
      <c r="BY140" s="37"/>
      <c r="BZ140" s="37"/>
      <c r="CA140" s="37"/>
      <c r="CB140" s="37"/>
      <c r="CC140" s="37"/>
      <c r="CD140" s="37"/>
      <c r="CE140" s="37"/>
      <c r="CF140" s="37"/>
      <c r="CG140" s="37"/>
      <c r="CH140" s="37"/>
      <c r="CI140" s="37"/>
      <c r="CJ140" s="37"/>
      <c r="CK140" s="37"/>
      <c r="CL140" s="37"/>
      <c r="CM140" s="37"/>
      <c r="CN140" s="37"/>
      <c r="CO140" s="37"/>
      <c r="CP140" s="37"/>
      <c r="CQ140" s="37"/>
      <c r="CR140" s="37"/>
      <c r="CS140" s="37"/>
      <c r="CT140" s="37"/>
      <c r="CU140" s="37"/>
      <c r="CV140" s="37"/>
      <c r="CW140" s="37"/>
      <c r="CX140" s="37"/>
      <c r="CY140" s="37"/>
      <c r="CZ140" s="37"/>
      <c r="DA140" s="37"/>
      <c r="DB140" s="37"/>
      <c r="DC140" s="37"/>
      <c r="DD140" s="37"/>
      <c r="DE140" s="37"/>
      <c r="DF140" s="37"/>
      <c r="DG140" s="37"/>
      <c r="DH140" s="37"/>
      <c r="DI140" s="37"/>
      <c r="DJ140" s="37"/>
      <c r="DK140" s="37"/>
      <c r="DL140" s="37"/>
      <c r="DM140" s="37"/>
      <c r="DN140" s="37"/>
      <c r="DO140" s="37"/>
      <c r="DP140" s="37"/>
      <c r="DQ140" s="37"/>
      <c r="DR140" s="37"/>
      <c r="DS140" s="37"/>
      <c r="DT140" s="37"/>
      <c r="DU140" s="37"/>
      <c r="DV140" s="37"/>
      <c r="DW140" s="37"/>
      <c r="DX140" s="37"/>
      <c r="DY140" s="37"/>
      <c r="DZ140" s="37"/>
      <c r="EA140" s="37"/>
      <c r="EB140" s="37"/>
      <c r="EC140" s="37"/>
      <c r="ED140" s="37"/>
      <c r="EE140" s="37"/>
      <c r="EF140" s="37"/>
      <c r="EG140" s="37"/>
      <c r="EH140" s="37"/>
      <c r="EI140" s="37"/>
      <c r="EJ140" s="37"/>
      <c r="EK140" s="37"/>
      <c r="EL140" s="37"/>
      <c r="EM140" s="37"/>
      <c r="EN140" s="37"/>
      <c r="EO140" s="37"/>
      <c r="EP140" s="37"/>
      <c r="EQ140" s="37"/>
      <c r="ER140" s="37"/>
      <c r="ES140" s="37"/>
      <c r="ET140" s="37"/>
      <c r="EU140" s="37"/>
      <c r="EV140" s="37"/>
      <c r="EW140" s="37"/>
      <c r="EX140" s="37"/>
      <c r="EY140" s="37"/>
      <c r="EZ140" s="37"/>
      <c r="FA140" s="37"/>
      <c r="FB140" s="37"/>
      <c r="FC140" s="37"/>
      <c r="FD140" s="37"/>
      <c r="FE140" s="37"/>
      <c r="FF140" s="37"/>
      <c r="FG140" s="37"/>
      <c r="FH140" s="37"/>
      <c r="FI140" s="37"/>
      <c r="FJ140" s="37"/>
      <c r="FK140" s="37"/>
      <c r="FL140" s="37"/>
      <c r="FM140" s="37"/>
      <c r="FN140" s="37"/>
      <c r="FO140" s="37"/>
      <c r="FP140" s="37"/>
      <c r="FQ140" s="37"/>
      <c r="FR140" s="37"/>
      <c r="FS140" s="37"/>
      <c r="FT140" s="37"/>
      <c r="FU140" s="37"/>
      <c r="FV140" s="37"/>
      <c r="FW140" s="37"/>
      <c r="FX140" s="37"/>
      <c r="FY140" s="37"/>
      <c r="FZ140" s="37"/>
      <c r="GA140" s="37"/>
      <c r="GB140" s="37"/>
      <c r="GC140" s="37"/>
      <c r="GD140" s="37"/>
      <c r="GE140" s="37"/>
      <c r="GF140" s="37"/>
      <c r="GG140" s="37"/>
      <c r="GH140" s="37"/>
      <c r="GI140" s="37"/>
      <c r="GJ140" s="37"/>
      <c r="GK140" s="37"/>
      <c r="GL140" s="37"/>
      <c r="GM140" s="37"/>
      <c r="GN140" s="37"/>
      <c r="GO140" s="37"/>
      <c r="GP140" s="37"/>
      <c r="GQ140" s="37"/>
      <c r="GR140" s="37"/>
      <c r="GS140" s="37"/>
      <c r="GT140" s="37"/>
      <c r="GU140" s="37"/>
      <c r="GV140" s="37"/>
      <c r="GW140" s="37"/>
      <c r="GX140" s="37"/>
      <c r="GY140" s="37"/>
      <c r="GZ140" s="37"/>
      <c r="HA140" s="37"/>
      <c r="HB140" s="37"/>
      <c r="HC140" s="37"/>
      <c r="HD140" s="37"/>
      <c r="HE140" s="37"/>
      <c r="HF140" s="37"/>
      <c r="HG140" s="37"/>
      <c r="HH140" s="37"/>
      <c r="HI140" s="37"/>
      <c r="HJ140" s="37"/>
      <c r="HK140" s="37"/>
      <c r="HL140" s="37"/>
      <c r="HM140" s="37"/>
      <c r="HN140" s="37"/>
      <c r="HO140" s="37"/>
      <c r="HP140" s="37"/>
      <c r="HQ140" s="37"/>
      <c r="HR140" s="37"/>
      <c r="HS140" s="37"/>
      <c r="HT140" s="37"/>
      <c r="HU140" s="37"/>
      <c r="HV140" s="37"/>
      <c r="HW140" s="37"/>
      <c r="HX140" s="37"/>
      <c r="HY140" s="37"/>
      <c r="HZ140" s="37"/>
      <c r="IA140" s="37"/>
      <c r="IB140" s="37"/>
      <c r="IC140" s="37"/>
    </row>
    <row r="141" spans="1:237" s="40" customFormat="1" x14ac:dyDescent="0.2">
      <c r="A141" s="62"/>
      <c r="B141" s="63"/>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c r="BC141" s="37"/>
      <c r="BD141" s="37"/>
      <c r="BE141" s="37"/>
      <c r="BF141" s="37"/>
      <c r="BG141" s="37"/>
      <c r="BH141" s="37"/>
      <c r="BI141" s="37"/>
      <c r="BJ141" s="37"/>
      <c r="BK141" s="37"/>
      <c r="BL141" s="37"/>
      <c r="BM141" s="37"/>
      <c r="BN141" s="37"/>
      <c r="BO141" s="37"/>
      <c r="BP141" s="37"/>
      <c r="BQ141" s="37"/>
      <c r="BR141" s="37"/>
      <c r="BS141" s="37"/>
      <c r="BT141" s="37"/>
      <c r="BU141" s="37"/>
      <c r="BV141" s="37"/>
      <c r="BW141" s="37"/>
      <c r="BX141" s="37"/>
      <c r="BY141" s="37"/>
      <c r="BZ141" s="37"/>
      <c r="CA141" s="37"/>
      <c r="CB141" s="37"/>
      <c r="CC141" s="37"/>
      <c r="CD141" s="37"/>
      <c r="CE141" s="37"/>
      <c r="CF141" s="37"/>
      <c r="CG141" s="37"/>
      <c r="CH141" s="37"/>
      <c r="CI141" s="37"/>
      <c r="CJ141" s="37"/>
      <c r="CK141" s="37"/>
      <c r="CL141" s="37"/>
      <c r="CM141" s="37"/>
      <c r="CN141" s="37"/>
      <c r="CO141" s="37"/>
      <c r="CP141" s="37"/>
      <c r="CQ141" s="37"/>
      <c r="CR141" s="37"/>
      <c r="CS141" s="37"/>
      <c r="CT141" s="37"/>
      <c r="CU141" s="37"/>
      <c r="CV141" s="37"/>
      <c r="CW141" s="37"/>
      <c r="CX141" s="37"/>
      <c r="CY141" s="37"/>
      <c r="CZ141" s="37"/>
      <c r="DA141" s="37"/>
      <c r="DB141" s="37"/>
      <c r="DC141" s="37"/>
      <c r="DD141" s="37"/>
      <c r="DE141" s="37"/>
      <c r="DF141" s="37"/>
      <c r="DG141" s="37"/>
      <c r="DH141" s="37"/>
      <c r="DI141" s="37"/>
      <c r="DJ141" s="37"/>
      <c r="DK141" s="37"/>
      <c r="DL141" s="37"/>
      <c r="DM141" s="37"/>
      <c r="DN141" s="37"/>
      <c r="DO141" s="37"/>
      <c r="DP141" s="37"/>
      <c r="DQ141" s="37"/>
      <c r="DR141" s="37"/>
      <c r="DS141" s="37"/>
      <c r="DT141" s="37"/>
      <c r="DU141" s="37"/>
      <c r="DV141" s="37"/>
      <c r="DW141" s="37"/>
      <c r="DX141" s="37"/>
      <c r="DY141" s="37"/>
      <c r="DZ141" s="37"/>
      <c r="EA141" s="37"/>
      <c r="EB141" s="37"/>
      <c r="EC141" s="37"/>
      <c r="ED141" s="37"/>
      <c r="EE141" s="37"/>
      <c r="EF141" s="37"/>
      <c r="EG141" s="37"/>
      <c r="EH141" s="37"/>
      <c r="EI141" s="37"/>
      <c r="EJ141" s="37"/>
      <c r="EK141" s="37"/>
      <c r="EL141" s="37"/>
      <c r="EM141" s="37"/>
      <c r="EN141" s="37"/>
      <c r="EO141" s="37"/>
      <c r="EP141" s="37"/>
      <c r="EQ141" s="37"/>
      <c r="ER141" s="37"/>
      <c r="ES141" s="37"/>
      <c r="ET141" s="37"/>
      <c r="EU141" s="37"/>
      <c r="EV141" s="37"/>
      <c r="EW141" s="37"/>
      <c r="EX141" s="37"/>
      <c r="EY141" s="37"/>
      <c r="EZ141" s="37"/>
      <c r="FA141" s="37"/>
      <c r="FB141" s="37"/>
      <c r="FC141" s="37"/>
      <c r="FD141" s="37"/>
      <c r="FE141" s="37"/>
      <c r="FF141" s="37"/>
      <c r="FG141" s="37"/>
      <c r="FH141" s="37"/>
      <c r="FI141" s="37"/>
      <c r="FJ141" s="37"/>
      <c r="FK141" s="37"/>
      <c r="FL141" s="37"/>
      <c r="FM141" s="37"/>
      <c r="FN141" s="37"/>
      <c r="FO141" s="37"/>
      <c r="FP141" s="37"/>
      <c r="FQ141" s="37"/>
      <c r="FR141" s="37"/>
      <c r="FS141" s="37"/>
      <c r="FT141" s="37"/>
      <c r="FU141" s="37"/>
      <c r="FV141" s="37"/>
      <c r="FW141" s="37"/>
      <c r="FX141" s="37"/>
      <c r="FY141" s="37"/>
      <c r="FZ141" s="37"/>
      <c r="GA141" s="37"/>
      <c r="GB141" s="37"/>
      <c r="GC141" s="37"/>
      <c r="GD141" s="37"/>
      <c r="GE141" s="37"/>
      <c r="GF141" s="37"/>
      <c r="GG141" s="37"/>
      <c r="GH141" s="37"/>
      <c r="GI141" s="37"/>
      <c r="GJ141" s="37"/>
      <c r="GK141" s="37"/>
      <c r="GL141" s="37"/>
      <c r="GM141" s="37"/>
      <c r="GN141" s="37"/>
      <c r="GO141" s="37"/>
      <c r="GP141" s="37"/>
      <c r="GQ141" s="37"/>
      <c r="GR141" s="37"/>
      <c r="GS141" s="37"/>
      <c r="GT141" s="37"/>
      <c r="GU141" s="37"/>
      <c r="GV141" s="37"/>
      <c r="GW141" s="37"/>
      <c r="GX141" s="37"/>
      <c r="GY141" s="37"/>
      <c r="GZ141" s="37"/>
      <c r="HA141" s="37"/>
      <c r="HB141" s="37"/>
      <c r="HC141" s="37"/>
      <c r="HD141" s="37"/>
      <c r="HE141" s="37"/>
      <c r="HF141" s="37"/>
      <c r="HG141" s="37"/>
      <c r="HH141" s="37"/>
      <c r="HI141" s="37"/>
      <c r="HJ141" s="37"/>
      <c r="HK141" s="37"/>
      <c r="HL141" s="37"/>
      <c r="HM141" s="37"/>
      <c r="HN141" s="37"/>
      <c r="HO141" s="37"/>
      <c r="HP141" s="37"/>
      <c r="HQ141" s="37"/>
      <c r="HR141" s="37"/>
      <c r="HS141" s="37"/>
      <c r="HT141" s="37"/>
      <c r="HU141" s="37"/>
      <c r="HV141" s="37"/>
      <c r="HW141" s="37"/>
      <c r="HX141" s="37"/>
      <c r="HY141" s="37"/>
      <c r="HZ141" s="37"/>
      <c r="IA141" s="37"/>
      <c r="IB141" s="37"/>
      <c r="IC141" s="37"/>
    </row>
    <row r="142" spans="1:237" s="40" customFormat="1" x14ac:dyDescent="0.2">
      <c r="A142" s="62"/>
      <c r="B142" s="63"/>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37"/>
      <c r="AX142" s="37"/>
      <c r="AY142" s="37"/>
      <c r="AZ142" s="37"/>
      <c r="BA142" s="37"/>
      <c r="BB142" s="37"/>
      <c r="BC142" s="37"/>
      <c r="BD142" s="37"/>
      <c r="BE142" s="37"/>
      <c r="BF142" s="37"/>
      <c r="BG142" s="37"/>
      <c r="BH142" s="37"/>
      <c r="BI142" s="37"/>
      <c r="BJ142" s="37"/>
      <c r="BK142" s="37"/>
      <c r="BL142" s="37"/>
      <c r="BM142" s="37"/>
      <c r="BN142" s="37"/>
      <c r="BO142" s="37"/>
      <c r="BP142" s="37"/>
      <c r="BQ142" s="37"/>
      <c r="BR142" s="37"/>
      <c r="BS142" s="37"/>
      <c r="BT142" s="37"/>
      <c r="BU142" s="37"/>
      <c r="BV142" s="37"/>
      <c r="BW142" s="37"/>
      <c r="BX142" s="37"/>
      <c r="BY142" s="37"/>
      <c r="BZ142" s="37"/>
      <c r="CA142" s="37"/>
      <c r="CB142" s="37"/>
      <c r="CC142" s="37"/>
      <c r="CD142" s="37"/>
      <c r="CE142" s="37"/>
      <c r="CF142" s="37"/>
      <c r="CG142" s="37"/>
      <c r="CH142" s="37"/>
      <c r="CI142" s="37"/>
      <c r="CJ142" s="37"/>
      <c r="CK142" s="37"/>
      <c r="CL142" s="37"/>
      <c r="CM142" s="37"/>
      <c r="CN142" s="37"/>
      <c r="CO142" s="37"/>
      <c r="CP142" s="37"/>
      <c r="CQ142" s="37"/>
      <c r="CR142" s="37"/>
      <c r="CS142" s="37"/>
      <c r="CT142" s="37"/>
      <c r="CU142" s="37"/>
      <c r="CV142" s="37"/>
      <c r="CW142" s="37"/>
      <c r="CX142" s="37"/>
      <c r="CY142" s="37"/>
      <c r="CZ142" s="37"/>
      <c r="DA142" s="37"/>
      <c r="DB142" s="37"/>
      <c r="DC142" s="37"/>
      <c r="DD142" s="37"/>
      <c r="DE142" s="37"/>
      <c r="DF142" s="37"/>
      <c r="DG142" s="37"/>
      <c r="DH142" s="37"/>
      <c r="DI142" s="37"/>
      <c r="DJ142" s="37"/>
      <c r="DK142" s="37"/>
      <c r="DL142" s="37"/>
      <c r="DM142" s="37"/>
      <c r="DN142" s="37"/>
      <c r="DO142" s="37"/>
      <c r="DP142" s="37"/>
      <c r="DQ142" s="37"/>
      <c r="DR142" s="37"/>
      <c r="DS142" s="37"/>
      <c r="DT142" s="37"/>
      <c r="DU142" s="37"/>
      <c r="DV142" s="37"/>
      <c r="DW142" s="37"/>
      <c r="DX142" s="37"/>
      <c r="DY142" s="37"/>
      <c r="DZ142" s="37"/>
      <c r="EA142" s="37"/>
      <c r="EB142" s="37"/>
      <c r="EC142" s="37"/>
      <c r="ED142" s="37"/>
      <c r="EE142" s="37"/>
      <c r="EF142" s="37"/>
      <c r="EG142" s="37"/>
      <c r="EH142" s="37"/>
      <c r="EI142" s="37"/>
      <c r="EJ142" s="37"/>
      <c r="EK142" s="37"/>
      <c r="EL142" s="37"/>
      <c r="EM142" s="37"/>
      <c r="EN142" s="37"/>
      <c r="EO142" s="37"/>
      <c r="EP142" s="37"/>
      <c r="EQ142" s="37"/>
      <c r="ER142" s="37"/>
      <c r="ES142" s="37"/>
      <c r="ET142" s="37"/>
      <c r="EU142" s="37"/>
      <c r="EV142" s="37"/>
      <c r="EW142" s="37"/>
      <c r="EX142" s="37"/>
      <c r="EY142" s="37"/>
      <c r="EZ142" s="37"/>
      <c r="FA142" s="37"/>
      <c r="FB142" s="37"/>
      <c r="FC142" s="37"/>
      <c r="FD142" s="37"/>
      <c r="FE142" s="37"/>
      <c r="FF142" s="37"/>
      <c r="FG142" s="37"/>
      <c r="FH142" s="37"/>
      <c r="FI142" s="37"/>
      <c r="FJ142" s="37"/>
      <c r="FK142" s="37"/>
      <c r="FL142" s="37"/>
      <c r="FM142" s="37"/>
      <c r="FN142" s="37"/>
      <c r="FO142" s="37"/>
      <c r="FP142" s="37"/>
      <c r="FQ142" s="37"/>
      <c r="FR142" s="37"/>
      <c r="FS142" s="37"/>
      <c r="FT142" s="37"/>
      <c r="FU142" s="37"/>
      <c r="FV142" s="37"/>
      <c r="FW142" s="37"/>
      <c r="FX142" s="37"/>
      <c r="FY142" s="37"/>
      <c r="FZ142" s="37"/>
      <c r="GA142" s="37"/>
      <c r="GB142" s="37"/>
      <c r="GC142" s="37"/>
      <c r="GD142" s="37"/>
      <c r="GE142" s="37"/>
      <c r="GF142" s="37"/>
      <c r="GG142" s="37"/>
      <c r="GH142" s="37"/>
      <c r="GI142" s="37"/>
      <c r="GJ142" s="37"/>
      <c r="GK142" s="37"/>
      <c r="GL142" s="37"/>
      <c r="GM142" s="37"/>
      <c r="GN142" s="37"/>
      <c r="GO142" s="37"/>
      <c r="GP142" s="37"/>
      <c r="GQ142" s="37"/>
      <c r="GR142" s="37"/>
      <c r="GS142" s="37"/>
      <c r="GT142" s="37"/>
      <c r="GU142" s="37"/>
      <c r="GV142" s="37"/>
      <c r="GW142" s="37"/>
      <c r="GX142" s="37"/>
      <c r="GY142" s="37"/>
      <c r="GZ142" s="37"/>
      <c r="HA142" s="37"/>
      <c r="HB142" s="37"/>
      <c r="HC142" s="37"/>
      <c r="HD142" s="37"/>
      <c r="HE142" s="37"/>
      <c r="HF142" s="37"/>
      <c r="HG142" s="37"/>
      <c r="HH142" s="37"/>
      <c r="HI142" s="37"/>
      <c r="HJ142" s="37"/>
      <c r="HK142" s="37"/>
      <c r="HL142" s="37"/>
      <c r="HM142" s="37"/>
      <c r="HN142" s="37"/>
      <c r="HO142" s="37"/>
      <c r="HP142" s="37"/>
      <c r="HQ142" s="37"/>
      <c r="HR142" s="37"/>
      <c r="HS142" s="37"/>
      <c r="HT142" s="37"/>
      <c r="HU142" s="37"/>
      <c r="HV142" s="37"/>
      <c r="HW142" s="37"/>
      <c r="HX142" s="37"/>
      <c r="HY142" s="37"/>
      <c r="HZ142" s="37"/>
      <c r="IA142" s="37"/>
      <c r="IB142" s="37"/>
      <c r="IC142" s="37"/>
    </row>
    <row r="143" spans="1:237" s="40" customFormat="1" x14ac:dyDescent="0.2">
      <c r="A143" s="62"/>
      <c r="B143" s="63"/>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c r="AY143" s="37"/>
      <c r="AZ143" s="37"/>
      <c r="BA143" s="37"/>
      <c r="BB143" s="37"/>
      <c r="BC143" s="37"/>
      <c r="BD143" s="37"/>
      <c r="BE143" s="37"/>
      <c r="BF143" s="37"/>
      <c r="BG143" s="37"/>
      <c r="BH143" s="37"/>
      <c r="BI143" s="37"/>
      <c r="BJ143" s="37"/>
      <c r="BK143" s="37"/>
      <c r="BL143" s="37"/>
      <c r="BM143" s="37"/>
      <c r="BN143" s="37"/>
      <c r="BO143" s="37"/>
      <c r="BP143" s="37"/>
      <c r="BQ143" s="37"/>
      <c r="BR143" s="37"/>
      <c r="BS143" s="37"/>
      <c r="BT143" s="37"/>
      <c r="BU143" s="37"/>
      <c r="BV143" s="37"/>
      <c r="BW143" s="37"/>
      <c r="BX143" s="37"/>
      <c r="BY143" s="37"/>
      <c r="BZ143" s="37"/>
      <c r="CA143" s="37"/>
      <c r="CB143" s="37"/>
      <c r="CC143" s="37"/>
      <c r="CD143" s="37"/>
      <c r="CE143" s="37"/>
      <c r="CF143" s="37"/>
      <c r="CG143" s="37"/>
      <c r="CH143" s="37"/>
      <c r="CI143" s="37"/>
      <c r="CJ143" s="37"/>
      <c r="CK143" s="37"/>
      <c r="CL143" s="37"/>
      <c r="CM143" s="37"/>
      <c r="CN143" s="37"/>
      <c r="CO143" s="37"/>
      <c r="CP143" s="37"/>
      <c r="CQ143" s="37"/>
      <c r="CR143" s="37"/>
      <c r="CS143" s="37"/>
      <c r="CT143" s="37"/>
      <c r="CU143" s="37"/>
      <c r="CV143" s="37"/>
      <c r="CW143" s="37"/>
      <c r="CX143" s="37"/>
      <c r="CY143" s="37"/>
      <c r="CZ143" s="37"/>
      <c r="DA143" s="37"/>
      <c r="DB143" s="37"/>
      <c r="DC143" s="37"/>
      <c r="DD143" s="37"/>
      <c r="DE143" s="37"/>
      <c r="DF143" s="37"/>
      <c r="DG143" s="37"/>
      <c r="DH143" s="37"/>
      <c r="DI143" s="37"/>
      <c r="DJ143" s="37"/>
      <c r="DK143" s="37"/>
      <c r="DL143" s="37"/>
      <c r="DM143" s="37"/>
      <c r="DN143" s="37"/>
      <c r="DO143" s="37"/>
      <c r="DP143" s="37"/>
      <c r="DQ143" s="37"/>
      <c r="DR143" s="37"/>
      <c r="DS143" s="37"/>
      <c r="DT143" s="37"/>
      <c r="DU143" s="37"/>
      <c r="DV143" s="37"/>
      <c r="DW143" s="37"/>
      <c r="DX143" s="37"/>
      <c r="DY143" s="37"/>
      <c r="DZ143" s="37"/>
      <c r="EA143" s="37"/>
      <c r="EB143" s="37"/>
      <c r="EC143" s="37"/>
      <c r="ED143" s="37"/>
      <c r="EE143" s="37"/>
      <c r="EF143" s="37"/>
      <c r="EG143" s="37"/>
      <c r="EH143" s="37"/>
      <c r="EI143" s="37"/>
      <c r="EJ143" s="37"/>
      <c r="EK143" s="37"/>
      <c r="EL143" s="37"/>
      <c r="EM143" s="37"/>
      <c r="EN143" s="37"/>
      <c r="EO143" s="37"/>
      <c r="EP143" s="37"/>
      <c r="EQ143" s="37"/>
      <c r="ER143" s="37"/>
      <c r="ES143" s="37"/>
      <c r="ET143" s="37"/>
      <c r="EU143" s="37"/>
      <c r="EV143" s="37"/>
      <c r="EW143" s="37"/>
      <c r="EX143" s="37"/>
      <c r="EY143" s="37"/>
      <c r="EZ143" s="37"/>
      <c r="FA143" s="37"/>
      <c r="FB143" s="37"/>
      <c r="FC143" s="37"/>
      <c r="FD143" s="37"/>
      <c r="FE143" s="37"/>
      <c r="FF143" s="37"/>
      <c r="FG143" s="37"/>
      <c r="FH143" s="37"/>
      <c r="FI143" s="37"/>
      <c r="FJ143" s="37"/>
      <c r="FK143" s="37"/>
      <c r="FL143" s="37"/>
      <c r="FM143" s="37"/>
      <c r="FN143" s="37"/>
      <c r="FO143" s="37"/>
      <c r="FP143" s="37"/>
      <c r="FQ143" s="37"/>
      <c r="FR143" s="37"/>
      <c r="FS143" s="37"/>
      <c r="FT143" s="37"/>
      <c r="FU143" s="37"/>
      <c r="FV143" s="37"/>
      <c r="FW143" s="37"/>
      <c r="FX143" s="37"/>
      <c r="FY143" s="37"/>
      <c r="FZ143" s="37"/>
      <c r="GA143" s="37"/>
      <c r="GB143" s="37"/>
      <c r="GC143" s="37"/>
      <c r="GD143" s="37"/>
      <c r="GE143" s="37"/>
      <c r="GF143" s="37"/>
      <c r="GG143" s="37"/>
      <c r="GH143" s="37"/>
      <c r="GI143" s="37"/>
      <c r="GJ143" s="37"/>
      <c r="GK143" s="37"/>
      <c r="GL143" s="37"/>
      <c r="GM143" s="37"/>
      <c r="GN143" s="37"/>
      <c r="GO143" s="37"/>
      <c r="GP143" s="37"/>
      <c r="GQ143" s="37"/>
      <c r="GR143" s="37"/>
      <c r="GS143" s="37"/>
      <c r="GT143" s="37"/>
      <c r="GU143" s="37"/>
      <c r="GV143" s="37"/>
      <c r="GW143" s="37"/>
      <c r="GX143" s="37"/>
      <c r="GY143" s="37"/>
      <c r="GZ143" s="37"/>
      <c r="HA143" s="37"/>
      <c r="HB143" s="37"/>
      <c r="HC143" s="37"/>
      <c r="HD143" s="37"/>
      <c r="HE143" s="37"/>
      <c r="HF143" s="37"/>
      <c r="HG143" s="37"/>
      <c r="HH143" s="37"/>
      <c r="HI143" s="37"/>
      <c r="HJ143" s="37"/>
      <c r="HK143" s="37"/>
      <c r="HL143" s="37"/>
      <c r="HM143" s="37"/>
      <c r="HN143" s="37"/>
      <c r="HO143" s="37"/>
      <c r="HP143" s="37"/>
      <c r="HQ143" s="37"/>
      <c r="HR143" s="37"/>
      <c r="HS143" s="37"/>
      <c r="HT143" s="37"/>
      <c r="HU143" s="37"/>
      <c r="HV143" s="37"/>
      <c r="HW143" s="37"/>
      <c r="HX143" s="37"/>
      <c r="HY143" s="37"/>
      <c r="HZ143" s="37"/>
      <c r="IA143" s="37"/>
      <c r="IB143" s="37"/>
      <c r="IC143" s="37"/>
    </row>
    <row r="144" spans="1:237" s="40" customFormat="1" x14ac:dyDescent="0.2">
      <c r="A144" s="62"/>
      <c r="B144" s="63"/>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c r="AU144" s="37"/>
      <c r="AV144" s="37"/>
      <c r="AW144" s="37"/>
      <c r="AX144" s="37"/>
      <c r="AY144" s="37"/>
      <c r="AZ144" s="37"/>
      <c r="BA144" s="37"/>
      <c r="BB144" s="37"/>
      <c r="BC144" s="37"/>
      <c r="BD144" s="37"/>
      <c r="BE144" s="37"/>
      <c r="BF144" s="37"/>
      <c r="BG144" s="37"/>
      <c r="BH144" s="37"/>
      <c r="BI144" s="37"/>
      <c r="BJ144" s="37"/>
      <c r="BK144" s="37"/>
      <c r="BL144" s="37"/>
      <c r="BM144" s="37"/>
      <c r="BN144" s="37"/>
      <c r="BO144" s="37"/>
      <c r="BP144" s="37"/>
      <c r="BQ144" s="37"/>
      <c r="BR144" s="37"/>
      <c r="BS144" s="37"/>
      <c r="BT144" s="37"/>
      <c r="BU144" s="37"/>
      <c r="BV144" s="37"/>
      <c r="BW144" s="37"/>
      <c r="BX144" s="37"/>
      <c r="BY144" s="37"/>
      <c r="BZ144" s="37"/>
      <c r="CA144" s="37"/>
      <c r="CB144" s="37"/>
      <c r="CC144" s="37"/>
      <c r="CD144" s="37"/>
      <c r="CE144" s="37"/>
      <c r="CF144" s="37"/>
      <c r="CG144" s="37"/>
      <c r="CH144" s="37"/>
      <c r="CI144" s="37"/>
      <c r="CJ144" s="37"/>
      <c r="CK144" s="37"/>
      <c r="CL144" s="37"/>
      <c r="CM144" s="37"/>
      <c r="CN144" s="37"/>
      <c r="CO144" s="37"/>
      <c r="CP144" s="37"/>
      <c r="CQ144" s="37"/>
      <c r="CR144" s="37"/>
      <c r="CS144" s="37"/>
      <c r="CT144" s="37"/>
      <c r="CU144" s="37"/>
      <c r="CV144" s="37"/>
      <c r="CW144" s="37"/>
      <c r="CX144" s="37"/>
      <c r="CY144" s="37"/>
      <c r="CZ144" s="37"/>
      <c r="DA144" s="37"/>
      <c r="DB144" s="37"/>
      <c r="DC144" s="37"/>
      <c r="DD144" s="37"/>
      <c r="DE144" s="37"/>
      <c r="DF144" s="37"/>
      <c r="DG144" s="37"/>
      <c r="DH144" s="37"/>
      <c r="DI144" s="37"/>
      <c r="DJ144" s="37"/>
      <c r="DK144" s="37"/>
      <c r="DL144" s="37"/>
      <c r="DM144" s="37"/>
      <c r="DN144" s="37"/>
      <c r="DO144" s="37"/>
      <c r="DP144" s="37"/>
      <c r="DQ144" s="37"/>
      <c r="DR144" s="37"/>
      <c r="DS144" s="37"/>
      <c r="DT144" s="37"/>
      <c r="DU144" s="37"/>
      <c r="DV144" s="37"/>
      <c r="DW144" s="37"/>
      <c r="DX144" s="37"/>
      <c r="DY144" s="37"/>
      <c r="DZ144" s="37"/>
      <c r="EA144" s="37"/>
      <c r="EB144" s="37"/>
      <c r="EC144" s="37"/>
      <c r="ED144" s="37"/>
      <c r="EE144" s="37"/>
      <c r="EF144" s="37"/>
      <c r="EG144" s="37"/>
      <c r="EH144" s="37"/>
      <c r="EI144" s="37"/>
      <c r="EJ144" s="37"/>
      <c r="EK144" s="37"/>
      <c r="EL144" s="37"/>
      <c r="EM144" s="37"/>
      <c r="EN144" s="37"/>
      <c r="EO144" s="37"/>
      <c r="EP144" s="37"/>
      <c r="EQ144" s="37"/>
      <c r="ER144" s="37"/>
      <c r="ES144" s="37"/>
      <c r="ET144" s="37"/>
      <c r="EU144" s="37"/>
      <c r="EV144" s="37"/>
      <c r="EW144" s="37"/>
      <c r="EX144" s="37"/>
      <c r="EY144" s="37"/>
      <c r="EZ144" s="37"/>
      <c r="FA144" s="37"/>
      <c r="FB144" s="37"/>
      <c r="FC144" s="37"/>
      <c r="FD144" s="37"/>
      <c r="FE144" s="37"/>
      <c r="FF144" s="37"/>
      <c r="FG144" s="37"/>
      <c r="FH144" s="37"/>
      <c r="FI144" s="37"/>
      <c r="FJ144" s="37"/>
      <c r="FK144" s="37"/>
      <c r="FL144" s="37"/>
      <c r="FM144" s="37"/>
      <c r="FN144" s="37"/>
      <c r="FO144" s="37"/>
      <c r="FP144" s="37"/>
      <c r="FQ144" s="37"/>
      <c r="FR144" s="37"/>
      <c r="FS144" s="37"/>
      <c r="FT144" s="37"/>
      <c r="FU144" s="37"/>
      <c r="FV144" s="37"/>
      <c r="FW144" s="37"/>
      <c r="FX144" s="37"/>
      <c r="FY144" s="37"/>
      <c r="FZ144" s="37"/>
      <c r="GA144" s="37"/>
      <c r="GB144" s="37"/>
      <c r="GC144" s="37"/>
      <c r="GD144" s="37"/>
      <c r="GE144" s="37"/>
      <c r="GF144" s="37"/>
      <c r="GG144" s="37"/>
      <c r="GH144" s="37"/>
      <c r="GI144" s="37"/>
      <c r="GJ144" s="37"/>
      <c r="GK144" s="37"/>
      <c r="GL144" s="37"/>
      <c r="GM144" s="37"/>
      <c r="GN144" s="37"/>
      <c r="GO144" s="37"/>
      <c r="GP144" s="37"/>
      <c r="GQ144" s="37"/>
      <c r="GR144" s="37"/>
      <c r="GS144" s="37"/>
      <c r="GT144" s="37"/>
      <c r="GU144" s="37"/>
      <c r="GV144" s="37"/>
      <c r="GW144" s="37"/>
      <c r="GX144" s="37"/>
      <c r="GY144" s="37"/>
      <c r="GZ144" s="37"/>
      <c r="HA144" s="37"/>
      <c r="HB144" s="37"/>
      <c r="HC144" s="37"/>
      <c r="HD144" s="37"/>
      <c r="HE144" s="37"/>
      <c r="HF144" s="37"/>
      <c r="HG144" s="37"/>
      <c r="HH144" s="37"/>
      <c r="HI144" s="37"/>
      <c r="HJ144" s="37"/>
      <c r="HK144" s="37"/>
      <c r="HL144" s="37"/>
      <c r="HM144" s="37"/>
      <c r="HN144" s="37"/>
      <c r="HO144" s="37"/>
      <c r="HP144" s="37"/>
      <c r="HQ144" s="37"/>
      <c r="HR144" s="37"/>
      <c r="HS144" s="37"/>
      <c r="HT144" s="37"/>
      <c r="HU144" s="37"/>
      <c r="HV144" s="37"/>
      <c r="HW144" s="37"/>
      <c r="HX144" s="37"/>
      <c r="HY144" s="37"/>
      <c r="HZ144" s="37"/>
      <c r="IA144" s="37"/>
      <c r="IB144" s="37"/>
      <c r="IC144" s="37"/>
    </row>
    <row r="145" spans="1:237" s="40" customFormat="1" x14ac:dyDescent="0.2">
      <c r="A145" s="62"/>
      <c r="B145" s="63"/>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c r="AU145" s="37"/>
      <c r="AV145" s="37"/>
      <c r="AW145" s="37"/>
      <c r="AX145" s="37"/>
      <c r="AY145" s="37"/>
      <c r="AZ145" s="37"/>
      <c r="BA145" s="37"/>
      <c r="BB145" s="37"/>
      <c r="BC145" s="37"/>
      <c r="BD145" s="37"/>
      <c r="BE145" s="37"/>
      <c r="BF145" s="37"/>
      <c r="BG145" s="37"/>
      <c r="BH145" s="37"/>
      <c r="BI145" s="37"/>
      <c r="BJ145" s="37"/>
      <c r="BK145" s="37"/>
      <c r="BL145" s="37"/>
      <c r="BM145" s="37"/>
      <c r="BN145" s="37"/>
      <c r="BO145" s="37"/>
      <c r="BP145" s="37"/>
      <c r="BQ145" s="37"/>
      <c r="BR145" s="37"/>
      <c r="BS145" s="37"/>
      <c r="BT145" s="37"/>
      <c r="BU145" s="37"/>
      <c r="BV145" s="37"/>
      <c r="BW145" s="37"/>
      <c r="BX145" s="37"/>
      <c r="BY145" s="37"/>
      <c r="BZ145" s="37"/>
      <c r="CA145" s="37"/>
      <c r="CB145" s="37"/>
      <c r="CC145" s="37"/>
      <c r="CD145" s="37"/>
      <c r="CE145" s="37"/>
      <c r="CF145" s="37"/>
      <c r="CG145" s="37"/>
      <c r="CH145" s="37"/>
      <c r="CI145" s="37"/>
      <c r="CJ145" s="37"/>
      <c r="CK145" s="37"/>
      <c r="CL145" s="37"/>
      <c r="CM145" s="37"/>
      <c r="CN145" s="37"/>
      <c r="CO145" s="37"/>
      <c r="CP145" s="37"/>
      <c r="CQ145" s="37"/>
      <c r="CR145" s="37"/>
      <c r="CS145" s="37"/>
      <c r="CT145" s="37"/>
      <c r="CU145" s="37"/>
      <c r="CV145" s="37"/>
      <c r="CW145" s="37"/>
      <c r="CX145" s="37"/>
      <c r="CY145" s="37"/>
      <c r="CZ145" s="37"/>
      <c r="DA145" s="37"/>
      <c r="DB145" s="37"/>
      <c r="DC145" s="37"/>
      <c r="DD145" s="37"/>
      <c r="DE145" s="37"/>
      <c r="DF145" s="37"/>
      <c r="DG145" s="37"/>
      <c r="DH145" s="37"/>
      <c r="DI145" s="37"/>
      <c r="DJ145" s="37"/>
      <c r="DK145" s="37"/>
      <c r="DL145" s="37"/>
      <c r="DM145" s="37"/>
      <c r="DN145" s="37"/>
      <c r="DO145" s="37"/>
      <c r="DP145" s="37"/>
      <c r="DQ145" s="37"/>
      <c r="DR145" s="37"/>
      <c r="DS145" s="37"/>
      <c r="DT145" s="37"/>
      <c r="DU145" s="37"/>
      <c r="DV145" s="37"/>
      <c r="DW145" s="37"/>
      <c r="DX145" s="37"/>
      <c r="DY145" s="37"/>
      <c r="DZ145" s="37"/>
      <c r="EA145" s="37"/>
      <c r="EB145" s="37"/>
      <c r="EC145" s="37"/>
      <c r="ED145" s="37"/>
      <c r="EE145" s="37"/>
      <c r="EF145" s="37"/>
      <c r="EG145" s="37"/>
      <c r="EH145" s="37"/>
      <c r="EI145" s="37"/>
      <c r="EJ145" s="37"/>
      <c r="EK145" s="37"/>
      <c r="EL145" s="37"/>
      <c r="EM145" s="37"/>
      <c r="EN145" s="37"/>
      <c r="EO145" s="37"/>
      <c r="EP145" s="37"/>
      <c r="EQ145" s="37"/>
      <c r="ER145" s="37"/>
      <c r="ES145" s="37"/>
      <c r="ET145" s="37"/>
      <c r="EU145" s="37"/>
      <c r="EV145" s="37"/>
      <c r="EW145" s="37"/>
      <c r="EX145" s="37"/>
      <c r="EY145" s="37"/>
      <c r="EZ145" s="37"/>
      <c r="FA145" s="37"/>
      <c r="FB145" s="37"/>
      <c r="FC145" s="37"/>
      <c r="FD145" s="37"/>
      <c r="FE145" s="37"/>
      <c r="FF145" s="37"/>
      <c r="FG145" s="37"/>
      <c r="FH145" s="37"/>
      <c r="FI145" s="37"/>
      <c r="FJ145" s="37"/>
      <c r="FK145" s="37"/>
      <c r="FL145" s="37"/>
      <c r="FM145" s="37"/>
      <c r="FN145" s="37"/>
      <c r="FO145" s="37"/>
      <c r="FP145" s="37"/>
      <c r="FQ145" s="37"/>
      <c r="FR145" s="37"/>
      <c r="FS145" s="37"/>
      <c r="FT145" s="37"/>
      <c r="FU145" s="37"/>
      <c r="FV145" s="37"/>
      <c r="FW145" s="37"/>
      <c r="FX145" s="37"/>
      <c r="FY145" s="37"/>
      <c r="FZ145" s="37"/>
      <c r="GA145" s="37"/>
      <c r="GB145" s="37"/>
      <c r="GC145" s="37"/>
      <c r="GD145" s="37"/>
      <c r="GE145" s="37"/>
      <c r="GF145" s="37"/>
      <c r="GG145" s="37"/>
      <c r="GH145" s="37"/>
      <c r="GI145" s="37"/>
      <c r="GJ145" s="37"/>
      <c r="GK145" s="37"/>
      <c r="GL145" s="37"/>
      <c r="GM145" s="37"/>
      <c r="GN145" s="37"/>
      <c r="GO145" s="37"/>
      <c r="GP145" s="37"/>
      <c r="GQ145" s="37"/>
      <c r="GR145" s="37"/>
      <c r="GS145" s="37"/>
      <c r="GT145" s="37"/>
      <c r="GU145" s="37"/>
      <c r="GV145" s="37"/>
      <c r="GW145" s="37"/>
      <c r="GX145" s="37"/>
      <c r="GY145" s="37"/>
      <c r="GZ145" s="37"/>
      <c r="HA145" s="37"/>
      <c r="HB145" s="37"/>
      <c r="HC145" s="37"/>
      <c r="HD145" s="37"/>
      <c r="HE145" s="37"/>
      <c r="HF145" s="37"/>
      <c r="HG145" s="37"/>
      <c r="HH145" s="37"/>
      <c r="HI145" s="37"/>
      <c r="HJ145" s="37"/>
      <c r="HK145" s="37"/>
      <c r="HL145" s="37"/>
      <c r="HM145" s="37"/>
      <c r="HN145" s="37"/>
      <c r="HO145" s="37"/>
      <c r="HP145" s="37"/>
      <c r="HQ145" s="37"/>
      <c r="HR145" s="37"/>
      <c r="HS145" s="37"/>
      <c r="HT145" s="37"/>
      <c r="HU145" s="37"/>
      <c r="HV145" s="37"/>
      <c r="HW145" s="37"/>
      <c r="HX145" s="37"/>
      <c r="HY145" s="37"/>
      <c r="HZ145" s="37"/>
      <c r="IA145" s="37"/>
      <c r="IB145" s="37"/>
      <c r="IC145" s="37"/>
    </row>
    <row r="146" spans="1:237" s="40" customFormat="1" x14ac:dyDescent="0.2">
      <c r="A146" s="62"/>
      <c r="B146" s="63"/>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c r="AU146" s="37"/>
      <c r="AV146" s="37"/>
      <c r="AW146" s="37"/>
      <c r="AX146" s="37"/>
      <c r="AY146" s="37"/>
      <c r="AZ146" s="37"/>
      <c r="BA146" s="37"/>
      <c r="BB146" s="37"/>
      <c r="BC146" s="37"/>
      <c r="BD146" s="37"/>
      <c r="BE146" s="37"/>
      <c r="BF146" s="37"/>
      <c r="BG146" s="37"/>
      <c r="BH146" s="37"/>
      <c r="BI146" s="37"/>
      <c r="BJ146" s="37"/>
      <c r="BK146" s="37"/>
      <c r="BL146" s="37"/>
      <c r="BM146" s="37"/>
      <c r="BN146" s="37"/>
      <c r="BO146" s="37"/>
      <c r="BP146" s="37"/>
      <c r="BQ146" s="37"/>
      <c r="BR146" s="37"/>
      <c r="BS146" s="37"/>
      <c r="BT146" s="37"/>
      <c r="BU146" s="37"/>
      <c r="BV146" s="37"/>
      <c r="BW146" s="37"/>
      <c r="BX146" s="37"/>
      <c r="BY146" s="37"/>
      <c r="BZ146" s="37"/>
      <c r="CA146" s="37"/>
      <c r="CB146" s="37"/>
      <c r="CC146" s="37"/>
      <c r="CD146" s="37"/>
      <c r="CE146" s="37"/>
      <c r="CF146" s="37"/>
      <c r="CG146" s="37"/>
      <c r="CH146" s="37"/>
      <c r="CI146" s="37"/>
      <c r="CJ146" s="37"/>
      <c r="CK146" s="37"/>
      <c r="CL146" s="37"/>
      <c r="CM146" s="37"/>
      <c r="CN146" s="37"/>
      <c r="CO146" s="37"/>
      <c r="CP146" s="37"/>
      <c r="CQ146" s="37"/>
      <c r="CR146" s="37"/>
      <c r="CS146" s="37"/>
      <c r="CT146" s="37"/>
      <c r="CU146" s="37"/>
      <c r="CV146" s="37"/>
      <c r="CW146" s="37"/>
      <c r="CX146" s="37"/>
      <c r="CY146" s="37"/>
      <c r="CZ146" s="37"/>
      <c r="DA146" s="37"/>
      <c r="DB146" s="37"/>
      <c r="DC146" s="37"/>
      <c r="DD146" s="37"/>
      <c r="DE146" s="37"/>
      <c r="DF146" s="37"/>
      <c r="DG146" s="37"/>
      <c r="DH146" s="37"/>
      <c r="DI146" s="37"/>
      <c r="DJ146" s="37"/>
      <c r="DK146" s="37"/>
      <c r="DL146" s="37"/>
      <c r="DM146" s="37"/>
      <c r="DN146" s="37"/>
      <c r="DO146" s="37"/>
      <c r="DP146" s="37"/>
      <c r="DQ146" s="37"/>
      <c r="DR146" s="37"/>
      <c r="DS146" s="37"/>
      <c r="DT146" s="37"/>
      <c r="DU146" s="37"/>
      <c r="DV146" s="37"/>
      <c r="DW146" s="37"/>
      <c r="DX146" s="37"/>
      <c r="DY146" s="37"/>
      <c r="DZ146" s="37"/>
      <c r="EA146" s="37"/>
      <c r="EB146" s="37"/>
      <c r="EC146" s="37"/>
      <c r="ED146" s="37"/>
      <c r="EE146" s="37"/>
      <c r="EF146" s="37"/>
      <c r="EG146" s="37"/>
      <c r="EH146" s="37"/>
      <c r="EI146" s="37"/>
      <c r="EJ146" s="37"/>
      <c r="EK146" s="37"/>
      <c r="EL146" s="37"/>
      <c r="EM146" s="37"/>
      <c r="EN146" s="37"/>
      <c r="EO146" s="37"/>
      <c r="EP146" s="37"/>
      <c r="EQ146" s="37"/>
      <c r="ER146" s="37"/>
      <c r="ES146" s="37"/>
      <c r="ET146" s="37"/>
      <c r="EU146" s="37"/>
      <c r="EV146" s="37"/>
      <c r="EW146" s="37"/>
      <c r="EX146" s="37"/>
      <c r="EY146" s="37"/>
      <c r="EZ146" s="37"/>
      <c r="FA146" s="37"/>
      <c r="FB146" s="37"/>
      <c r="FC146" s="37"/>
      <c r="FD146" s="37"/>
      <c r="FE146" s="37"/>
      <c r="FF146" s="37"/>
      <c r="FG146" s="37"/>
      <c r="FH146" s="37"/>
      <c r="FI146" s="37"/>
      <c r="FJ146" s="37"/>
      <c r="FK146" s="37"/>
      <c r="FL146" s="37"/>
      <c r="FM146" s="37"/>
      <c r="FN146" s="37"/>
      <c r="FO146" s="37"/>
      <c r="FP146" s="37"/>
      <c r="FQ146" s="37"/>
      <c r="FR146" s="37"/>
      <c r="FS146" s="37"/>
      <c r="FT146" s="37"/>
      <c r="FU146" s="37"/>
      <c r="FV146" s="37"/>
      <c r="FW146" s="37"/>
      <c r="FX146" s="37"/>
      <c r="FY146" s="37"/>
      <c r="FZ146" s="37"/>
      <c r="GA146" s="37"/>
      <c r="GB146" s="37"/>
      <c r="GC146" s="37"/>
      <c r="GD146" s="37"/>
      <c r="GE146" s="37"/>
      <c r="GF146" s="37"/>
      <c r="GG146" s="37"/>
      <c r="GH146" s="37"/>
      <c r="GI146" s="37"/>
      <c r="GJ146" s="37"/>
      <c r="GK146" s="37"/>
      <c r="GL146" s="37"/>
      <c r="GM146" s="37"/>
      <c r="GN146" s="37"/>
      <c r="GO146" s="37"/>
      <c r="GP146" s="37"/>
      <c r="GQ146" s="37"/>
      <c r="GR146" s="37"/>
      <c r="GS146" s="37"/>
      <c r="GT146" s="37"/>
      <c r="GU146" s="37"/>
      <c r="GV146" s="37"/>
      <c r="GW146" s="37"/>
      <c r="GX146" s="37"/>
      <c r="GY146" s="37"/>
      <c r="GZ146" s="37"/>
      <c r="HA146" s="37"/>
      <c r="HB146" s="37"/>
      <c r="HC146" s="37"/>
      <c r="HD146" s="37"/>
      <c r="HE146" s="37"/>
      <c r="HF146" s="37"/>
      <c r="HG146" s="37"/>
      <c r="HH146" s="37"/>
      <c r="HI146" s="37"/>
      <c r="HJ146" s="37"/>
      <c r="HK146" s="37"/>
      <c r="HL146" s="37"/>
      <c r="HM146" s="37"/>
      <c r="HN146" s="37"/>
      <c r="HO146" s="37"/>
      <c r="HP146" s="37"/>
      <c r="HQ146" s="37"/>
      <c r="HR146" s="37"/>
      <c r="HS146" s="37"/>
      <c r="HT146" s="37"/>
      <c r="HU146" s="37"/>
      <c r="HV146" s="37"/>
      <c r="HW146" s="37"/>
      <c r="HX146" s="37"/>
      <c r="HY146" s="37"/>
      <c r="HZ146" s="37"/>
      <c r="IA146" s="37"/>
      <c r="IB146" s="37"/>
      <c r="IC146" s="37"/>
    </row>
    <row r="147" spans="1:237" s="40" customFormat="1" x14ac:dyDescent="0.2">
      <c r="A147" s="62"/>
      <c r="B147" s="63"/>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37"/>
      <c r="AX147" s="37"/>
      <c r="AY147" s="37"/>
      <c r="AZ147" s="37"/>
      <c r="BA147" s="37"/>
      <c r="BB147" s="37"/>
      <c r="BC147" s="37"/>
      <c r="BD147" s="37"/>
      <c r="BE147" s="37"/>
      <c r="BF147" s="37"/>
      <c r="BG147" s="37"/>
      <c r="BH147" s="37"/>
      <c r="BI147" s="37"/>
      <c r="BJ147" s="37"/>
      <c r="BK147" s="37"/>
      <c r="BL147" s="37"/>
      <c r="BM147" s="37"/>
      <c r="BN147" s="37"/>
      <c r="BO147" s="37"/>
      <c r="BP147" s="37"/>
      <c r="BQ147" s="37"/>
      <c r="BR147" s="37"/>
      <c r="BS147" s="37"/>
      <c r="BT147" s="37"/>
      <c r="BU147" s="37"/>
      <c r="BV147" s="37"/>
      <c r="BW147" s="37"/>
      <c r="BX147" s="37"/>
      <c r="BY147" s="37"/>
      <c r="BZ147" s="37"/>
      <c r="CA147" s="37"/>
      <c r="CB147" s="37"/>
      <c r="CC147" s="37"/>
      <c r="CD147" s="37"/>
      <c r="CE147" s="37"/>
      <c r="CF147" s="37"/>
      <c r="CG147" s="37"/>
      <c r="CH147" s="37"/>
      <c r="CI147" s="37"/>
      <c r="CJ147" s="37"/>
      <c r="CK147" s="37"/>
      <c r="CL147" s="37"/>
      <c r="CM147" s="37"/>
      <c r="CN147" s="37"/>
      <c r="CO147" s="37"/>
      <c r="CP147" s="37"/>
      <c r="CQ147" s="37"/>
      <c r="CR147" s="37"/>
      <c r="CS147" s="37"/>
      <c r="CT147" s="37"/>
      <c r="CU147" s="37"/>
      <c r="CV147" s="37"/>
      <c r="CW147" s="37"/>
      <c r="CX147" s="37"/>
      <c r="CY147" s="37"/>
      <c r="CZ147" s="37"/>
      <c r="DA147" s="37"/>
      <c r="DB147" s="37"/>
      <c r="DC147" s="37"/>
      <c r="DD147" s="37"/>
      <c r="DE147" s="37"/>
      <c r="DF147" s="37"/>
      <c r="DG147" s="37"/>
      <c r="DH147" s="37"/>
      <c r="DI147" s="37"/>
      <c r="DJ147" s="37"/>
      <c r="DK147" s="37"/>
      <c r="DL147" s="37"/>
      <c r="DM147" s="37"/>
      <c r="DN147" s="37"/>
      <c r="DO147" s="37"/>
      <c r="DP147" s="37"/>
      <c r="DQ147" s="37"/>
      <c r="DR147" s="37"/>
      <c r="DS147" s="37"/>
      <c r="DT147" s="37"/>
      <c r="DU147" s="37"/>
      <c r="DV147" s="37"/>
      <c r="DW147" s="37"/>
      <c r="DX147" s="37"/>
      <c r="DY147" s="37"/>
      <c r="DZ147" s="37"/>
      <c r="EA147" s="37"/>
      <c r="EB147" s="37"/>
      <c r="EC147" s="37"/>
      <c r="ED147" s="37"/>
      <c r="EE147" s="37"/>
      <c r="EF147" s="37"/>
      <c r="EG147" s="37"/>
      <c r="EH147" s="37"/>
      <c r="EI147" s="37"/>
      <c r="EJ147" s="37"/>
      <c r="EK147" s="37"/>
      <c r="EL147" s="37"/>
      <c r="EM147" s="37"/>
      <c r="EN147" s="37"/>
      <c r="EO147" s="37"/>
      <c r="EP147" s="37"/>
      <c r="EQ147" s="37"/>
      <c r="ER147" s="37"/>
      <c r="ES147" s="37"/>
      <c r="ET147" s="37"/>
      <c r="EU147" s="37"/>
      <c r="EV147" s="37"/>
      <c r="EW147" s="37"/>
      <c r="EX147" s="37"/>
      <c r="EY147" s="37"/>
      <c r="EZ147" s="37"/>
      <c r="FA147" s="37"/>
      <c r="FB147" s="37"/>
      <c r="FC147" s="37"/>
      <c r="FD147" s="37"/>
      <c r="FE147" s="37"/>
      <c r="FF147" s="37"/>
      <c r="FG147" s="37"/>
      <c r="FH147" s="37"/>
      <c r="FI147" s="37"/>
      <c r="FJ147" s="37"/>
      <c r="FK147" s="37"/>
      <c r="FL147" s="37"/>
      <c r="FM147" s="37"/>
      <c r="FN147" s="37"/>
      <c r="FO147" s="37"/>
      <c r="FP147" s="37"/>
      <c r="FQ147" s="37"/>
      <c r="FR147" s="37"/>
      <c r="FS147" s="37"/>
      <c r="FT147" s="37"/>
      <c r="FU147" s="37"/>
      <c r="FV147" s="37"/>
      <c r="FW147" s="37"/>
      <c r="FX147" s="37"/>
      <c r="FY147" s="37"/>
      <c r="FZ147" s="37"/>
      <c r="GA147" s="37"/>
      <c r="GB147" s="37"/>
      <c r="GC147" s="37"/>
      <c r="GD147" s="37"/>
      <c r="GE147" s="37"/>
      <c r="GF147" s="37"/>
      <c r="GG147" s="37"/>
      <c r="GH147" s="37"/>
      <c r="GI147" s="37"/>
      <c r="GJ147" s="37"/>
      <c r="GK147" s="37"/>
      <c r="GL147" s="37"/>
      <c r="GM147" s="37"/>
      <c r="GN147" s="37"/>
      <c r="GO147" s="37"/>
      <c r="GP147" s="37"/>
      <c r="GQ147" s="37"/>
      <c r="GR147" s="37"/>
      <c r="GS147" s="37"/>
      <c r="GT147" s="37"/>
      <c r="GU147" s="37"/>
      <c r="GV147" s="37"/>
      <c r="GW147" s="37"/>
      <c r="GX147" s="37"/>
      <c r="GY147" s="37"/>
      <c r="GZ147" s="37"/>
      <c r="HA147" s="37"/>
      <c r="HB147" s="37"/>
      <c r="HC147" s="37"/>
      <c r="HD147" s="37"/>
      <c r="HE147" s="37"/>
      <c r="HF147" s="37"/>
      <c r="HG147" s="37"/>
      <c r="HH147" s="37"/>
      <c r="HI147" s="37"/>
      <c r="HJ147" s="37"/>
      <c r="HK147" s="37"/>
      <c r="HL147" s="37"/>
      <c r="HM147" s="37"/>
      <c r="HN147" s="37"/>
      <c r="HO147" s="37"/>
      <c r="HP147" s="37"/>
      <c r="HQ147" s="37"/>
      <c r="HR147" s="37"/>
      <c r="HS147" s="37"/>
      <c r="HT147" s="37"/>
      <c r="HU147" s="37"/>
      <c r="HV147" s="37"/>
      <c r="HW147" s="37"/>
      <c r="HX147" s="37"/>
      <c r="HY147" s="37"/>
      <c r="HZ147" s="37"/>
      <c r="IA147" s="37"/>
      <c r="IB147" s="37"/>
      <c r="IC147" s="37"/>
    </row>
    <row r="148" spans="1:237" s="40" customFormat="1" x14ac:dyDescent="0.2">
      <c r="A148" s="62"/>
      <c r="B148" s="63"/>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7"/>
      <c r="BC148" s="37"/>
      <c r="BD148" s="37"/>
      <c r="BE148" s="37"/>
      <c r="BF148" s="37"/>
      <c r="BG148" s="37"/>
      <c r="BH148" s="37"/>
      <c r="BI148" s="37"/>
      <c r="BJ148" s="37"/>
      <c r="BK148" s="37"/>
      <c r="BL148" s="37"/>
      <c r="BM148" s="37"/>
      <c r="BN148" s="37"/>
      <c r="BO148" s="37"/>
      <c r="BP148" s="37"/>
      <c r="BQ148" s="37"/>
      <c r="BR148" s="37"/>
      <c r="BS148" s="37"/>
      <c r="BT148" s="37"/>
      <c r="BU148" s="37"/>
      <c r="BV148" s="37"/>
      <c r="BW148" s="37"/>
      <c r="BX148" s="37"/>
      <c r="BY148" s="37"/>
      <c r="BZ148" s="37"/>
      <c r="CA148" s="37"/>
      <c r="CB148" s="37"/>
      <c r="CC148" s="37"/>
      <c r="CD148" s="37"/>
      <c r="CE148" s="37"/>
      <c r="CF148" s="37"/>
      <c r="CG148" s="37"/>
      <c r="CH148" s="37"/>
      <c r="CI148" s="37"/>
      <c r="CJ148" s="37"/>
      <c r="CK148" s="37"/>
      <c r="CL148" s="37"/>
      <c r="CM148" s="37"/>
      <c r="CN148" s="37"/>
      <c r="CO148" s="37"/>
      <c r="CP148" s="37"/>
      <c r="CQ148" s="37"/>
      <c r="CR148" s="37"/>
      <c r="CS148" s="37"/>
      <c r="CT148" s="37"/>
      <c r="CU148" s="37"/>
      <c r="CV148" s="37"/>
      <c r="CW148" s="37"/>
      <c r="CX148" s="37"/>
      <c r="CY148" s="37"/>
      <c r="CZ148" s="37"/>
      <c r="DA148" s="37"/>
      <c r="DB148" s="37"/>
      <c r="DC148" s="37"/>
      <c r="DD148" s="37"/>
      <c r="DE148" s="37"/>
      <c r="DF148" s="37"/>
      <c r="DG148" s="37"/>
      <c r="DH148" s="37"/>
      <c r="DI148" s="37"/>
      <c r="DJ148" s="37"/>
      <c r="DK148" s="37"/>
      <c r="DL148" s="37"/>
      <c r="DM148" s="37"/>
      <c r="DN148" s="37"/>
      <c r="DO148" s="37"/>
      <c r="DP148" s="37"/>
      <c r="DQ148" s="37"/>
      <c r="DR148" s="37"/>
      <c r="DS148" s="37"/>
      <c r="DT148" s="37"/>
      <c r="DU148" s="37"/>
      <c r="DV148" s="37"/>
      <c r="DW148" s="37"/>
      <c r="DX148" s="37"/>
      <c r="DY148" s="37"/>
      <c r="DZ148" s="37"/>
      <c r="EA148" s="37"/>
      <c r="EB148" s="37"/>
      <c r="EC148" s="37"/>
      <c r="ED148" s="37"/>
      <c r="EE148" s="37"/>
      <c r="EF148" s="37"/>
      <c r="EG148" s="37"/>
      <c r="EH148" s="37"/>
      <c r="EI148" s="37"/>
      <c r="EJ148" s="37"/>
      <c r="EK148" s="37"/>
      <c r="EL148" s="37"/>
      <c r="EM148" s="37"/>
      <c r="EN148" s="37"/>
      <c r="EO148" s="37"/>
      <c r="EP148" s="37"/>
      <c r="EQ148" s="37"/>
      <c r="ER148" s="37"/>
      <c r="ES148" s="37"/>
      <c r="ET148" s="37"/>
      <c r="EU148" s="37"/>
      <c r="EV148" s="37"/>
      <c r="EW148" s="37"/>
      <c r="EX148" s="37"/>
      <c r="EY148" s="37"/>
      <c r="EZ148" s="37"/>
      <c r="FA148" s="37"/>
      <c r="FB148" s="37"/>
      <c r="FC148" s="37"/>
      <c r="FD148" s="37"/>
      <c r="FE148" s="37"/>
      <c r="FF148" s="37"/>
      <c r="FG148" s="37"/>
      <c r="FH148" s="37"/>
      <c r="FI148" s="37"/>
      <c r="FJ148" s="37"/>
      <c r="FK148" s="37"/>
      <c r="FL148" s="37"/>
      <c r="FM148" s="37"/>
      <c r="FN148" s="37"/>
      <c r="FO148" s="37"/>
      <c r="FP148" s="37"/>
      <c r="FQ148" s="37"/>
      <c r="FR148" s="37"/>
      <c r="FS148" s="37"/>
      <c r="FT148" s="37"/>
      <c r="FU148" s="37"/>
      <c r="FV148" s="37"/>
      <c r="FW148" s="37"/>
      <c r="FX148" s="37"/>
      <c r="FY148" s="37"/>
      <c r="FZ148" s="37"/>
      <c r="GA148" s="37"/>
      <c r="GB148" s="37"/>
      <c r="GC148" s="37"/>
      <c r="GD148" s="37"/>
      <c r="GE148" s="37"/>
      <c r="GF148" s="37"/>
      <c r="GG148" s="37"/>
      <c r="GH148" s="37"/>
      <c r="GI148" s="37"/>
      <c r="GJ148" s="37"/>
      <c r="GK148" s="37"/>
      <c r="GL148" s="37"/>
      <c r="GM148" s="37"/>
      <c r="GN148" s="37"/>
      <c r="GO148" s="37"/>
      <c r="GP148" s="37"/>
      <c r="GQ148" s="37"/>
      <c r="GR148" s="37"/>
      <c r="GS148" s="37"/>
      <c r="GT148" s="37"/>
      <c r="GU148" s="37"/>
      <c r="GV148" s="37"/>
      <c r="GW148" s="37"/>
      <c r="GX148" s="37"/>
      <c r="GY148" s="37"/>
      <c r="GZ148" s="37"/>
      <c r="HA148" s="37"/>
      <c r="HB148" s="37"/>
      <c r="HC148" s="37"/>
      <c r="HD148" s="37"/>
      <c r="HE148" s="37"/>
      <c r="HF148" s="37"/>
      <c r="HG148" s="37"/>
      <c r="HH148" s="37"/>
      <c r="HI148" s="37"/>
      <c r="HJ148" s="37"/>
      <c r="HK148" s="37"/>
      <c r="HL148" s="37"/>
      <c r="HM148" s="37"/>
      <c r="HN148" s="37"/>
      <c r="HO148" s="37"/>
      <c r="HP148" s="37"/>
      <c r="HQ148" s="37"/>
      <c r="HR148" s="37"/>
      <c r="HS148" s="37"/>
      <c r="HT148" s="37"/>
      <c r="HU148" s="37"/>
      <c r="HV148" s="37"/>
      <c r="HW148" s="37"/>
      <c r="HX148" s="37"/>
      <c r="HY148" s="37"/>
      <c r="HZ148" s="37"/>
      <c r="IA148" s="37"/>
      <c r="IB148" s="37"/>
      <c r="IC148" s="37"/>
    </row>
    <row r="149" spans="1:237" s="40" customFormat="1" x14ac:dyDescent="0.2">
      <c r="A149" s="62"/>
      <c r="B149" s="63"/>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c r="BC149" s="37"/>
      <c r="BD149" s="37"/>
      <c r="BE149" s="37"/>
      <c r="BF149" s="37"/>
      <c r="BG149" s="37"/>
      <c r="BH149" s="37"/>
      <c r="BI149" s="37"/>
      <c r="BJ149" s="37"/>
      <c r="BK149" s="37"/>
      <c r="BL149" s="37"/>
      <c r="BM149" s="37"/>
      <c r="BN149" s="37"/>
      <c r="BO149" s="37"/>
      <c r="BP149" s="37"/>
      <c r="BQ149" s="37"/>
      <c r="BR149" s="37"/>
      <c r="BS149" s="37"/>
      <c r="BT149" s="37"/>
      <c r="BU149" s="37"/>
      <c r="BV149" s="37"/>
      <c r="BW149" s="37"/>
      <c r="BX149" s="37"/>
      <c r="BY149" s="37"/>
      <c r="BZ149" s="37"/>
      <c r="CA149" s="37"/>
      <c r="CB149" s="37"/>
      <c r="CC149" s="37"/>
      <c r="CD149" s="37"/>
      <c r="CE149" s="37"/>
      <c r="CF149" s="37"/>
      <c r="CG149" s="37"/>
      <c r="CH149" s="37"/>
      <c r="CI149" s="37"/>
      <c r="CJ149" s="37"/>
      <c r="CK149" s="37"/>
      <c r="CL149" s="37"/>
      <c r="CM149" s="37"/>
      <c r="CN149" s="37"/>
      <c r="CO149" s="37"/>
      <c r="CP149" s="37"/>
      <c r="CQ149" s="37"/>
      <c r="CR149" s="37"/>
      <c r="CS149" s="37"/>
      <c r="CT149" s="37"/>
      <c r="CU149" s="37"/>
      <c r="CV149" s="37"/>
      <c r="CW149" s="37"/>
      <c r="CX149" s="37"/>
      <c r="CY149" s="37"/>
      <c r="CZ149" s="37"/>
      <c r="DA149" s="37"/>
      <c r="DB149" s="37"/>
      <c r="DC149" s="37"/>
      <c r="DD149" s="37"/>
      <c r="DE149" s="37"/>
      <c r="DF149" s="37"/>
      <c r="DG149" s="37"/>
      <c r="DH149" s="37"/>
      <c r="DI149" s="37"/>
      <c r="DJ149" s="37"/>
      <c r="DK149" s="37"/>
      <c r="DL149" s="37"/>
      <c r="DM149" s="37"/>
      <c r="DN149" s="37"/>
      <c r="DO149" s="37"/>
      <c r="DP149" s="37"/>
      <c r="DQ149" s="37"/>
      <c r="DR149" s="37"/>
      <c r="DS149" s="37"/>
      <c r="DT149" s="37"/>
      <c r="DU149" s="37"/>
      <c r="DV149" s="37"/>
      <c r="DW149" s="37"/>
      <c r="DX149" s="37"/>
      <c r="DY149" s="37"/>
      <c r="DZ149" s="37"/>
      <c r="EA149" s="37"/>
      <c r="EB149" s="37"/>
      <c r="EC149" s="37"/>
      <c r="ED149" s="37"/>
      <c r="EE149" s="37"/>
      <c r="EF149" s="37"/>
      <c r="EG149" s="37"/>
      <c r="EH149" s="37"/>
      <c r="EI149" s="37"/>
      <c r="EJ149" s="37"/>
      <c r="EK149" s="37"/>
      <c r="EL149" s="37"/>
      <c r="EM149" s="37"/>
      <c r="EN149" s="37"/>
      <c r="EO149" s="37"/>
      <c r="EP149" s="37"/>
      <c r="EQ149" s="37"/>
      <c r="ER149" s="37"/>
      <c r="ES149" s="37"/>
      <c r="ET149" s="37"/>
      <c r="EU149" s="37"/>
      <c r="EV149" s="37"/>
      <c r="EW149" s="37"/>
      <c r="EX149" s="37"/>
      <c r="EY149" s="37"/>
      <c r="EZ149" s="37"/>
      <c r="FA149" s="37"/>
      <c r="FB149" s="37"/>
      <c r="FC149" s="37"/>
      <c r="FD149" s="37"/>
      <c r="FE149" s="37"/>
      <c r="FF149" s="37"/>
      <c r="FG149" s="37"/>
      <c r="FH149" s="37"/>
      <c r="FI149" s="37"/>
      <c r="FJ149" s="37"/>
      <c r="FK149" s="37"/>
      <c r="FL149" s="37"/>
      <c r="FM149" s="37"/>
      <c r="FN149" s="37"/>
      <c r="FO149" s="37"/>
      <c r="FP149" s="37"/>
      <c r="FQ149" s="37"/>
      <c r="FR149" s="37"/>
      <c r="FS149" s="37"/>
      <c r="FT149" s="37"/>
      <c r="FU149" s="37"/>
      <c r="FV149" s="37"/>
      <c r="FW149" s="37"/>
      <c r="FX149" s="37"/>
      <c r="FY149" s="37"/>
      <c r="FZ149" s="37"/>
      <c r="GA149" s="37"/>
      <c r="GB149" s="37"/>
      <c r="GC149" s="37"/>
      <c r="GD149" s="37"/>
      <c r="GE149" s="37"/>
      <c r="GF149" s="37"/>
      <c r="GG149" s="37"/>
      <c r="GH149" s="37"/>
      <c r="GI149" s="37"/>
      <c r="GJ149" s="37"/>
      <c r="GK149" s="37"/>
      <c r="GL149" s="37"/>
      <c r="GM149" s="37"/>
      <c r="GN149" s="37"/>
      <c r="GO149" s="37"/>
      <c r="GP149" s="37"/>
      <c r="GQ149" s="37"/>
      <c r="GR149" s="37"/>
      <c r="GS149" s="37"/>
      <c r="GT149" s="37"/>
      <c r="GU149" s="37"/>
      <c r="GV149" s="37"/>
      <c r="GW149" s="37"/>
      <c r="GX149" s="37"/>
      <c r="GY149" s="37"/>
      <c r="GZ149" s="37"/>
      <c r="HA149" s="37"/>
      <c r="HB149" s="37"/>
      <c r="HC149" s="37"/>
      <c r="HD149" s="37"/>
      <c r="HE149" s="37"/>
      <c r="HF149" s="37"/>
      <c r="HG149" s="37"/>
      <c r="HH149" s="37"/>
      <c r="HI149" s="37"/>
      <c r="HJ149" s="37"/>
      <c r="HK149" s="37"/>
      <c r="HL149" s="37"/>
      <c r="HM149" s="37"/>
      <c r="HN149" s="37"/>
      <c r="HO149" s="37"/>
      <c r="HP149" s="37"/>
      <c r="HQ149" s="37"/>
      <c r="HR149" s="37"/>
      <c r="HS149" s="37"/>
      <c r="HT149" s="37"/>
      <c r="HU149" s="37"/>
      <c r="HV149" s="37"/>
      <c r="HW149" s="37"/>
      <c r="HX149" s="37"/>
      <c r="HY149" s="37"/>
      <c r="HZ149" s="37"/>
      <c r="IA149" s="37"/>
      <c r="IB149" s="37"/>
      <c r="IC149" s="37"/>
    </row>
    <row r="150" spans="1:237" s="40" customFormat="1" x14ac:dyDescent="0.2">
      <c r="A150" s="62"/>
      <c r="B150" s="63"/>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37"/>
      <c r="AX150" s="37"/>
      <c r="AY150" s="37"/>
      <c r="AZ150" s="37"/>
      <c r="BA150" s="37"/>
      <c r="BB150" s="37"/>
      <c r="BC150" s="37"/>
      <c r="BD150" s="37"/>
      <c r="BE150" s="37"/>
      <c r="BF150" s="37"/>
      <c r="BG150" s="37"/>
      <c r="BH150" s="37"/>
      <c r="BI150" s="37"/>
      <c r="BJ150" s="37"/>
      <c r="BK150" s="37"/>
      <c r="BL150" s="37"/>
      <c r="BM150" s="37"/>
      <c r="BN150" s="37"/>
      <c r="BO150" s="37"/>
      <c r="BP150" s="37"/>
      <c r="BQ150" s="37"/>
      <c r="BR150" s="37"/>
      <c r="BS150" s="37"/>
      <c r="BT150" s="37"/>
      <c r="BU150" s="37"/>
      <c r="BV150" s="37"/>
      <c r="BW150" s="37"/>
      <c r="BX150" s="37"/>
      <c r="BY150" s="37"/>
      <c r="BZ150" s="37"/>
      <c r="CA150" s="37"/>
      <c r="CB150" s="37"/>
      <c r="CC150" s="37"/>
      <c r="CD150" s="37"/>
      <c r="CE150" s="37"/>
      <c r="CF150" s="37"/>
      <c r="CG150" s="37"/>
      <c r="CH150" s="37"/>
      <c r="CI150" s="37"/>
      <c r="CJ150" s="37"/>
      <c r="CK150" s="37"/>
      <c r="CL150" s="37"/>
      <c r="CM150" s="37"/>
      <c r="CN150" s="37"/>
      <c r="CO150" s="37"/>
      <c r="CP150" s="37"/>
      <c r="CQ150" s="37"/>
      <c r="CR150" s="37"/>
      <c r="CS150" s="37"/>
      <c r="CT150" s="37"/>
      <c r="CU150" s="37"/>
      <c r="CV150" s="37"/>
      <c r="CW150" s="37"/>
      <c r="CX150" s="37"/>
      <c r="CY150" s="37"/>
      <c r="CZ150" s="37"/>
      <c r="DA150" s="37"/>
      <c r="DB150" s="37"/>
      <c r="DC150" s="37"/>
      <c r="DD150" s="37"/>
      <c r="DE150" s="37"/>
      <c r="DF150" s="37"/>
      <c r="DG150" s="37"/>
      <c r="DH150" s="37"/>
      <c r="DI150" s="37"/>
      <c r="DJ150" s="37"/>
      <c r="DK150" s="37"/>
      <c r="DL150" s="37"/>
      <c r="DM150" s="37"/>
      <c r="DN150" s="37"/>
      <c r="DO150" s="37"/>
      <c r="DP150" s="37"/>
      <c r="DQ150" s="37"/>
      <c r="DR150" s="37"/>
      <c r="DS150" s="37"/>
      <c r="DT150" s="37"/>
      <c r="DU150" s="37"/>
      <c r="DV150" s="37"/>
      <c r="DW150" s="37"/>
      <c r="DX150" s="37"/>
      <c r="DY150" s="37"/>
      <c r="DZ150" s="37"/>
      <c r="EA150" s="37"/>
      <c r="EB150" s="37"/>
      <c r="EC150" s="37"/>
      <c r="ED150" s="37"/>
      <c r="EE150" s="37"/>
      <c r="EF150" s="37"/>
      <c r="EG150" s="37"/>
      <c r="EH150" s="37"/>
      <c r="EI150" s="37"/>
      <c r="EJ150" s="37"/>
      <c r="EK150" s="37"/>
      <c r="EL150" s="37"/>
      <c r="EM150" s="37"/>
      <c r="EN150" s="37"/>
      <c r="EO150" s="37"/>
      <c r="EP150" s="37"/>
      <c r="EQ150" s="37"/>
      <c r="ER150" s="37"/>
      <c r="ES150" s="37"/>
      <c r="ET150" s="37"/>
      <c r="EU150" s="37"/>
      <c r="EV150" s="37"/>
      <c r="EW150" s="37"/>
      <c r="EX150" s="37"/>
      <c r="EY150" s="37"/>
      <c r="EZ150" s="37"/>
      <c r="FA150" s="37"/>
      <c r="FB150" s="37"/>
      <c r="FC150" s="37"/>
      <c r="FD150" s="37"/>
      <c r="FE150" s="37"/>
      <c r="FF150" s="37"/>
      <c r="FG150" s="37"/>
      <c r="FH150" s="37"/>
      <c r="FI150" s="37"/>
      <c r="FJ150" s="37"/>
      <c r="FK150" s="37"/>
      <c r="FL150" s="37"/>
      <c r="FM150" s="37"/>
      <c r="FN150" s="37"/>
      <c r="FO150" s="37"/>
      <c r="FP150" s="37"/>
      <c r="FQ150" s="37"/>
      <c r="FR150" s="37"/>
      <c r="FS150" s="37"/>
      <c r="FT150" s="37"/>
      <c r="FU150" s="37"/>
      <c r="FV150" s="37"/>
      <c r="FW150" s="37"/>
      <c r="FX150" s="37"/>
      <c r="FY150" s="37"/>
      <c r="FZ150" s="37"/>
      <c r="GA150" s="37"/>
      <c r="GB150" s="37"/>
      <c r="GC150" s="37"/>
      <c r="GD150" s="37"/>
      <c r="GE150" s="37"/>
      <c r="GF150" s="37"/>
      <c r="GG150" s="37"/>
      <c r="GH150" s="37"/>
      <c r="GI150" s="37"/>
      <c r="GJ150" s="37"/>
      <c r="GK150" s="37"/>
      <c r="GL150" s="37"/>
      <c r="GM150" s="37"/>
      <c r="GN150" s="37"/>
      <c r="GO150" s="37"/>
      <c r="GP150" s="37"/>
      <c r="GQ150" s="37"/>
      <c r="GR150" s="37"/>
      <c r="GS150" s="37"/>
      <c r="GT150" s="37"/>
      <c r="GU150" s="37"/>
      <c r="GV150" s="37"/>
      <c r="GW150" s="37"/>
      <c r="GX150" s="37"/>
      <c r="GY150" s="37"/>
      <c r="GZ150" s="37"/>
      <c r="HA150" s="37"/>
      <c r="HB150" s="37"/>
      <c r="HC150" s="37"/>
      <c r="HD150" s="37"/>
      <c r="HE150" s="37"/>
      <c r="HF150" s="37"/>
      <c r="HG150" s="37"/>
      <c r="HH150" s="37"/>
      <c r="HI150" s="37"/>
      <c r="HJ150" s="37"/>
      <c r="HK150" s="37"/>
      <c r="HL150" s="37"/>
      <c r="HM150" s="37"/>
      <c r="HN150" s="37"/>
      <c r="HO150" s="37"/>
      <c r="HP150" s="37"/>
      <c r="HQ150" s="37"/>
      <c r="HR150" s="37"/>
      <c r="HS150" s="37"/>
      <c r="HT150" s="37"/>
      <c r="HU150" s="37"/>
      <c r="HV150" s="37"/>
      <c r="HW150" s="37"/>
      <c r="HX150" s="37"/>
      <c r="HY150" s="37"/>
      <c r="HZ150" s="37"/>
      <c r="IA150" s="37"/>
      <c r="IB150" s="37"/>
      <c r="IC150" s="37"/>
    </row>
    <row r="151" spans="1:237" s="40" customFormat="1" x14ac:dyDescent="0.2">
      <c r="A151" s="62"/>
      <c r="B151" s="63"/>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7"/>
      <c r="AZ151" s="37"/>
      <c r="BA151" s="37"/>
      <c r="BB151" s="37"/>
      <c r="BC151" s="37"/>
      <c r="BD151" s="37"/>
      <c r="BE151" s="37"/>
      <c r="BF151" s="37"/>
      <c r="BG151" s="37"/>
      <c r="BH151" s="37"/>
      <c r="BI151" s="37"/>
      <c r="BJ151" s="37"/>
      <c r="BK151" s="37"/>
      <c r="BL151" s="37"/>
      <c r="BM151" s="37"/>
      <c r="BN151" s="37"/>
      <c r="BO151" s="37"/>
      <c r="BP151" s="37"/>
      <c r="BQ151" s="37"/>
      <c r="BR151" s="37"/>
      <c r="BS151" s="37"/>
      <c r="BT151" s="37"/>
      <c r="BU151" s="37"/>
      <c r="BV151" s="37"/>
      <c r="BW151" s="37"/>
      <c r="BX151" s="37"/>
      <c r="BY151" s="37"/>
      <c r="BZ151" s="37"/>
      <c r="CA151" s="37"/>
      <c r="CB151" s="37"/>
      <c r="CC151" s="37"/>
      <c r="CD151" s="37"/>
      <c r="CE151" s="37"/>
      <c r="CF151" s="37"/>
      <c r="CG151" s="37"/>
      <c r="CH151" s="37"/>
      <c r="CI151" s="37"/>
      <c r="CJ151" s="37"/>
      <c r="CK151" s="37"/>
      <c r="CL151" s="37"/>
      <c r="CM151" s="37"/>
      <c r="CN151" s="37"/>
      <c r="CO151" s="37"/>
      <c r="CP151" s="37"/>
      <c r="CQ151" s="37"/>
      <c r="CR151" s="37"/>
      <c r="CS151" s="37"/>
      <c r="CT151" s="37"/>
      <c r="CU151" s="37"/>
      <c r="CV151" s="37"/>
      <c r="CW151" s="37"/>
      <c r="CX151" s="37"/>
      <c r="CY151" s="37"/>
      <c r="CZ151" s="37"/>
      <c r="DA151" s="37"/>
      <c r="DB151" s="37"/>
      <c r="DC151" s="37"/>
      <c r="DD151" s="37"/>
      <c r="DE151" s="37"/>
      <c r="DF151" s="37"/>
      <c r="DG151" s="37"/>
      <c r="DH151" s="37"/>
      <c r="DI151" s="37"/>
      <c r="DJ151" s="37"/>
      <c r="DK151" s="37"/>
      <c r="DL151" s="37"/>
      <c r="DM151" s="37"/>
      <c r="DN151" s="37"/>
      <c r="DO151" s="37"/>
      <c r="DP151" s="37"/>
      <c r="DQ151" s="37"/>
      <c r="DR151" s="37"/>
      <c r="DS151" s="37"/>
      <c r="DT151" s="37"/>
      <c r="DU151" s="37"/>
      <c r="DV151" s="37"/>
      <c r="DW151" s="37"/>
      <c r="DX151" s="37"/>
      <c r="DY151" s="37"/>
      <c r="DZ151" s="37"/>
      <c r="EA151" s="37"/>
      <c r="EB151" s="37"/>
      <c r="EC151" s="37"/>
      <c r="ED151" s="37"/>
      <c r="EE151" s="37"/>
      <c r="EF151" s="37"/>
      <c r="EG151" s="37"/>
      <c r="EH151" s="37"/>
      <c r="EI151" s="37"/>
      <c r="EJ151" s="37"/>
      <c r="EK151" s="37"/>
      <c r="EL151" s="37"/>
      <c r="EM151" s="37"/>
      <c r="EN151" s="37"/>
      <c r="EO151" s="37"/>
      <c r="EP151" s="37"/>
      <c r="EQ151" s="37"/>
      <c r="ER151" s="37"/>
      <c r="ES151" s="37"/>
      <c r="ET151" s="37"/>
      <c r="EU151" s="37"/>
      <c r="EV151" s="37"/>
      <c r="EW151" s="37"/>
      <c r="EX151" s="37"/>
      <c r="EY151" s="37"/>
      <c r="EZ151" s="37"/>
      <c r="FA151" s="37"/>
      <c r="FB151" s="37"/>
      <c r="FC151" s="37"/>
      <c r="FD151" s="37"/>
      <c r="FE151" s="37"/>
      <c r="FF151" s="37"/>
      <c r="FG151" s="37"/>
      <c r="FH151" s="37"/>
      <c r="FI151" s="37"/>
      <c r="FJ151" s="37"/>
      <c r="FK151" s="37"/>
      <c r="FL151" s="37"/>
      <c r="FM151" s="37"/>
      <c r="FN151" s="37"/>
      <c r="FO151" s="37"/>
      <c r="FP151" s="37"/>
      <c r="FQ151" s="37"/>
      <c r="FR151" s="37"/>
      <c r="FS151" s="37"/>
      <c r="FT151" s="37"/>
      <c r="FU151" s="37"/>
      <c r="FV151" s="37"/>
      <c r="FW151" s="37"/>
      <c r="FX151" s="37"/>
      <c r="FY151" s="37"/>
      <c r="FZ151" s="37"/>
      <c r="GA151" s="37"/>
      <c r="GB151" s="37"/>
      <c r="GC151" s="37"/>
      <c r="GD151" s="37"/>
      <c r="GE151" s="37"/>
      <c r="GF151" s="37"/>
      <c r="GG151" s="37"/>
      <c r="GH151" s="37"/>
      <c r="GI151" s="37"/>
      <c r="GJ151" s="37"/>
      <c r="GK151" s="37"/>
      <c r="GL151" s="37"/>
      <c r="GM151" s="37"/>
      <c r="GN151" s="37"/>
      <c r="GO151" s="37"/>
      <c r="GP151" s="37"/>
      <c r="GQ151" s="37"/>
      <c r="GR151" s="37"/>
      <c r="GS151" s="37"/>
      <c r="GT151" s="37"/>
      <c r="GU151" s="37"/>
      <c r="GV151" s="37"/>
      <c r="GW151" s="37"/>
      <c r="GX151" s="37"/>
      <c r="GY151" s="37"/>
      <c r="GZ151" s="37"/>
      <c r="HA151" s="37"/>
      <c r="HB151" s="37"/>
      <c r="HC151" s="37"/>
      <c r="HD151" s="37"/>
      <c r="HE151" s="37"/>
      <c r="HF151" s="37"/>
      <c r="HG151" s="37"/>
      <c r="HH151" s="37"/>
      <c r="HI151" s="37"/>
      <c r="HJ151" s="37"/>
      <c r="HK151" s="37"/>
      <c r="HL151" s="37"/>
      <c r="HM151" s="37"/>
      <c r="HN151" s="37"/>
      <c r="HO151" s="37"/>
      <c r="HP151" s="37"/>
      <c r="HQ151" s="37"/>
      <c r="HR151" s="37"/>
      <c r="HS151" s="37"/>
      <c r="HT151" s="37"/>
      <c r="HU151" s="37"/>
      <c r="HV151" s="37"/>
      <c r="HW151" s="37"/>
      <c r="HX151" s="37"/>
      <c r="HY151" s="37"/>
      <c r="HZ151" s="37"/>
      <c r="IA151" s="37"/>
      <c r="IB151" s="37"/>
      <c r="IC151" s="37"/>
    </row>
    <row r="152" spans="1:237" s="40" customFormat="1" x14ac:dyDescent="0.2">
      <c r="A152" s="62"/>
      <c r="B152" s="63"/>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37"/>
      <c r="AX152" s="37"/>
      <c r="AY152" s="37"/>
      <c r="AZ152" s="37"/>
      <c r="BA152" s="37"/>
      <c r="BB152" s="37"/>
      <c r="BC152" s="37"/>
      <c r="BD152" s="37"/>
      <c r="BE152" s="37"/>
      <c r="BF152" s="37"/>
      <c r="BG152" s="37"/>
      <c r="BH152" s="37"/>
      <c r="BI152" s="37"/>
      <c r="BJ152" s="37"/>
      <c r="BK152" s="37"/>
      <c r="BL152" s="37"/>
      <c r="BM152" s="37"/>
      <c r="BN152" s="37"/>
      <c r="BO152" s="37"/>
      <c r="BP152" s="37"/>
      <c r="BQ152" s="37"/>
      <c r="BR152" s="37"/>
      <c r="BS152" s="37"/>
      <c r="BT152" s="37"/>
      <c r="BU152" s="37"/>
      <c r="BV152" s="37"/>
      <c r="BW152" s="37"/>
      <c r="BX152" s="37"/>
      <c r="BY152" s="37"/>
      <c r="BZ152" s="37"/>
      <c r="CA152" s="37"/>
      <c r="CB152" s="37"/>
      <c r="CC152" s="37"/>
      <c r="CD152" s="37"/>
      <c r="CE152" s="37"/>
      <c r="CF152" s="37"/>
      <c r="CG152" s="37"/>
      <c r="CH152" s="37"/>
      <c r="CI152" s="37"/>
      <c r="CJ152" s="37"/>
      <c r="CK152" s="37"/>
      <c r="CL152" s="37"/>
      <c r="CM152" s="37"/>
      <c r="CN152" s="37"/>
      <c r="CO152" s="37"/>
      <c r="CP152" s="37"/>
      <c r="CQ152" s="37"/>
      <c r="CR152" s="37"/>
      <c r="CS152" s="37"/>
      <c r="CT152" s="37"/>
      <c r="CU152" s="37"/>
      <c r="CV152" s="37"/>
      <c r="CW152" s="37"/>
      <c r="CX152" s="37"/>
      <c r="CY152" s="37"/>
      <c r="CZ152" s="37"/>
      <c r="DA152" s="37"/>
      <c r="DB152" s="37"/>
      <c r="DC152" s="37"/>
      <c r="DD152" s="37"/>
      <c r="DE152" s="37"/>
      <c r="DF152" s="37"/>
      <c r="DG152" s="37"/>
      <c r="DH152" s="37"/>
      <c r="DI152" s="37"/>
      <c r="DJ152" s="37"/>
      <c r="DK152" s="37"/>
      <c r="DL152" s="37"/>
      <c r="DM152" s="37"/>
      <c r="DN152" s="37"/>
      <c r="DO152" s="37"/>
      <c r="DP152" s="37"/>
      <c r="DQ152" s="37"/>
      <c r="DR152" s="37"/>
      <c r="DS152" s="37"/>
      <c r="DT152" s="37"/>
      <c r="DU152" s="37"/>
      <c r="DV152" s="37"/>
      <c r="DW152" s="37"/>
      <c r="DX152" s="37"/>
      <c r="DY152" s="37"/>
      <c r="DZ152" s="37"/>
      <c r="EA152" s="37"/>
      <c r="EB152" s="37"/>
      <c r="EC152" s="37"/>
      <c r="ED152" s="37"/>
      <c r="EE152" s="37"/>
      <c r="EF152" s="37"/>
      <c r="EG152" s="37"/>
      <c r="EH152" s="37"/>
      <c r="EI152" s="37"/>
      <c r="EJ152" s="37"/>
      <c r="EK152" s="37"/>
      <c r="EL152" s="37"/>
      <c r="EM152" s="37"/>
      <c r="EN152" s="37"/>
      <c r="EO152" s="37"/>
      <c r="EP152" s="37"/>
      <c r="EQ152" s="37"/>
      <c r="ER152" s="37"/>
      <c r="ES152" s="37"/>
      <c r="ET152" s="37"/>
      <c r="EU152" s="37"/>
      <c r="EV152" s="37"/>
      <c r="EW152" s="37"/>
      <c r="EX152" s="37"/>
      <c r="EY152" s="37"/>
      <c r="EZ152" s="37"/>
      <c r="FA152" s="37"/>
      <c r="FB152" s="37"/>
      <c r="FC152" s="37"/>
      <c r="FD152" s="37"/>
      <c r="FE152" s="37"/>
      <c r="FF152" s="37"/>
      <c r="FG152" s="37"/>
      <c r="FH152" s="37"/>
      <c r="FI152" s="37"/>
      <c r="FJ152" s="37"/>
      <c r="FK152" s="37"/>
      <c r="FL152" s="37"/>
      <c r="FM152" s="37"/>
      <c r="FN152" s="37"/>
      <c r="FO152" s="37"/>
      <c r="FP152" s="37"/>
      <c r="FQ152" s="37"/>
      <c r="FR152" s="37"/>
      <c r="FS152" s="37"/>
      <c r="FT152" s="37"/>
      <c r="FU152" s="37"/>
      <c r="FV152" s="37"/>
      <c r="FW152" s="37"/>
      <c r="FX152" s="37"/>
      <c r="FY152" s="37"/>
      <c r="FZ152" s="37"/>
      <c r="GA152" s="37"/>
      <c r="GB152" s="37"/>
      <c r="GC152" s="37"/>
      <c r="GD152" s="37"/>
      <c r="GE152" s="37"/>
      <c r="GF152" s="37"/>
      <c r="GG152" s="37"/>
      <c r="GH152" s="37"/>
      <c r="GI152" s="37"/>
      <c r="GJ152" s="37"/>
      <c r="GK152" s="37"/>
      <c r="GL152" s="37"/>
      <c r="GM152" s="37"/>
      <c r="GN152" s="37"/>
      <c r="GO152" s="37"/>
      <c r="GP152" s="37"/>
      <c r="GQ152" s="37"/>
      <c r="GR152" s="37"/>
      <c r="GS152" s="37"/>
      <c r="GT152" s="37"/>
      <c r="GU152" s="37"/>
      <c r="GV152" s="37"/>
      <c r="GW152" s="37"/>
      <c r="GX152" s="37"/>
      <c r="GY152" s="37"/>
      <c r="GZ152" s="37"/>
      <c r="HA152" s="37"/>
      <c r="HB152" s="37"/>
      <c r="HC152" s="37"/>
      <c r="HD152" s="37"/>
      <c r="HE152" s="37"/>
      <c r="HF152" s="37"/>
      <c r="HG152" s="37"/>
      <c r="HH152" s="37"/>
      <c r="HI152" s="37"/>
      <c r="HJ152" s="37"/>
      <c r="HK152" s="37"/>
      <c r="HL152" s="37"/>
      <c r="HM152" s="37"/>
      <c r="HN152" s="37"/>
      <c r="HO152" s="37"/>
      <c r="HP152" s="37"/>
      <c r="HQ152" s="37"/>
      <c r="HR152" s="37"/>
      <c r="HS152" s="37"/>
      <c r="HT152" s="37"/>
      <c r="HU152" s="37"/>
      <c r="HV152" s="37"/>
      <c r="HW152" s="37"/>
      <c r="HX152" s="37"/>
      <c r="HY152" s="37"/>
      <c r="HZ152" s="37"/>
      <c r="IA152" s="37"/>
      <c r="IB152" s="37"/>
      <c r="IC152" s="37"/>
    </row>
    <row r="153" spans="1:237" s="40" customFormat="1" x14ac:dyDescent="0.2">
      <c r="A153" s="62"/>
      <c r="B153" s="63"/>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c r="BC153" s="37"/>
      <c r="BD153" s="37"/>
      <c r="BE153" s="37"/>
      <c r="BF153" s="37"/>
      <c r="BG153" s="37"/>
      <c r="BH153" s="37"/>
      <c r="BI153" s="37"/>
      <c r="BJ153" s="37"/>
      <c r="BK153" s="37"/>
      <c r="BL153" s="37"/>
      <c r="BM153" s="37"/>
      <c r="BN153" s="37"/>
      <c r="BO153" s="37"/>
      <c r="BP153" s="37"/>
      <c r="BQ153" s="37"/>
      <c r="BR153" s="37"/>
      <c r="BS153" s="37"/>
      <c r="BT153" s="37"/>
      <c r="BU153" s="37"/>
      <c r="BV153" s="37"/>
      <c r="BW153" s="37"/>
      <c r="BX153" s="37"/>
      <c r="BY153" s="37"/>
      <c r="BZ153" s="37"/>
      <c r="CA153" s="37"/>
      <c r="CB153" s="37"/>
      <c r="CC153" s="37"/>
      <c r="CD153" s="37"/>
      <c r="CE153" s="37"/>
      <c r="CF153" s="37"/>
      <c r="CG153" s="37"/>
      <c r="CH153" s="37"/>
      <c r="CI153" s="37"/>
      <c r="CJ153" s="37"/>
      <c r="CK153" s="37"/>
      <c r="CL153" s="37"/>
      <c r="CM153" s="37"/>
      <c r="CN153" s="37"/>
      <c r="CO153" s="37"/>
      <c r="CP153" s="37"/>
      <c r="CQ153" s="37"/>
      <c r="CR153" s="37"/>
      <c r="CS153" s="37"/>
      <c r="CT153" s="37"/>
      <c r="CU153" s="37"/>
      <c r="CV153" s="37"/>
      <c r="CW153" s="37"/>
      <c r="CX153" s="37"/>
      <c r="CY153" s="37"/>
      <c r="CZ153" s="37"/>
      <c r="DA153" s="37"/>
      <c r="DB153" s="37"/>
      <c r="DC153" s="37"/>
      <c r="DD153" s="37"/>
      <c r="DE153" s="37"/>
      <c r="DF153" s="37"/>
      <c r="DG153" s="37"/>
      <c r="DH153" s="37"/>
      <c r="DI153" s="37"/>
      <c r="DJ153" s="37"/>
      <c r="DK153" s="37"/>
      <c r="DL153" s="37"/>
      <c r="DM153" s="37"/>
      <c r="DN153" s="37"/>
      <c r="DO153" s="37"/>
      <c r="DP153" s="37"/>
      <c r="DQ153" s="37"/>
      <c r="DR153" s="37"/>
      <c r="DS153" s="37"/>
      <c r="DT153" s="37"/>
      <c r="DU153" s="37"/>
      <c r="DV153" s="37"/>
      <c r="DW153" s="37"/>
      <c r="DX153" s="37"/>
      <c r="DY153" s="37"/>
      <c r="DZ153" s="37"/>
      <c r="EA153" s="37"/>
      <c r="EB153" s="37"/>
      <c r="EC153" s="37"/>
      <c r="ED153" s="37"/>
      <c r="EE153" s="37"/>
      <c r="EF153" s="37"/>
      <c r="EG153" s="37"/>
      <c r="EH153" s="37"/>
      <c r="EI153" s="37"/>
      <c r="EJ153" s="37"/>
      <c r="EK153" s="37"/>
      <c r="EL153" s="37"/>
      <c r="EM153" s="37"/>
      <c r="EN153" s="37"/>
      <c r="EO153" s="37"/>
      <c r="EP153" s="37"/>
      <c r="EQ153" s="37"/>
      <c r="ER153" s="37"/>
      <c r="ES153" s="37"/>
      <c r="ET153" s="37"/>
      <c r="EU153" s="37"/>
      <c r="EV153" s="37"/>
      <c r="EW153" s="37"/>
      <c r="EX153" s="37"/>
      <c r="EY153" s="37"/>
      <c r="EZ153" s="37"/>
      <c r="FA153" s="37"/>
      <c r="FB153" s="37"/>
      <c r="FC153" s="37"/>
      <c r="FD153" s="37"/>
      <c r="FE153" s="37"/>
      <c r="FF153" s="37"/>
      <c r="FG153" s="37"/>
      <c r="FH153" s="37"/>
      <c r="FI153" s="37"/>
      <c r="FJ153" s="37"/>
      <c r="FK153" s="37"/>
      <c r="FL153" s="37"/>
      <c r="FM153" s="37"/>
      <c r="FN153" s="37"/>
      <c r="FO153" s="37"/>
      <c r="FP153" s="37"/>
      <c r="FQ153" s="37"/>
      <c r="FR153" s="37"/>
      <c r="FS153" s="37"/>
      <c r="FT153" s="37"/>
      <c r="FU153" s="37"/>
      <c r="FV153" s="37"/>
      <c r="FW153" s="37"/>
      <c r="FX153" s="37"/>
      <c r="FY153" s="37"/>
      <c r="FZ153" s="37"/>
      <c r="GA153" s="37"/>
      <c r="GB153" s="37"/>
      <c r="GC153" s="37"/>
      <c r="GD153" s="37"/>
      <c r="GE153" s="37"/>
      <c r="GF153" s="37"/>
      <c r="GG153" s="37"/>
      <c r="GH153" s="37"/>
      <c r="GI153" s="37"/>
      <c r="GJ153" s="37"/>
      <c r="GK153" s="37"/>
      <c r="GL153" s="37"/>
      <c r="GM153" s="37"/>
      <c r="GN153" s="37"/>
      <c r="GO153" s="37"/>
      <c r="GP153" s="37"/>
      <c r="GQ153" s="37"/>
      <c r="GR153" s="37"/>
      <c r="GS153" s="37"/>
      <c r="GT153" s="37"/>
      <c r="GU153" s="37"/>
      <c r="GV153" s="37"/>
      <c r="GW153" s="37"/>
      <c r="GX153" s="37"/>
      <c r="GY153" s="37"/>
      <c r="GZ153" s="37"/>
      <c r="HA153" s="37"/>
      <c r="HB153" s="37"/>
      <c r="HC153" s="37"/>
      <c r="HD153" s="37"/>
      <c r="HE153" s="37"/>
      <c r="HF153" s="37"/>
      <c r="HG153" s="37"/>
      <c r="HH153" s="37"/>
      <c r="HI153" s="37"/>
      <c r="HJ153" s="37"/>
      <c r="HK153" s="37"/>
      <c r="HL153" s="37"/>
      <c r="HM153" s="37"/>
      <c r="HN153" s="37"/>
      <c r="HO153" s="37"/>
      <c r="HP153" s="37"/>
      <c r="HQ153" s="37"/>
      <c r="HR153" s="37"/>
      <c r="HS153" s="37"/>
      <c r="HT153" s="37"/>
      <c r="HU153" s="37"/>
      <c r="HV153" s="37"/>
      <c r="HW153" s="37"/>
      <c r="HX153" s="37"/>
      <c r="HY153" s="37"/>
      <c r="HZ153" s="37"/>
      <c r="IA153" s="37"/>
      <c r="IB153" s="37"/>
      <c r="IC153" s="37"/>
    </row>
    <row r="154" spans="1:237" s="40" customFormat="1" x14ac:dyDescent="0.2">
      <c r="A154" s="62"/>
      <c r="B154" s="63"/>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c r="AY154" s="37"/>
      <c r="AZ154" s="37"/>
      <c r="BA154" s="37"/>
      <c r="BB154" s="37"/>
      <c r="BC154" s="37"/>
      <c r="BD154" s="37"/>
      <c r="BE154" s="37"/>
      <c r="BF154" s="37"/>
      <c r="BG154" s="37"/>
      <c r="BH154" s="37"/>
      <c r="BI154" s="37"/>
      <c r="BJ154" s="37"/>
      <c r="BK154" s="37"/>
      <c r="BL154" s="37"/>
      <c r="BM154" s="37"/>
      <c r="BN154" s="37"/>
      <c r="BO154" s="37"/>
      <c r="BP154" s="37"/>
      <c r="BQ154" s="37"/>
      <c r="BR154" s="37"/>
      <c r="BS154" s="37"/>
      <c r="BT154" s="37"/>
      <c r="BU154" s="37"/>
      <c r="BV154" s="37"/>
      <c r="BW154" s="37"/>
      <c r="BX154" s="37"/>
      <c r="BY154" s="37"/>
      <c r="BZ154" s="37"/>
      <c r="CA154" s="37"/>
      <c r="CB154" s="37"/>
      <c r="CC154" s="37"/>
      <c r="CD154" s="37"/>
      <c r="CE154" s="37"/>
      <c r="CF154" s="37"/>
      <c r="CG154" s="37"/>
      <c r="CH154" s="37"/>
      <c r="CI154" s="37"/>
      <c r="CJ154" s="37"/>
      <c r="CK154" s="37"/>
      <c r="CL154" s="37"/>
      <c r="CM154" s="37"/>
      <c r="CN154" s="37"/>
      <c r="CO154" s="37"/>
      <c r="CP154" s="37"/>
      <c r="CQ154" s="37"/>
      <c r="CR154" s="37"/>
      <c r="CS154" s="37"/>
      <c r="CT154" s="37"/>
      <c r="CU154" s="37"/>
      <c r="CV154" s="37"/>
      <c r="CW154" s="37"/>
      <c r="CX154" s="37"/>
      <c r="CY154" s="37"/>
      <c r="CZ154" s="37"/>
      <c r="DA154" s="37"/>
      <c r="DB154" s="37"/>
      <c r="DC154" s="37"/>
      <c r="DD154" s="37"/>
      <c r="DE154" s="37"/>
      <c r="DF154" s="37"/>
      <c r="DG154" s="37"/>
      <c r="DH154" s="37"/>
      <c r="DI154" s="37"/>
      <c r="DJ154" s="37"/>
      <c r="DK154" s="37"/>
      <c r="DL154" s="37"/>
      <c r="DM154" s="37"/>
      <c r="DN154" s="37"/>
      <c r="DO154" s="37"/>
      <c r="DP154" s="37"/>
      <c r="DQ154" s="37"/>
      <c r="DR154" s="37"/>
      <c r="DS154" s="37"/>
      <c r="DT154" s="37"/>
      <c r="DU154" s="37"/>
      <c r="DV154" s="37"/>
      <c r="DW154" s="37"/>
      <c r="DX154" s="37"/>
      <c r="DY154" s="37"/>
      <c r="DZ154" s="37"/>
      <c r="EA154" s="37"/>
      <c r="EB154" s="37"/>
      <c r="EC154" s="37"/>
      <c r="ED154" s="37"/>
      <c r="EE154" s="37"/>
      <c r="EF154" s="37"/>
      <c r="EG154" s="37"/>
      <c r="EH154" s="37"/>
      <c r="EI154" s="37"/>
      <c r="EJ154" s="37"/>
      <c r="EK154" s="37"/>
      <c r="EL154" s="37"/>
      <c r="EM154" s="37"/>
      <c r="EN154" s="37"/>
      <c r="EO154" s="37"/>
      <c r="EP154" s="37"/>
      <c r="EQ154" s="37"/>
      <c r="ER154" s="37"/>
      <c r="ES154" s="37"/>
      <c r="ET154" s="37"/>
      <c r="EU154" s="37"/>
      <c r="EV154" s="37"/>
      <c r="EW154" s="37"/>
      <c r="EX154" s="37"/>
      <c r="EY154" s="37"/>
      <c r="EZ154" s="37"/>
      <c r="FA154" s="37"/>
      <c r="FB154" s="37"/>
      <c r="FC154" s="37"/>
      <c r="FD154" s="37"/>
      <c r="FE154" s="37"/>
      <c r="FF154" s="37"/>
      <c r="FG154" s="37"/>
      <c r="FH154" s="37"/>
      <c r="FI154" s="37"/>
      <c r="FJ154" s="37"/>
      <c r="FK154" s="37"/>
      <c r="FL154" s="37"/>
      <c r="FM154" s="37"/>
      <c r="FN154" s="37"/>
      <c r="FO154" s="37"/>
      <c r="FP154" s="37"/>
      <c r="FQ154" s="37"/>
      <c r="FR154" s="37"/>
      <c r="FS154" s="37"/>
      <c r="FT154" s="37"/>
      <c r="FU154" s="37"/>
      <c r="FV154" s="37"/>
      <c r="FW154" s="37"/>
      <c r="FX154" s="37"/>
      <c r="FY154" s="37"/>
      <c r="FZ154" s="37"/>
      <c r="GA154" s="37"/>
      <c r="GB154" s="37"/>
      <c r="GC154" s="37"/>
      <c r="GD154" s="37"/>
      <c r="GE154" s="37"/>
      <c r="GF154" s="37"/>
      <c r="GG154" s="37"/>
      <c r="GH154" s="37"/>
      <c r="GI154" s="37"/>
      <c r="GJ154" s="37"/>
      <c r="GK154" s="37"/>
      <c r="GL154" s="37"/>
      <c r="GM154" s="37"/>
      <c r="GN154" s="37"/>
      <c r="GO154" s="37"/>
      <c r="GP154" s="37"/>
      <c r="GQ154" s="37"/>
      <c r="GR154" s="37"/>
      <c r="GS154" s="37"/>
      <c r="GT154" s="37"/>
      <c r="GU154" s="37"/>
      <c r="GV154" s="37"/>
      <c r="GW154" s="37"/>
      <c r="GX154" s="37"/>
      <c r="GY154" s="37"/>
      <c r="GZ154" s="37"/>
      <c r="HA154" s="37"/>
      <c r="HB154" s="37"/>
      <c r="HC154" s="37"/>
      <c r="HD154" s="37"/>
      <c r="HE154" s="37"/>
      <c r="HF154" s="37"/>
      <c r="HG154" s="37"/>
      <c r="HH154" s="37"/>
      <c r="HI154" s="37"/>
      <c r="HJ154" s="37"/>
      <c r="HK154" s="37"/>
      <c r="HL154" s="37"/>
      <c r="HM154" s="37"/>
      <c r="HN154" s="37"/>
      <c r="HO154" s="37"/>
      <c r="HP154" s="37"/>
      <c r="HQ154" s="37"/>
      <c r="HR154" s="37"/>
      <c r="HS154" s="37"/>
      <c r="HT154" s="37"/>
      <c r="HU154" s="37"/>
      <c r="HV154" s="37"/>
      <c r="HW154" s="37"/>
      <c r="HX154" s="37"/>
      <c r="HY154" s="37"/>
      <c r="HZ154" s="37"/>
      <c r="IA154" s="37"/>
      <c r="IB154" s="37"/>
      <c r="IC154" s="37"/>
    </row>
    <row r="155" spans="1:237" s="40" customFormat="1" x14ac:dyDescent="0.2">
      <c r="A155" s="62"/>
      <c r="B155" s="63"/>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37"/>
      <c r="BF155" s="37"/>
      <c r="BG155" s="37"/>
      <c r="BH155" s="37"/>
      <c r="BI155" s="37"/>
      <c r="BJ155" s="37"/>
      <c r="BK155" s="37"/>
      <c r="BL155" s="37"/>
      <c r="BM155" s="37"/>
      <c r="BN155" s="37"/>
      <c r="BO155" s="37"/>
      <c r="BP155" s="37"/>
      <c r="BQ155" s="37"/>
      <c r="BR155" s="37"/>
      <c r="BS155" s="37"/>
      <c r="BT155" s="37"/>
      <c r="BU155" s="37"/>
      <c r="BV155" s="37"/>
      <c r="BW155" s="37"/>
      <c r="BX155" s="37"/>
      <c r="BY155" s="37"/>
      <c r="BZ155" s="37"/>
      <c r="CA155" s="37"/>
      <c r="CB155" s="37"/>
      <c r="CC155" s="37"/>
      <c r="CD155" s="37"/>
      <c r="CE155" s="37"/>
      <c r="CF155" s="37"/>
      <c r="CG155" s="37"/>
      <c r="CH155" s="37"/>
      <c r="CI155" s="37"/>
      <c r="CJ155" s="37"/>
      <c r="CK155" s="37"/>
      <c r="CL155" s="37"/>
      <c r="CM155" s="37"/>
      <c r="CN155" s="37"/>
      <c r="CO155" s="37"/>
      <c r="CP155" s="37"/>
      <c r="CQ155" s="37"/>
      <c r="CR155" s="37"/>
      <c r="CS155" s="37"/>
      <c r="CT155" s="37"/>
      <c r="CU155" s="37"/>
      <c r="CV155" s="37"/>
      <c r="CW155" s="37"/>
      <c r="CX155" s="37"/>
      <c r="CY155" s="37"/>
      <c r="CZ155" s="37"/>
      <c r="DA155" s="37"/>
      <c r="DB155" s="37"/>
      <c r="DC155" s="37"/>
      <c r="DD155" s="37"/>
      <c r="DE155" s="37"/>
      <c r="DF155" s="37"/>
      <c r="DG155" s="37"/>
      <c r="DH155" s="37"/>
      <c r="DI155" s="37"/>
      <c r="DJ155" s="37"/>
      <c r="DK155" s="37"/>
      <c r="DL155" s="37"/>
      <c r="DM155" s="37"/>
      <c r="DN155" s="37"/>
      <c r="DO155" s="37"/>
      <c r="DP155" s="37"/>
      <c r="DQ155" s="37"/>
      <c r="DR155" s="37"/>
      <c r="DS155" s="37"/>
      <c r="DT155" s="37"/>
      <c r="DU155" s="37"/>
      <c r="DV155" s="37"/>
      <c r="DW155" s="37"/>
      <c r="DX155" s="37"/>
      <c r="DY155" s="37"/>
      <c r="DZ155" s="37"/>
      <c r="EA155" s="37"/>
      <c r="EB155" s="37"/>
      <c r="EC155" s="37"/>
      <c r="ED155" s="37"/>
      <c r="EE155" s="37"/>
      <c r="EF155" s="37"/>
      <c r="EG155" s="37"/>
      <c r="EH155" s="37"/>
      <c r="EI155" s="37"/>
      <c r="EJ155" s="37"/>
      <c r="EK155" s="37"/>
      <c r="EL155" s="37"/>
      <c r="EM155" s="37"/>
      <c r="EN155" s="37"/>
      <c r="EO155" s="37"/>
      <c r="EP155" s="37"/>
      <c r="EQ155" s="37"/>
      <c r="ER155" s="37"/>
      <c r="ES155" s="37"/>
      <c r="ET155" s="37"/>
      <c r="EU155" s="37"/>
      <c r="EV155" s="37"/>
      <c r="EW155" s="37"/>
      <c r="EX155" s="37"/>
      <c r="EY155" s="37"/>
      <c r="EZ155" s="37"/>
      <c r="FA155" s="37"/>
      <c r="FB155" s="37"/>
      <c r="FC155" s="37"/>
      <c r="FD155" s="37"/>
      <c r="FE155" s="37"/>
      <c r="FF155" s="37"/>
      <c r="FG155" s="37"/>
      <c r="FH155" s="37"/>
      <c r="FI155" s="37"/>
      <c r="FJ155" s="37"/>
      <c r="FK155" s="37"/>
      <c r="FL155" s="37"/>
      <c r="FM155" s="37"/>
      <c r="FN155" s="37"/>
      <c r="FO155" s="37"/>
      <c r="FP155" s="37"/>
      <c r="FQ155" s="37"/>
      <c r="FR155" s="37"/>
      <c r="FS155" s="37"/>
      <c r="FT155" s="37"/>
      <c r="FU155" s="37"/>
      <c r="FV155" s="37"/>
      <c r="FW155" s="37"/>
      <c r="FX155" s="37"/>
      <c r="FY155" s="37"/>
      <c r="FZ155" s="37"/>
      <c r="GA155" s="37"/>
      <c r="GB155" s="37"/>
      <c r="GC155" s="37"/>
      <c r="GD155" s="37"/>
      <c r="GE155" s="37"/>
      <c r="GF155" s="37"/>
      <c r="GG155" s="37"/>
      <c r="GH155" s="37"/>
      <c r="GI155" s="37"/>
      <c r="GJ155" s="37"/>
      <c r="GK155" s="37"/>
      <c r="GL155" s="37"/>
      <c r="GM155" s="37"/>
      <c r="GN155" s="37"/>
      <c r="GO155" s="37"/>
      <c r="GP155" s="37"/>
      <c r="GQ155" s="37"/>
      <c r="GR155" s="37"/>
      <c r="GS155" s="37"/>
      <c r="GT155" s="37"/>
      <c r="GU155" s="37"/>
      <c r="GV155" s="37"/>
      <c r="GW155" s="37"/>
      <c r="GX155" s="37"/>
      <c r="GY155" s="37"/>
      <c r="GZ155" s="37"/>
      <c r="HA155" s="37"/>
      <c r="HB155" s="37"/>
      <c r="HC155" s="37"/>
      <c r="HD155" s="37"/>
      <c r="HE155" s="37"/>
      <c r="HF155" s="37"/>
      <c r="HG155" s="37"/>
      <c r="HH155" s="37"/>
      <c r="HI155" s="37"/>
      <c r="HJ155" s="37"/>
      <c r="HK155" s="37"/>
      <c r="HL155" s="37"/>
      <c r="HM155" s="37"/>
      <c r="HN155" s="37"/>
      <c r="HO155" s="37"/>
      <c r="HP155" s="37"/>
      <c r="HQ155" s="37"/>
      <c r="HR155" s="37"/>
      <c r="HS155" s="37"/>
      <c r="HT155" s="37"/>
      <c r="HU155" s="37"/>
      <c r="HV155" s="37"/>
      <c r="HW155" s="37"/>
      <c r="HX155" s="37"/>
      <c r="HY155" s="37"/>
      <c r="HZ155" s="37"/>
      <c r="IA155" s="37"/>
      <c r="IB155" s="37"/>
      <c r="IC155" s="37"/>
    </row>
    <row r="156" spans="1:237" s="40" customFormat="1" x14ac:dyDescent="0.2">
      <c r="A156" s="62"/>
      <c r="B156" s="63"/>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37"/>
      <c r="AZ156" s="37"/>
      <c r="BA156" s="37"/>
      <c r="BB156" s="37"/>
      <c r="BC156" s="37"/>
      <c r="BD156" s="37"/>
      <c r="BE156" s="37"/>
      <c r="BF156" s="37"/>
      <c r="BG156" s="37"/>
      <c r="BH156" s="37"/>
      <c r="BI156" s="37"/>
      <c r="BJ156" s="37"/>
      <c r="BK156" s="37"/>
      <c r="BL156" s="37"/>
      <c r="BM156" s="37"/>
      <c r="BN156" s="37"/>
      <c r="BO156" s="37"/>
      <c r="BP156" s="37"/>
      <c r="BQ156" s="37"/>
      <c r="BR156" s="37"/>
      <c r="BS156" s="37"/>
      <c r="BT156" s="37"/>
      <c r="BU156" s="37"/>
      <c r="BV156" s="37"/>
      <c r="BW156" s="37"/>
      <c r="BX156" s="37"/>
      <c r="BY156" s="37"/>
      <c r="BZ156" s="37"/>
      <c r="CA156" s="37"/>
      <c r="CB156" s="37"/>
      <c r="CC156" s="37"/>
      <c r="CD156" s="37"/>
      <c r="CE156" s="37"/>
      <c r="CF156" s="37"/>
      <c r="CG156" s="37"/>
      <c r="CH156" s="37"/>
      <c r="CI156" s="37"/>
      <c r="CJ156" s="37"/>
      <c r="CK156" s="37"/>
      <c r="CL156" s="37"/>
      <c r="CM156" s="37"/>
      <c r="CN156" s="37"/>
      <c r="CO156" s="37"/>
      <c r="CP156" s="37"/>
      <c r="CQ156" s="37"/>
      <c r="CR156" s="37"/>
      <c r="CS156" s="37"/>
      <c r="CT156" s="37"/>
      <c r="CU156" s="37"/>
      <c r="CV156" s="37"/>
      <c r="CW156" s="37"/>
      <c r="CX156" s="37"/>
      <c r="CY156" s="37"/>
      <c r="CZ156" s="37"/>
      <c r="DA156" s="37"/>
      <c r="DB156" s="37"/>
      <c r="DC156" s="37"/>
      <c r="DD156" s="37"/>
      <c r="DE156" s="37"/>
      <c r="DF156" s="37"/>
      <c r="DG156" s="37"/>
      <c r="DH156" s="37"/>
      <c r="DI156" s="37"/>
      <c r="DJ156" s="37"/>
      <c r="DK156" s="37"/>
      <c r="DL156" s="37"/>
      <c r="DM156" s="37"/>
      <c r="DN156" s="37"/>
      <c r="DO156" s="37"/>
      <c r="DP156" s="37"/>
      <c r="DQ156" s="37"/>
      <c r="DR156" s="37"/>
      <c r="DS156" s="37"/>
      <c r="DT156" s="37"/>
      <c r="DU156" s="37"/>
      <c r="DV156" s="37"/>
      <c r="DW156" s="37"/>
      <c r="DX156" s="37"/>
      <c r="DY156" s="37"/>
      <c r="DZ156" s="37"/>
      <c r="EA156" s="37"/>
      <c r="EB156" s="37"/>
      <c r="EC156" s="37"/>
      <c r="ED156" s="37"/>
      <c r="EE156" s="37"/>
      <c r="EF156" s="37"/>
      <c r="EG156" s="37"/>
      <c r="EH156" s="37"/>
      <c r="EI156" s="37"/>
      <c r="EJ156" s="37"/>
      <c r="EK156" s="37"/>
      <c r="EL156" s="37"/>
      <c r="EM156" s="37"/>
      <c r="EN156" s="37"/>
      <c r="EO156" s="37"/>
      <c r="EP156" s="37"/>
      <c r="EQ156" s="37"/>
      <c r="ER156" s="37"/>
      <c r="ES156" s="37"/>
      <c r="ET156" s="37"/>
      <c r="EU156" s="37"/>
      <c r="EV156" s="37"/>
      <c r="EW156" s="37"/>
      <c r="EX156" s="37"/>
      <c r="EY156" s="37"/>
      <c r="EZ156" s="37"/>
      <c r="FA156" s="37"/>
      <c r="FB156" s="37"/>
      <c r="FC156" s="37"/>
      <c r="FD156" s="37"/>
      <c r="FE156" s="37"/>
      <c r="FF156" s="37"/>
      <c r="FG156" s="37"/>
      <c r="FH156" s="37"/>
      <c r="FI156" s="37"/>
      <c r="FJ156" s="37"/>
      <c r="FK156" s="37"/>
      <c r="FL156" s="37"/>
      <c r="FM156" s="37"/>
      <c r="FN156" s="37"/>
      <c r="FO156" s="37"/>
      <c r="FP156" s="37"/>
      <c r="FQ156" s="37"/>
      <c r="FR156" s="37"/>
      <c r="FS156" s="37"/>
      <c r="FT156" s="37"/>
      <c r="FU156" s="37"/>
      <c r="FV156" s="37"/>
      <c r="FW156" s="37"/>
      <c r="FX156" s="37"/>
      <c r="FY156" s="37"/>
      <c r="FZ156" s="37"/>
      <c r="GA156" s="37"/>
      <c r="GB156" s="37"/>
      <c r="GC156" s="37"/>
      <c r="GD156" s="37"/>
      <c r="GE156" s="37"/>
      <c r="GF156" s="37"/>
      <c r="GG156" s="37"/>
      <c r="GH156" s="37"/>
      <c r="GI156" s="37"/>
      <c r="GJ156" s="37"/>
      <c r="GK156" s="37"/>
      <c r="GL156" s="37"/>
      <c r="GM156" s="37"/>
      <c r="GN156" s="37"/>
      <c r="GO156" s="37"/>
      <c r="GP156" s="37"/>
      <c r="GQ156" s="37"/>
      <c r="GR156" s="37"/>
      <c r="GS156" s="37"/>
      <c r="GT156" s="37"/>
      <c r="GU156" s="37"/>
      <c r="GV156" s="37"/>
      <c r="GW156" s="37"/>
      <c r="GX156" s="37"/>
      <c r="GY156" s="37"/>
      <c r="GZ156" s="37"/>
      <c r="HA156" s="37"/>
      <c r="HB156" s="37"/>
      <c r="HC156" s="37"/>
      <c r="HD156" s="37"/>
      <c r="HE156" s="37"/>
      <c r="HF156" s="37"/>
      <c r="HG156" s="37"/>
      <c r="HH156" s="37"/>
      <c r="HI156" s="37"/>
      <c r="HJ156" s="37"/>
      <c r="HK156" s="37"/>
      <c r="HL156" s="37"/>
      <c r="HM156" s="37"/>
      <c r="HN156" s="37"/>
      <c r="HO156" s="37"/>
      <c r="HP156" s="37"/>
      <c r="HQ156" s="37"/>
      <c r="HR156" s="37"/>
      <c r="HS156" s="37"/>
      <c r="HT156" s="37"/>
      <c r="HU156" s="37"/>
      <c r="HV156" s="37"/>
      <c r="HW156" s="37"/>
      <c r="HX156" s="37"/>
      <c r="HY156" s="37"/>
      <c r="HZ156" s="37"/>
      <c r="IA156" s="37"/>
      <c r="IB156" s="37"/>
      <c r="IC156" s="37"/>
    </row>
    <row r="157" spans="1:237" s="40" customFormat="1" x14ac:dyDescent="0.2">
      <c r="A157" s="62"/>
      <c r="B157" s="63"/>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c r="BC157" s="37"/>
      <c r="BD157" s="37"/>
      <c r="BE157" s="37"/>
      <c r="BF157" s="37"/>
      <c r="BG157" s="37"/>
      <c r="BH157" s="37"/>
      <c r="BI157" s="37"/>
      <c r="BJ157" s="37"/>
      <c r="BK157" s="37"/>
      <c r="BL157" s="37"/>
      <c r="BM157" s="37"/>
      <c r="BN157" s="37"/>
      <c r="BO157" s="37"/>
      <c r="BP157" s="37"/>
      <c r="BQ157" s="37"/>
      <c r="BR157" s="37"/>
      <c r="BS157" s="37"/>
      <c r="BT157" s="37"/>
      <c r="BU157" s="37"/>
      <c r="BV157" s="37"/>
      <c r="BW157" s="37"/>
      <c r="BX157" s="37"/>
      <c r="BY157" s="37"/>
      <c r="BZ157" s="37"/>
      <c r="CA157" s="37"/>
      <c r="CB157" s="37"/>
      <c r="CC157" s="37"/>
      <c r="CD157" s="37"/>
      <c r="CE157" s="37"/>
      <c r="CF157" s="37"/>
      <c r="CG157" s="37"/>
      <c r="CH157" s="37"/>
      <c r="CI157" s="37"/>
      <c r="CJ157" s="37"/>
      <c r="CK157" s="37"/>
      <c r="CL157" s="37"/>
      <c r="CM157" s="37"/>
      <c r="CN157" s="37"/>
      <c r="CO157" s="37"/>
      <c r="CP157" s="37"/>
      <c r="CQ157" s="37"/>
      <c r="CR157" s="37"/>
      <c r="CS157" s="37"/>
      <c r="CT157" s="37"/>
      <c r="CU157" s="37"/>
      <c r="CV157" s="37"/>
      <c r="CW157" s="37"/>
      <c r="CX157" s="37"/>
      <c r="CY157" s="37"/>
      <c r="CZ157" s="37"/>
      <c r="DA157" s="37"/>
      <c r="DB157" s="37"/>
      <c r="DC157" s="37"/>
      <c r="DD157" s="37"/>
      <c r="DE157" s="37"/>
      <c r="DF157" s="37"/>
      <c r="DG157" s="37"/>
      <c r="DH157" s="37"/>
      <c r="DI157" s="37"/>
      <c r="DJ157" s="37"/>
      <c r="DK157" s="37"/>
      <c r="DL157" s="37"/>
      <c r="DM157" s="37"/>
      <c r="DN157" s="37"/>
      <c r="DO157" s="37"/>
      <c r="DP157" s="37"/>
      <c r="DQ157" s="37"/>
      <c r="DR157" s="37"/>
      <c r="DS157" s="37"/>
      <c r="DT157" s="37"/>
      <c r="DU157" s="37"/>
      <c r="DV157" s="37"/>
      <c r="DW157" s="37"/>
      <c r="DX157" s="37"/>
      <c r="DY157" s="37"/>
      <c r="DZ157" s="37"/>
      <c r="EA157" s="37"/>
      <c r="EB157" s="37"/>
      <c r="EC157" s="37"/>
      <c r="ED157" s="37"/>
      <c r="EE157" s="37"/>
      <c r="EF157" s="37"/>
      <c r="EG157" s="37"/>
      <c r="EH157" s="37"/>
      <c r="EI157" s="37"/>
      <c r="EJ157" s="37"/>
      <c r="EK157" s="37"/>
      <c r="EL157" s="37"/>
      <c r="EM157" s="37"/>
      <c r="EN157" s="37"/>
      <c r="EO157" s="37"/>
      <c r="EP157" s="37"/>
      <c r="EQ157" s="37"/>
      <c r="ER157" s="37"/>
      <c r="ES157" s="37"/>
      <c r="ET157" s="37"/>
      <c r="EU157" s="37"/>
      <c r="EV157" s="37"/>
      <c r="EW157" s="37"/>
      <c r="EX157" s="37"/>
      <c r="EY157" s="37"/>
      <c r="EZ157" s="37"/>
      <c r="FA157" s="37"/>
      <c r="FB157" s="37"/>
      <c r="FC157" s="37"/>
      <c r="FD157" s="37"/>
      <c r="FE157" s="37"/>
      <c r="FF157" s="37"/>
      <c r="FG157" s="37"/>
      <c r="FH157" s="37"/>
      <c r="FI157" s="37"/>
      <c r="FJ157" s="37"/>
      <c r="FK157" s="37"/>
      <c r="FL157" s="37"/>
      <c r="FM157" s="37"/>
      <c r="FN157" s="37"/>
      <c r="FO157" s="37"/>
      <c r="FP157" s="37"/>
      <c r="FQ157" s="37"/>
      <c r="FR157" s="37"/>
      <c r="FS157" s="37"/>
      <c r="FT157" s="37"/>
      <c r="FU157" s="37"/>
      <c r="FV157" s="37"/>
      <c r="FW157" s="37"/>
      <c r="FX157" s="37"/>
      <c r="FY157" s="37"/>
      <c r="FZ157" s="37"/>
      <c r="GA157" s="37"/>
      <c r="GB157" s="37"/>
      <c r="GC157" s="37"/>
      <c r="GD157" s="37"/>
      <c r="GE157" s="37"/>
      <c r="GF157" s="37"/>
      <c r="GG157" s="37"/>
      <c r="GH157" s="37"/>
      <c r="GI157" s="37"/>
      <c r="GJ157" s="37"/>
      <c r="GK157" s="37"/>
      <c r="GL157" s="37"/>
      <c r="GM157" s="37"/>
      <c r="GN157" s="37"/>
      <c r="GO157" s="37"/>
      <c r="GP157" s="37"/>
      <c r="GQ157" s="37"/>
      <c r="GR157" s="37"/>
      <c r="GS157" s="37"/>
      <c r="GT157" s="37"/>
      <c r="GU157" s="37"/>
      <c r="GV157" s="37"/>
      <c r="GW157" s="37"/>
      <c r="GX157" s="37"/>
      <c r="GY157" s="37"/>
      <c r="GZ157" s="37"/>
      <c r="HA157" s="37"/>
      <c r="HB157" s="37"/>
      <c r="HC157" s="37"/>
      <c r="HD157" s="37"/>
      <c r="HE157" s="37"/>
      <c r="HF157" s="37"/>
      <c r="HG157" s="37"/>
      <c r="HH157" s="37"/>
      <c r="HI157" s="37"/>
      <c r="HJ157" s="37"/>
      <c r="HK157" s="37"/>
      <c r="HL157" s="37"/>
      <c r="HM157" s="37"/>
      <c r="HN157" s="37"/>
      <c r="HO157" s="37"/>
      <c r="HP157" s="37"/>
      <c r="HQ157" s="37"/>
      <c r="HR157" s="37"/>
      <c r="HS157" s="37"/>
      <c r="HT157" s="37"/>
      <c r="HU157" s="37"/>
      <c r="HV157" s="37"/>
      <c r="HW157" s="37"/>
      <c r="HX157" s="37"/>
      <c r="HY157" s="37"/>
      <c r="HZ157" s="37"/>
      <c r="IA157" s="37"/>
      <c r="IB157" s="37"/>
      <c r="IC157" s="37"/>
    </row>
    <row r="158" spans="1:237" x14ac:dyDescent="0.2">
      <c r="A158" s="62"/>
      <c r="B158" s="63"/>
    </row>
    <row r="159" spans="1:237" x14ac:dyDescent="0.2">
      <c r="A159" s="62"/>
      <c r="B159" s="63"/>
    </row>
  </sheetData>
  <mergeCells count="2">
    <mergeCell ref="A5:B5"/>
    <mergeCell ref="C5:I5"/>
  </mergeCells>
  <conditionalFormatting sqref="C39 E39:I39 C40:I41 C42 C43:I45">
    <cfRule type="cellIs" dxfId="1718" priority="247" operator="equal">
      <formula>"CU2T"</formula>
    </cfRule>
    <cfRule type="cellIs" dxfId="1717" priority="248" operator="equal">
      <formula>"CU2M"</formula>
    </cfRule>
  </conditionalFormatting>
  <conditionalFormatting sqref="C28:D28 C30:D32">
    <cfRule type="cellIs" dxfId="1716" priority="163" operator="equal">
      <formula>"CU2"</formula>
    </cfRule>
    <cfRule type="cellIs" dxfId="1715" priority="164" operator="equal">
      <formula>"FGL"</formula>
    </cfRule>
  </conditionalFormatting>
  <conditionalFormatting sqref="C28:D28">
    <cfRule type="cellIs" dxfId="1714" priority="185" operator="equal">
      <formula>"FO"</formula>
    </cfRule>
    <cfRule type="cellIs" dxfId="1713" priority="186" operator="equal">
      <formula>"CU2T"</formula>
    </cfRule>
    <cfRule type="cellIs" priority="187" operator="equal">
      <formula>"CU2T"</formula>
    </cfRule>
    <cfRule type="cellIs" dxfId="1712" priority="188" operator="equal">
      <formula>"CU2M"</formula>
    </cfRule>
    <cfRule type="cellIs" dxfId="1711" priority="189" operator="equal">
      <formula>"CU1"</formula>
    </cfRule>
  </conditionalFormatting>
  <conditionalFormatting sqref="C30:D31">
    <cfRule type="cellIs" dxfId="1710" priority="16" operator="equal">
      <formula>"FO"</formula>
    </cfRule>
  </conditionalFormatting>
  <conditionalFormatting sqref="C30:D32">
    <cfRule type="cellIs" dxfId="1709" priority="17" operator="equal">
      <formula>"CU2T"</formula>
    </cfRule>
    <cfRule type="cellIs" priority="18" operator="equal">
      <formula>"CU2T"</formula>
    </cfRule>
    <cfRule type="cellIs" dxfId="1708" priority="19" operator="equal">
      <formula>"CU2M"</formula>
    </cfRule>
    <cfRule type="cellIs" dxfId="1707" priority="20" operator="equal">
      <formula>"CU1"</formula>
    </cfRule>
  </conditionalFormatting>
  <conditionalFormatting sqref="C27:E27">
    <cfRule type="cellIs" dxfId="1706" priority="35" operator="equal">
      <formula>"CU2"</formula>
    </cfRule>
    <cfRule type="cellIs" dxfId="1705" priority="36" operator="equal">
      <formula>"FGL"</formula>
    </cfRule>
    <cfRule type="cellIs" dxfId="1704" priority="37" operator="equal">
      <formula>"FO"</formula>
    </cfRule>
    <cfRule type="cellIs" dxfId="1703" priority="38" operator="equal">
      <formula>"CU2T"</formula>
    </cfRule>
    <cfRule type="cellIs" priority="39" operator="equal">
      <formula>"CU2T"</formula>
    </cfRule>
    <cfRule type="cellIs" dxfId="1702" priority="40" operator="equal">
      <formula>"CU2M"</formula>
    </cfRule>
    <cfRule type="cellIs" dxfId="1701" priority="41" operator="equal">
      <formula>"CU1"</formula>
    </cfRule>
  </conditionalFormatting>
  <conditionalFormatting sqref="C29:G29">
    <cfRule type="cellIs" dxfId="1700" priority="21" operator="equal">
      <formula>"CU2"</formula>
    </cfRule>
    <cfRule type="cellIs" dxfId="1699" priority="22" operator="equal">
      <formula>"FGL"</formula>
    </cfRule>
    <cfRule type="cellIs" dxfId="1698" priority="23" operator="equal">
      <formula>"FO"</formula>
    </cfRule>
    <cfRule type="cellIs" dxfId="1697" priority="24" operator="equal">
      <formula>"CU2T"</formula>
    </cfRule>
    <cfRule type="cellIs" priority="25" operator="equal">
      <formula>"CU2T"</formula>
    </cfRule>
    <cfRule type="cellIs" dxfId="1696" priority="26" operator="equal">
      <formula>"CU2M"</formula>
    </cfRule>
    <cfRule type="cellIs" dxfId="1695" priority="27" operator="equal">
      <formula>"CU1"</formula>
    </cfRule>
  </conditionalFormatting>
  <conditionalFormatting sqref="C4:I26 C56:I1048576">
    <cfRule type="cellIs" dxfId="1694" priority="249" operator="equal">
      <formula>"CU2T"</formula>
    </cfRule>
    <cfRule type="cellIs" dxfId="1693" priority="250" operator="equal">
      <formula>"CU2M"</formula>
    </cfRule>
  </conditionalFormatting>
  <conditionalFormatting sqref="C33:I34">
    <cfRule type="cellIs" dxfId="1692" priority="56" operator="equal">
      <formula>"REC"</formula>
    </cfRule>
    <cfRule type="cellIs" dxfId="1691" priority="57" operator="equal">
      <formula>"C2T"</formula>
    </cfRule>
    <cfRule type="cellIs" dxfId="1690" priority="58" operator="equal">
      <formula>"C2M"</formula>
    </cfRule>
    <cfRule type="cellIs" dxfId="1689" priority="59" operator="equal">
      <formula>"CU2"</formula>
    </cfRule>
    <cfRule type="cellIs" dxfId="1688" priority="60" operator="equal">
      <formula>"FGL"</formula>
    </cfRule>
    <cfRule type="cellIs" dxfId="1687" priority="61" operator="equal">
      <formula>"FO"</formula>
    </cfRule>
  </conditionalFormatting>
  <conditionalFormatting sqref="C33:I36">
    <cfRule type="cellIs" dxfId="1686" priority="1" operator="equal">
      <formula>"CU2T"</formula>
    </cfRule>
    <cfRule type="cellIs" priority="2" operator="equal">
      <formula>"CU2T"</formula>
    </cfRule>
    <cfRule type="cellIs" dxfId="1685" priority="3" operator="equal">
      <formula>"CU2M"</formula>
    </cfRule>
    <cfRule type="cellIs" dxfId="1684" priority="4" operator="equal">
      <formula>"CU1"</formula>
    </cfRule>
  </conditionalFormatting>
  <conditionalFormatting sqref="C46:I46 C47:H47 I47:I54 C48:C55 D55:I55">
    <cfRule type="cellIs" dxfId="1683" priority="243" operator="equal">
      <formula>"CU2T"</formula>
    </cfRule>
    <cfRule type="cellIs" priority="244" operator="equal">
      <formula>"CU2T"</formula>
    </cfRule>
    <cfRule type="cellIs" dxfId="1682" priority="245" operator="equal">
      <formula>"CU2M"</formula>
    </cfRule>
    <cfRule type="cellIs" dxfId="1681" priority="246" operator="equal">
      <formula>"CU1"</formula>
    </cfRule>
  </conditionalFormatting>
  <conditionalFormatting sqref="D39">
    <cfRule type="cellIs" dxfId="1680" priority="234" operator="equal">
      <formula>"jui"</formula>
    </cfRule>
    <cfRule type="cellIs" dxfId="1679" priority="235" stopIfTrue="1" operator="equal">
      <formula>"E3"</formula>
    </cfRule>
    <cfRule type="cellIs" dxfId="1678" priority="236" stopIfTrue="1" operator="equal">
      <formula>"E4"</formula>
    </cfRule>
  </conditionalFormatting>
  <conditionalFormatting sqref="D48:H54">
    <cfRule type="cellIs" dxfId="1677" priority="239" operator="equal">
      <formula>"CU2T"</formula>
    </cfRule>
    <cfRule type="cellIs" priority="240" operator="equal">
      <formula>"CU2T"</formula>
    </cfRule>
    <cfRule type="cellIs" dxfId="1676" priority="241" operator="equal">
      <formula>"CU2M"</formula>
    </cfRule>
    <cfRule type="cellIs" dxfId="1675" priority="242" operator="equal">
      <formula>"CU1"</formula>
    </cfRule>
  </conditionalFormatting>
  <conditionalFormatting sqref="E42:I42">
    <cfRule type="cellIs" dxfId="1674" priority="237" operator="equal">
      <formula>"CU2T"</formula>
    </cfRule>
    <cfRule type="cellIs" dxfId="1673" priority="238" operator="equal">
      <formula>"CU2M"</formula>
    </cfRule>
  </conditionalFormatting>
  <conditionalFormatting sqref="F31:G31">
    <cfRule type="cellIs" dxfId="1672" priority="9" operator="equal">
      <formula>"CU2"</formula>
    </cfRule>
    <cfRule type="cellIs" dxfId="1671" priority="10" operator="equal">
      <formula>"FGL"</formula>
    </cfRule>
    <cfRule type="cellIs" dxfId="1670" priority="11" operator="equal">
      <formula>"FO"</formula>
    </cfRule>
    <cfRule type="cellIs" dxfId="1669" priority="12" operator="equal">
      <formula>"CU2T"</formula>
    </cfRule>
    <cfRule type="cellIs" priority="13" operator="equal">
      <formula>"CU2T"</formula>
    </cfRule>
    <cfRule type="cellIs" dxfId="1668" priority="14" operator="equal">
      <formula>"CU2M"</formula>
    </cfRule>
    <cfRule type="cellIs" dxfId="1667" priority="15" operator="equal">
      <formula>"CU1"</formula>
    </cfRule>
  </conditionalFormatting>
  <conditionalFormatting sqref="G27">
    <cfRule type="cellIs" dxfId="1666" priority="28" operator="equal">
      <formula>"CU2"</formula>
    </cfRule>
    <cfRule type="cellIs" dxfId="1665" priority="29" operator="equal">
      <formula>"FGL"</formula>
    </cfRule>
    <cfRule type="cellIs" dxfId="1664" priority="30" operator="equal">
      <formula>"FO"</formula>
    </cfRule>
    <cfRule type="cellIs" dxfId="1663" priority="31" operator="equal">
      <formula>"CU2T"</formula>
    </cfRule>
    <cfRule type="cellIs" priority="32" operator="equal">
      <formula>"CU2T"</formula>
    </cfRule>
    <cfRule type="cellIs" dxfId="1662" priority="33" operator="equal">
      <formula>"CU2M"</formula>
    </cfRule>
    <cfRule type="cellIs" dxfId="1661" priority="34" operator="equal">
      <formula>"CU1"</formula>
    </cfRule>
  </conditionalFormatting>
  <pageMargins left="0.11811023622047245" right="0.11811023622047245" top="0.74803149606299213" bottom="0.74803149606299213" header="0.31496062992125984" footer="0.31496062992125984"/>
  <pageSetup paperSize="9" scale="75"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sheetPr>
  <dimension ref="A1:T174"/>
  <sheetViews>
    <sheetView showZeros="0" topLeftCell="A37" zoomScale="80" zoomScaleNormal="80" workbookViewId="0">
      <selection activeCell="G56" sqref="G56"/>
    </sheetView>
  </sheetViews>
  <sheetFormatPr defaultColWidth="11.43359375" defaultRowHeight="12.75" x14ac:dyDescent="0.15"/>
  <cols>
    <col min="1" max="1" width="11.43359375" style="201" customWidth="1"/>
    <col min="2" max="2" width="70.625" style="201" customWidth="1"/>
    <col min="3" max="9" width="12.9140625" style="201" customWidth="1"/>
    <col min="10" max="17" width="11.43359375" style="201"/>
    <col min="18" max="21" width="11.43359375" style="201" customWidth="1"/>
    <col min="22" max="16384" width="11.43359375" style="201"/>
  </cols>
  <sheetData>
    <row r="1" spans="1:17" ht="17.25" customHeight="1" x14ac:dyDescent="0.15">
      <c r="A1" s="200"/>
      <c r="B1" s="675" t="s">
        <v>44</v>
      </c>
      <c r="C1" s="675"/>
      <c r="D1" s="675"/>
      <c r="E1" s="675"/>
      <c r="F1" s="675"/>
      <c r="G1" s="675"/>
      <c r="H1" s="675"/>
      <c r="I1" s="675"/>
    </row>
    <row r="2" spans="1:17" ht="30" customHeight="1" x14ac:dyDescent="0.15">
      <c r="A2" s="200"/>
      <c r="B2" s="675"/>
      <c r="C2" s="675"/>
      <c r="D2" s="675"/>
      <c r="E2" s="675"/>
      <c r="F2" s="675"/>
      <c r="G2" s="675"/>
      <c r="H2" s="675"/>
      <c r="I2" s="675"/>
    </row>
    <row r="3" spans="1:17" ht="24" customHeight="1" x14ac:dyDescent="0.15">
      <c r="A3" s="676"/>
      <c r="B3" s="676"/>
      <c r="C3" s="678" t="str">
        <f>IF(MONTH(C6)=MONTH(I6),"Semana del dia "&amp;DAY(FECHA!$C$3)&amp;" "&amp;"al "&amp;DAY(FECHA!$C$3+6)&amp;" de "&amp;VLOOKUP(MONTH(FECHA!$C$3),FECHA!$H$2:$I$13,2)&amp;" "&amp;YEAR(I6),"Semana del dia "&amp;DAY(FECHA!$C$3)&amp;" "&amp;VLOOKUP(MONTH(FECHA!$C$3),FECHA!$H$2:$I$13,2)&amp;" "&amp;"al "&amp;DAY(FECHA!$C$3+6)&amp;" de "&amp;VLOOKUP(MONTH(I6),FECHA!$H$2:$I$13,2)&amp;" "&amp;YEAR(I6))</f>
        <v>Semana del dia 8 al 14 de Sep 2025</v>
      </c>
      <c r="D3" s="679"/>
      <c r="E3" s="679"/>
      <c r="F3" s="679"/>
      <c r="G3" s="679"/>
      <c r="H3" s="679"/>
      <c r="I3" s="680"/>
    </row>
    <row r="4" spans="1:17" ht="6" customHeight="1" thickBot="1" x14ac:dyDescent="0.2">
      <c r="A4" s="677"/>
      <c r="B4" s="677"/>
      <c r="C4" s="202"/>
      <c r="D4" s="202"/>
      <c r="E4" s="202"/>
      <c r="F4" s="202"/>
      <c r="G4" s="202"/>
      <c r="H4" s="202"/>
      <c r="I4" s="202"/>
    </row>
    <row r="5" spans="1:17" ht="15.75" customHeight="1" thickTop="1" x14ac:dyDescent="0.25">
      <c r="A5" s="203"/>
      <c r="B5" s="204"/>
      <c r="C5" s="205" t="s">
        <v>26</v>
      </c>
      <c r="D5" s="205" t="s">
        <v>27</v>
      </c>
      <c r="E5" s="205" t="s">
        <v>28</v>
      </c>
      <c r="F5" s="205" t="s">
        <v>29</v>
      </c>
      <c r="G5" s="205" t="s">
        <v>30</v>
      </c>
      <c r="H5" s="206" t="s">
        <v>31</v>
      </c>
      <c r="I5" s="207" t="s">
        <v>32</v>
      </c>
    </row>
    <row r="6" spans="1:17" ht="21" thickBot="1" x14ac:dyDescent="0.2">
      <c r="A6" s="208" t="s">
        <v>83</v>
      </c>
      <c r="B6" s="209" t="s">
        <v>33</v>
      </c>
      <c r="C6" s="144">
        <f>DATE(YEAR(FECHA!$C$3),MONTH(FECHA!$C$3),DAY(FECHA!$C$3))</f>
        <v>45908</v>
      </c>
      <c r="D6" s="144">
        <f>C6+1</f>
        <v>45909</v>
      </c>
      <c r="E6" s="144">
        <f t="shared" ref="E6:I6" si="0">D6+1</f>
        <v>45910</v>
      </c>
      <c r="F6" s="144">
        <f t="shared" si="0"/>
        <v>45911</v>
      </c>
      <c r="G6" s="144">
        <f t="shared" si="0"/>
        <v>45912</v>
      </c>
      <c r="H6" s="144">
        <f t="shared" si="0"/>
        <v>45913</v>
      </c>
      <c r="I6" s="144">
        <f t="shared" si="0"/>
        <v>45914</v>
      </c>
    </row>
    <row r="7" spans="1:17" s="215" customFormat="1" ht="15" customHeight="1" thickTop="1" x14ac:dyDescent="0.25">
      <c r="A7" s="210">
        <v>0</v>
      </c>
      <c r="B7" s="211">
        <v>0</v>
      </c>
      <c r="C7" s="212" t="s">
        <v>204</v>
      </c>
      <c r="D7" s="481" t="s">
        <v>204</v>
      </c>
      <c r="E7" s="213" t="s">
        <v>204</v>
      </c>
      <c r="F7" s="214" t="s">
        <v>204</v>
      </c>
      <c r="G7" s="651" t="s">
        <v>204</v>
      </c>
      <c r="H7" s="660" t="s">
        <v>204</v>
      </c>
      <c r="I7" s="214" t="s">
        <v>204</v>
      </c>
    </row>
    <row r="8" spans="1:17" ht="15" customHeight="1" thickBot="1" x14ac:dyDescent="0.25">
      <c r="A8" s="216">
        <v>2346</v>
      </c>
      <c r="B8" s="217" t="s">
        <v>36</v>
      </c>
      <c r="C8" s="461">
        <v>9</v>
      </c>
      <c r="D8" s="253">
        <v>10</v>
      </c>
      <c r="E8" s="253">
        <v>9</v>
      </c>
      <c r="F8" s="253">
        <v>16</v>
      </c>
      <c r="G8" s="253">
        <v>12</v>
      </c>
      <c r="H8" s="253" t="s">
        <v>238</v>
      </c>
      <c r="I8" s="253" t="s">
        <v>241</v>
      </c>
    </row>
    <row r="9" spans="1:17" s="215" customFormat="1" ht="15" customHeight="1" thickTop="1" x14ac:dyDescent="0.2">
      <c r="A9" s="226">
        <v>0</v>
      </c>
      <c r="B9" s="219">
        <v>0</v>
      </c>
      <c r="C9" s="227" t="s">
        <v>204</v>
      </c>
      <c r="D9" s="228" t="s">
        <v>204</v>
      </c>
      <c r="E9" s="284" t="s">
        <v>204</v>
      </c>
      <c r="F9" s="228" t="s">
        <v>204</v>
      </c>
      <c r="G9" s="228" t="s">
        <v>204</v>
      </c>
      <c r="H9" s="228" t="s">
        <v>204</v>
      </c>
      <c r="I9" s="228" t="s">
        <v>204</v>
      </c>
      <c r="M9" s="221"/>
    </row>
    <row r="10" spans="1:17" ht="15" customHeight="1" thickBot="1" x14ac:dyDescent="0.25">
      <c r="A10" s="222">
        <v>1805</v>
      </c>
      <c r="B10" s="223" t="s">
        <v>141</v>
      </c>
      <c r="C10" s="224">
        <v>8</v>
      </c>
      <c r="D10" s="225" t="s">
        <v>249</v>
      </c>
      <c r="E10" s="253" t="s">
        <v>249</v>
      </c>
      <c r="F10" s="225">
        <v>3</v>
      </c>
      <c r="G10" s="225" t="s">
        <v>34</v>
      </c>
      <c r="H10" s="225" t="s">
        <v>34</v>
      </c>
      <c r="I10" s="225" t="s">
        <v>34</v>
      </c>
      <c r="M10" s="221"/>
    </row>
    <row r="11" spans="1:17" s="215" customFormat="1" ht="15" customHeight="1" thickTop="1" x14ac:dyDescent="0.2">
      <c r="A11" s="233">
        <v>0</v>
      </c>
      <c r="B11" s="234">
        <v>0</v>
      </c>
      <c r="C11" s="227" t="s">
        <v>204</v>
      </c>
      <c r="D11" s="228" t="s">
        <v>204</v>
      </c>
      <c r="E11" s="284" t="s">
        <v>204</v>
      </c>
      <c r="F11" s="228" t="s">
        <v>204</v>
      </c>
      <c r="G11" s="228" t="s">
        <v>204</v>
      </c>
      <c r="H11" s="228" t="s">
        <v>204</v>
      </c>
      <c r="I11" s="228" t="s">
        <v>204</v>
      </c>
      <c r="M11" s="221"/>
    </row>
    <row r="12" spans="1:17" ht="15" customHeight="1" thickBot="1" x14ac:dyDescent="0.25">
      <c r="A12" s="235">
        <v>2576</v>
      </c>
      <c r="B12" s="236" t="s">
        <v>142</v>
      </c>
      <c r="C12" s="224" t="s">
        <v>77</v>
      </c>
      <c r="D12" s="225" t="s">
        <v>77</v>
      </c>
      <c r="E12" s="253" t="s">
        <v>77</v>
      </c>
      <c r="F12" s="225" t="s">
        <v>77</v>
      </c>
      <c r="G12" s="225" t="s">
        <v>77</v>
      </c>
      <c r="H12" s="225" t="s">
        <v>34</v>
      </c>
      <c r="I12" s="225" t="s">
        <v>34</v>
      </c>
      <c r="J12" s="230"/>
      <c r="K12" s="231"/>
      <c r="L12" s="232"/>
      <c r="M12" s="221"/>
      <c r="N12" s="221"/>
      <c r="O12" s="221"/>
      <c r="P12" s="221"/>
      <c r="Q12" s="221"/>
    </row>
    <row r="13" spans="1:17" ht="15" customHeight="1" thickTop="1" x14ac:dyDescent="0.2">
      <c r="A13" s="237">
        <v>0</v>
      </c>
      <c r="B13" s="238">
        <v>0</v>
      </c>
      <c r="C13" s="227" t="s">
        <v>204</v>
      </c>
      <c r="D13" s="228" t="s">
        <v>204</v>
      </c>
      <c r="E13" s="284" t="s">
        <v>204</v>
      </c>
      <c r="F13" s="228" t="s">
        <v>204</v>
      </c>
      <c r="G13" s="228" t="s">
        <v>204</v>
      </c>
      <c r="H13" s="228" t="s">
        <v>204</v>
      </c>
      <c r="I13" s="228" t="s">
        <v>204</v>
      </c>
      <c r="J13" s="230"/>
      <c r="K13" s="231"/>
      <c r="M13" s="215"/>
      <c r="N13" s="221"/>
      <c r="O13" s="221"/>
      <c r="P13" s="221"/>
      <c r="Q13" s="221"/>
    </row>
    <row r="14" spans="1:17" ht="15" customHeight="1" thickBot="1" x14ac:dyDescent="0.25">
      <c r="A14" s="235">
        <v>1919</v>
      </c>
      <c r="B14" s="236" t="s">
        <v>144</v>
      </c>
      <c r="C14" s="224">
        <v>5</v>
      </c>
      <c r="D14" s="225">
        <v>6</v>
      </c>
      <c r="E14" s="253">
        <v>5</v>
      </c>
      <c r="F14" s="225">
        <v>5</v>
      </c>
      <c r="G14" s="225">
        <v>8</v>
      </c>
      <c r="H14" s="225" t="s">
        <v>34</v>
      </c>
      <c r="I14" s="225" t="s">
        <v>34</v>
      </c>
      <c r="J14" s="230"/>
      <c r="K14" s="231"/>
      <c r="N14" s="221"/>
      <c r="O14" s="221"/>
      <c r="P14" s="221"/>
      <c r="Q14" s="221"/>
    </row>
    <row r="15" spans="1:17" ht="15" customHeight="1" thickTop="1" x14ac:dyDescent="0.2">
      <c r="A15" s="237">
        <v>0</v>
      </c>
      <c r="B15" s="238">
        <v>0</v>
      </c>
      <c r="C15" s="227" t="s">
        <v>204</v>
      </c>
      <c r="D15" s="228" t="s">
        <v>204</v>
      </c>
      <c r="E15" s="228" t="s">
        <v>204</v>
      </c>
      <c r="F15" s="228" t="s">
        <v>204</v>
      </c>
      <c r="G15" s="228" t="s">
        <v>204</v>
      </c>
      <c r="H15" s="228" t="s">
        <v>204</v>
      </c>
      <c r="I15" s="228" t="s">
        <v>204</v>
      </c>
      <c r="J15" s="230"/>
      <c r="K15" s="231"/>
      <c r="N15" s="221"/>
      <c r="O15" s="221"/>
      <c r="P15" s="221"/>
      <c r="Q15" s="221"/>
    </row>
    <row r="16" spans="1:17" ht="15" customHeight="1" thickBot="1" x14ac:dyDescent="0.25">
      <c r="A16" s="235">
        <v>422</v>
      </c>
      <c r="B16" s="236" t="s">
        <v>145</v>
      </c>
      <c r="C16" s="224">
        <v>14</v>
      </c>
      <c r="D16" s="225">
        <v>7</v>
      </c>
      <c r="E16" s="225">
        <v>8</v>
      </c>
      <c r="F16" s="225">
        <v>7</v>
      </c>
      <c r="G16" s="225">
        <v>5</v>
      </c>
      <c r="H16" s="225" t="s">
        <v>34</v>
      </c>
      <c r="I16" s="225" t="s">
        <v>34</v>
      </c>
      <c r="J16" s="230"/>
      <c r="K16" s="231"/>
      <c r="N16" s="221"/>
      <c r="O16" s="221"/>
      <c r="P16" s="221"/>
      <c r="Q16" s="221"/>
    </row>
    <row r="17" spans="1:20" ht="15" customHeight="1" thickTop="1" x14ac:dyDescent="0.2">
      <c r="A17" s="226">
        <v>0</v>
      </c>
      <c r="B17" s="219">
        <v>0</v>
      </c>
      <c r="C17" s="239" t="s">
        <v>204</v>
      </c>
      <c r="D17" s="228" t="s">
        <v>204</v>
      </c>
      <c r="E17" s="284" t="s">
        <v>204</v>
      </c>
      <c r="F17" s="228" t="s">
        <v>204</v>
      </c>
      <c r="G17" s="228" t="s">
        <v>204</v>
      </c>
      <c r="H17" s="229" t="s">
        <v>204</v>
      </c>
      <c r="I17" s="228" t="s">
        <v>204</v>
      </c>
      <c r="J17" s="643"/>
      <c r="K17" s="231"/>
      <c r="N17" s="221"/>
      <c r="O17" s="221"/>
      <c r="P17" s="221"/>
      <c r="Q17" s="221"/>
    </row>
    <row r="18" spans="1:20" ht="15" customHeight="1" thickBot="1" x14ac:dyDescent="0.25">
      <c r="A18" s="222">
        <v>557</v>
      </c>
      <c r="B18" s="223" t="s">
        <v>45</v>
      </c>
      <c r="C18" s="240" t="s">
        <v>34</v>
      </c>
      <c r="D18" s="225" t="s">
        <v>76</v>
      </c>
      <c r="E18" s="253" t="s">
        <v>76</v>
      </c>
      <c r="F18" s="225" t="s">
        <v>76</v>
      </c>
      <c r="G18" s="225" t="s">
        <v>76</v>
      </c>
      <c r="H18" s="225" t="s">
        <v>76</v>
      </c>
      <c r="I18" s="225" t="s">
        <v>237</v>
      </c>
      <c r="J18" s="643"/>
      <c r="K18" s="231"/>
      <c r="O18" s="221"/>
      <c r="P18" s="221"/>
      <c r="Q18" s="221"/>
    </row>
    <row r="19" spans="1:20" ht="15" customHeight="1" thickTop="1" x14ac:dyDescent="0.2">
      <c r="A19" s="226">
        <v>0</v>
      </c>
      <c r="B19" s="241">
        <v>0</v>
      </c>
      <c r="C19" s="239" t="s">
        <v>204</v>
      </c>
      <c r="D19" s="228" t="s">
        <v>204</v>
      </c>
      <c r="E19" s="284" t="s">
        <v>204</v>
      </c>
      <c r="F19" s="228" t="s">
        <v>204</v>
      </c>
      <c r="G19" s="228" t="s">
        <v>204</v>
      </c>
      <c r="H19" s="228" t="s">
        <v>204</v>
      </c>
      <c r="I19" s="228" t="s">
        <v>204</v>
      </c>
      <c r="J19" s="643"/>
      <c r="K19" s="231"/>
      <c r="O19" s="221"/>
      <c r="P19" s="221"/>
      <c r="Q19" s="221"/>
    </row>
    <row r="20" spans="1:20" ht="15" customHeight="1" thickBot="1" x14ac:dyDescent="0.25">
      <c r="A20" s="222">
        <v>2048</v>
      </c>
      <c r="B20" s="223" t="s">
        <v>146</v>
      </c>
      <c r="C20" s="240" t="s">
        <v>76</v>
      </c>
      <c r="D20" s="253" t="s">
        <v>34</v>
      </c>
      <c r="E20" s="253" t="s">
        <v>34</v>
      </c>
      <c r="F20" s="225" t="s">
        <v>34</v>
      </c>
      <c r="G20" s="225" t="s">
        <v>34</v>
      </c>
      <c r="H20" s="225" t="s">
        <v>76</v>
      </c>
      <c r="I20" s="225" t="s">
        <v>76</v>
      </c>
      <c r="J20" s="643"/>
      <c r="K20" s="231"/>
      <c r="O20" s="221"/>
      <c r="P20" s="221"/>
      <c r="Q20" s="221"/>
    </row>
    <row r="21" spans="1:20" ht="15" customHeight="1" thickTop="1" x14ac:dyDescent="0.2">
      <c r="A21" s="226">
        <v>0</v>
      </c>
      <c r="B21" s="219">
        <v>0</v>
      </c>
      <c r="C21" s="243" t="s">
        <v>204</v>
      </c>
      <c r="D21" s="228" t="s">
        <v>204</v>
      </c>
      <c r="E21" s="284" t="s">
        <v>204</v>
      </c>
      <c r="F21" s="228" t="s">
        <v>204</v>
      </c>
      <c r="G21" s="228" t="s">
        <v>204</v>
      </c>
      <c r="H21" s="228" t="s">
        <v>204</v>
      </c>
      <c r="I21" s="228" t="s">
        <v>204</v>
      </c>
      <c r="J21" s="643"/>
      <c r="K21" s="231"/>
      <c r="O21" s="221"/>
      <c r="P21" s="221"/>
      <c r="Q21" s="221"/>
      <c r="T21" s="242"/>
    </row>
    <row r="22" spans="1:20" ht="15" customHeight="1" thickBot="1" x14ac:dyDescent="0.25">
      <c r="A22" s="222">
        <v>2052</v>
      </c>
      <c r="B22" s="223" t="s">
        <v>81</v>
      </c>
      <c r="C22" s="224">
        <v>10</v>
      </c>
      <c r="D22" s="225" t="s">
        <v>34</v>
      </c>
      <c r="E22" s="253" t="s">
        <v>34</v>
      </c>
      <c r="F22" s="225" t="s">
        <v>34</v>
      </c>
      <c r="G22" s="225">
        <v>14</v>
      </c>
      <c r="H22" s="225" t="s">
        <v>236</v>
      </c>
      <c r="I22" s="225" t="s">
        <v>239</v>
      </c>
      <c r="J22" s="643"/>
      <c r="K22" s="231"/>
      <c r="O22" s="221"/>
      <c r="P22" s="221"/>
      <c r="Q22" s="221"/>
    </row>
    <row r="23" spans="1:20" ht="15" customHeight="1" thickTop="1" x14ac:dyDescent="0.2">
      <c r="A23" s="237">
        <v>0</v>
      </c>
      <c r="B23" s="238">
        <v>0</v>
      </c>
      <c r="C23" s="227" t="s">
        <v>204</v>
      </c>
      <c r="D23" s="228" t="s">
        <v>204</v>
      </c>
      <c r="E23" s="284" t="s">
        <v>204</v>
      </c>
      <c r="F23" s="228" t="s">
        <v>204</v>
      </c>
      <c r="G23" s="228" t="s">
        <v>204</v>
      </c>
      <c r="H23" s="228" t="s">
        <v>204</v>
      </c>
      <c r="I23" s="228" t="s">
        <v>204</v>
      </c>
      <c r="J23" s="643"/>
      <c r="K23" s="231"/>
      <c r="O23" s="221"/>
      <c r="P23" s="221"/>
      <c r="Q23" s="221"/>
    </row>
    <row r="24" spans="1:20" ht="15" customHeight="1" thickBot="1" x14ac:dyDescent="0.25">
      <c r="A24" s="235">
        <v>2592</v>
      </c>
      <c r="B24" s="236" t="s">
        <v>147</v>
      </c>
      <c r="C24" s="224">
        <v>11</v>
      </c>
      <c r="D24" s="225">
        <v>9</v>
      </c>
      <c r="E24" s="253">
        <v>10</v>
      </c>
      <c r="F24" s="225">
        <v>4</v>
      </c>
      <c r="G24" s="225">
        <v>6</v>
      </c>
      <c r="H24" s="225" t="s">
        <v>34</v>
      </c>
      <c r="I24" s="225" t="s">
        <v>34</v>
      </c>
      <c r="J24" s="643"/>
      <c r="K24" s="231"/>
      <c r="O24" s="221"/>
      <c r="P24" s="221"/>
      <c r="Q24" s="221"/>
    </row>
    <row r="25" spans="1:20" ht="15" customHeight="1" thickTop="1" x14ac:dyDescent="0.2">
      <c r="A25" s="226">
        <v>0</v>
      </c>
      <c r="B25" s="246">
        <v>0</v>
      </c>
      <c r="C25" s="227" t="s">
        <v>204</v>
      </c>
      <c r="D25" s="228" t="s">
        <v>204</v>
      </c>
      <c r="E25" s="284" t="s">
        <v>204</v>
      </c>
      <c r="F25" s="228" t="s">
        <v>204</v>
      </c>
      <c r="G25" s="228" t="s">
        <v>204</v>
      </c>
      <c r="H25" s="228" t="s">
        <v>204</v>
      </c>
      <c r="I25" s="228" t="s">
        <v>204</v>
      </c>
      <c r="J25" s="642"/>
      <c r="K25" s="245"/>
      <c r="O25" s="215"/>
      <c r="P25" s="215"/>
      <c r="Q25" s="242"/>
    </row>
    <row r="26" spans="1:20" ht="15" customHeight="1" thickBot="1" x14ac:dyDescent="0.25">
      <c r="A26" s="222">
        <v>2328</v>
      </c>
      <c r="B26" s="236" t="s">
        <v>46</v>
      </c>
      <c r="C26" s="224">
        <v>13</v>
      </c>
      <c r="D26" s="225">
        <v>11</v>
      </c>
      <c r="E26" s="253">
        <v>15</v>
      </c>
      <c r="F26" s="225">
        <v>15</v>
      </c>
      <c r="G26" s="225">
        <v>10</v>
      </c>
      <c r="H26" s="225" t="s">
        <v>416</v>
      </c>
      <c r="I26" s="225" t="s">
        <v>242</v>
      </c>
      <c r="J26" s="444"/>
    </row>
    <row r="27" spans="1:20" s="215" customFormat="1" ht="15" customHeight="1" thickTop="1" x14ac:dyDescent="0.2">
      <c r="A27" s="247">
        <v>0</v>
      </c>
      <c r="B27" s="238">
        <v>0</v>
      </c>
      <c r="C27" s="227" t="s">
        <v>204</v>
      </c>
      <c r="D27" s="228" t="s">
        <v>204</v>
      </c>
      <c r="E27" s="284" t="s">
        <v>204</v>
      </c>
      <c r="F27" s="228" t="s">
        <v>204</v>
      </c>
      <c r="G27" s="228" t="s">
        <v>204</v>
      </c>
      <c r="H27" s="228" t="s">
        <v>204</v>
      </c>
      <c r="I27" s="228" t="s">
        <v>204</v>
      </c>
      <c r="J27" s="644"/>
      <c r="M27" s="201"/>
      <c r="N27" s="201"/>
    </row>
    <row r="28" spans="1:20" ht="15" customHeight="1" thickBot="1" x14ac:dyDescent="0.25">
      <c r="A28" s="235">
        <v>2538</v>
      </c>
      <c r="B28" s="236" t="s">
        <v>47</v>
      </c>
      <c r="C28" s="224" t="s">
        <v>34</v>
      </c>
      <c r="D28" s="253" t="s">
        <v>34</v>
      </c>
      <c r="E28" s="253" t="s">
        <v>34</v>
      </c>
      <c r="F28" s="225" t="s">
        <v>34</v>
      </c>
      <c r="G28" s="225">
        <v>13</v>
      </c>
      <c r="H28" s="225" t="s">
        <v>247</v>
      </c>
      <c r="I28" s="225" t="s">
        <v>246</v>
      </c>
      <c r="J28" s="444"/>
    </row>
    <row r="29" spans="1:20" ht="15" customHeight="1" thickTop="1" x14ac:dyDescent="0.2">
      <c r="A29" s="248">
        <v>0</v>
      </c>
      <c r="B29" s="249">
        <v>0</v>
      </c>
      <c r="C29" s="227" t="s">
        <v>204</v>
      </c>
      <c r="D29" s="228" t="s">
        <v>204</v>
      </c>
      <c r="E29" s="284" t="s">
        <v>204</v>
      </c>
      <c r="F29" s="228" t="s">
        <v>204</v>
      </c>
      <c r="G29" s="228" t="s">
        <v>204</v>
      </c>
      <c r="H29" s="228" t="s">
        <v>204</v>
      </c>
      <c r="I29" s="228" t="s">
        <v>204</v>
      </c>
      <c r="J29" s="444"/>
      <c r="L29" s="242"/>
    </row>
    <row r="30" spans="1:20" ht="15" customHeight="1" thickBot="1" x14ac:dyDescent="0.25">
      <c r="A30" s="250">
        <v>2562</v>
      </c>
      <c r="B30" s="223" t="s">
        <v>48</v>
      </c>
      <c r="C30" s="461" t="s">
        <v>34</v>
      </c>
      <c r="D30" s="253" t="s">
        <v>34</v>
      </c>
      <c r="E30" s="253" t="s">
        <v>34</v>
      </c>
      <c r="F30" s="225" t="s">
        <v>34</v>
      </c>
      <c r="G30" s="225" t="s">
        <v>34</v>
      </c>
      <c r="H30" s="225" t="s">
        <v>34</v>
      </c>
      <c r="I30" s="225" t="s">
        <v>34</v>
      </c>
      <c r="J30" s="444"/>
      <c r="L30" s="242"/>
    </row>
    <row r="31" spans="1:20" s="215" customFormat="1" ht="15" customHeight="1" thickTop="1" x14ac:dyDescent="0.2">
      <c r="A31" s="247">
        <v>0</v>
      </c>
      <c r="B31" s="238">
        <v>0</v>
      </c>
      <c r="C31" s="227" t="s">
        <v>204</v>
      </c>
      <c r="D31" s="228" t="s">
        <v>204</v>
      </c>
      <c r="E31" s="228" t="s">
        <v>204</v>
      </c>
      <c r="F31" s="228" t="s">
        <v>204</v>
      </c>
      <c r="G31" s="228" t="s">
        <v>204</v>
      </c>
      <c r="H31" s="228" t="s">
        <v>204</v>
      </c>
      <c r="I31" s="228" t="s">
        <v>204</v>
      </c>
      <c r="J31" s="444"/>
      <c r="L31" s="242"/>
      <c r="M31" s="201"/>
      <c r="N31" s="201"/>
    </row>
    <row r="32" spans="1:20" ht="15" customHeight="1" thickBot="1" x14ac:dyDescent="0.25">
      <c r="A32" s="235">
        <v>2150</v>
      </c>
      <c r="B32" s="236" t="s">
        <v>143</v>
      </c>
      <c r="C32" s="224">
        <v>4</v>
      </c>
      <c r="D32" s="225" t="s">
        <v>34</v>
      </c>
      <c r="E32" s="225" t="s">
        <v>34</v>
      </c>
      <c r="F32" s="225" t="s">
        <v>34</v>
      </c>
      <c r="G32" s="225">
        <v>15</v>
      </c>
      <c r="H32" s="225" t="s">
        <v>248</v>
      </c>
      <c r="I32" s="225" t="s">
        <v>236</v>
      </c>
      <c r="J32" s="444"/>
      <c r="L32" s="242"/>
    </row>
    <row r="33" spans="1:19" s="215" customFormat="1" ht="15" customHeight="1" thickTop="1" x14ac:dyDescent="0.2">
      <c r="A33" s="247">
        <v>0</v>
      </c>
      <c r="B33" s="238">
        <v>0</v>
      </c>
      <c r="C33" s="227" t="s">
        <v>204</v>
      </c>
      <c r="D33" s="228" t="s">
        <v>204</v>
      </c>
      <c r="E33" s="228" t="s">
        <v>204</v>
      </c>
      <c r="F33" s="228" t="s">
        <v>204</v>
      </c>
      <c r="G33" s="228" t="s">
        <v>204</v>
      </c>
      <c r="H33" s="228" t="s">
        <v>204</v>
      </c>
      <c r="I33" s="228" t="s">
        <v>204</v>
      </c>
      <c r="J33" s="444"/>
      <c r="L33" s="242"/>
      <c r="M33" s="201"/>
      <c r="N33" s="201"/>
    </row>
    <row r="34" spans="1:19" ht="15" customHeight="1" thickBot="1" x14ac:dyDescent="0.25">
      <c r="A34" s="235">
        <v>2548</v>
      </c>
      <c r="B34" s="236" t="s">
        <v>150</v>
      </c>
      <c r="C34" s="224">
        <v>12</v>
      </c>
      <c r="D34" s="225">
        <v>8</v>
      </c>
      <c r="E34" s="225">
        <v>7</v>
      </c>
      <c r="F34" s="225">
        <v>6</v>
      </c>
      <c r="G34" s="225" t="s">
        <v>34</v>
      </c>
      <c r="H34" s="225" t="s">
        <v>34</v>
      </c>
      <c r="I34" s="225" t="s">
        <v>34</v>
      </c>
      <c r="J34" s="444"/>
      <c r="L34" s="242"/>
    </row>
    <row r="35" spans="1:19" s="215" customFormat="1" ht="15" customHeight="1" thickTop="1" x14ac:dyDescent="0.2">
      <c r="A35" s="247">
        <v>0</v>
      </c>
      <c r="B35" s="238">
        <v>0</v>
      </c>
      <c r="C35" s="227" t="s">
        <v>204</v>
      </c>
      <c r="D35" s="228" t="s">
        <v>204</v>
      </c>
      <c r="E35" s="228" t="s">
        <v>204</v>
      </c>
      <c r="F35" s="228" t="s">
        <v>204</v>
      </c>
      <c r="G35" s="228" t="s">
        <v>204</v>
      </c>
      <c r="H35" s="228" t="s">
        <v>204</v>
      </c>
      <c r="I35" s="228" t="s">
        <v>204</v>
      </c>
      <c r="J35" s="444"/>
      <c r="L35" s="242"/>
      <c r="M35" s="201"/>
      <c r="N35" s="201"/>
    </row>
    <row r="36" spans="1:19" ht="15" customHeight="1" thickBot="1" x14ac:dyDescent="0.25">
      <c r="A36" s="235">
        <v>2529</v>
      </c>
      <c r="B36" s="236" t="s">
        <v>149</v>
      </c>
      <c r="C36" s="224" t="s">
        <v>77</v>
      </c>
      <c r="D36" s="225" t="s">
        <v>77</v>
      </c>
      <c r="E36" s="225" t="s">
        <v>77</v>
      </c>
      <c r="F36" s="225" t="s">
        <v>77</v>
      </c>
      <c r="G36" s="225" t="s">
        <v>77</v>
      </c>
      <c r="H36" s="225" t="s">
        <v>34</v>
      </c>
      <c r="I36" s="225" t="s">
        <v>34</v>
      </c>
      <c r="J36" s="444"/>
      <c r="L36" s="242"/>
    </row>
    <row r="37" spans="1:19" s="215" customFormat="1" ht="15" customHeight="1" thickTop="1" x14ac:dyDescent="0.2">
      <c r="A37" s="247">
        <v>0</v>
      </c>
      <c r="B37" s="238">
        <v>0</v>
      </c>
      <c r="C37" s="227" t="s">
        <v>204</v>
      </c>
      <c r="D37" s="228" t="s">
        <v>204</v>
      </c>
      <c r="E37" s="228" t="s">
        <v>204</v>
      </c>
      <c r="F37" s="228" t="s">
        <v>204</v>
      </c>
      <c r="G37" s="228" t="s">
        <v>204</v>
      </c>
      <c r="H37" s="228" t="s">
        <v>204</v>
      </c>
      <c r="I37" s="228" t="s">
        <v>204</v>
      </c>
      <c r="J37" s="444"/>
      <c r="K37" s="251"/>
      <c r="L37" s="251"/>
      <c r="M37" s="251"/>
    </row>
    <row r="38" spans="1:19" s="215" customFormat="1" ht="15" customHeight="1" thickBot="1" x14ac:dyDescent="0.25">
      <c r="A38" s="235">
        <v>1317</v>
      </c>
      <c r="B38" s="236" t="s">
        <v>49</v>
      </c>
      <c r="C38" s="224" t="s">
        <v>76</v>
      </c>
      <c r="D38" s="225" t="s">
        <v>34</v>
      </c>
      <c r="E38" s="225" t="s">
        <v>34</v>
      </c>
      <c r="F38" s="225" t="s">
        <v>34</v>
      </c>
      <c r="G38" s="225" t="s">
        <v>76</v>
      </c>
      <c r="H38" s="225" t="s">
        <v>76</v>
      </c>
      <c r="I38" s="225" t="s">
        <v>76</v>
      </c>
      <c r="J38" s="201"/>
      <c r="K38" s="251"/>
      <c r="L38" s="251"/>
      <c r="M38" s="251"/>
    </row>
    <row r="39" spans="1:19" s="215" customFormat="1" ht="15" customHeight="1" thickTop="1" x14ac:dyDescent="0.2">
      <c r="A39" s="247">
        <v>0</v>
      </c>
      <c r="B39" s="238">
        <v>0</v>
      </c>
      <c r="C39" s="227" t="s">
        <v>204</v>
      </c>
      <c r="D39" s="228" t="s">
        <v>204</v>
      </c>
      <c r="E39" s="228" t="s">
        <v>204</v>
      </c>
      <c r="F39" s="228" t="s">
        <v>204</v>
      </c>
      <c r="G39" s="228" t="s">
        <v>204</v>
      </c>
      <c r="H39" s="228" t="s">
        <v>204</v>
      </c>
      <c r="I39" s="228" t="s">
        <v>204</v>
      </c>
      <c r="J39" s="201"/>
      <c r="K39" s="251"/>
      <c r="L39" s="251"/>
      <c r="M39" s="251"/>
    </row>
    <row r="40" spans="1:19" s="215" customFormat="1" ht="15" customHeight="1" thickBot="1" x14ac:dyDescent="0.25">
      <c r="A40" s="235">
        <v>2175</v>
      </c>
      <c r="B40" s="236" t="s">
        <v>50</v>
      </c>
      <c r="C40" s="224">
        <v>15</v>
      </c>
      <c r="D40" s="225">
        <v>13</v>
      </c>
      <c r="E40" s="225">
        <v>12</v>
      </c>
      <c r="F40" s="225">
        <v>11</v>
      </c>
      <c r="G40" s="225">
        <v>2</v>
      </c>
      <c r="H40" s="225" t="s">
        <v>34</v>
      </c>
      <c r="I40" s="225" t="s">
        <v>34</v>
      </c>
      <c r="J40" s="201"/>
      <c r="K40" s="251"/>
      <c r="L40" s="251"/>
      <c r="M40" s="251"/>
    </row>
    <row r="41" spans="1:19" s="215" customFormat="1" ht="15" customHeight="1" thickTop="1" x14ac:dyDescent="0.2">
      <c r="A41" s="247">
        <v>0</v>
      </c>
      <c r="B41" s="238">
        <v>0</v>
      </c>
      <c r="C41" s="227" t="s">
        <v>204</v>
      </c>
      <c r="D41" s="228" t="s">
        <v>204</v>
      </c>
      <c r="E41" s="228" t="s">
        <v>204</v>
      </c>
      <c r="F41" s="228" t="s">
        <v>204</v>
      </c>
      <c r="G41" s="228" t="s">
        <v>204</v>
      </c>
      <c r="H41" s="228" t="s">
        <v>204</v>
      </c>
      <c r="I41" s="228" t="s">
        <v>204</v>
      </c>
      <c r="J41" s="201"/>
      <c r="K41" s="251"/>
      <c r="L41" s="251"/>
      <c r="M41" s="251"/>
    </row>
    <row r="42" spans="1:19" s="215" customFormat="1" ht="15" customHeight="1" thickBot="1" x14ac:dyDescent="0.25">
      <c r="A42" s="235">
        <v>2550</v>
      </c>
      <c r="B42" s="236" t="s">
        <v>51</v>
      </c>
      <c r="C42" s="224" t="s">
        <v>34</v>
      </c>
      <c r="D42" s="225">
        <v>12</v>
      </c>
      <c r="E42" s="225">
        <v>11</v>
      </c>
      <c r="F42" s="225">
        <v>10</v>
      </c>
      <c r="G42" s="225">
        <v>9</v>
      </c>
      <c r="H42" s="225" t="s">
        <v>241</v>
      </c>
      <c r="I42" s="225" t="s">
        <v>416</v>
      </c>
      <c r="J42" s="201"/>
      <c r="K42" s="251"/>
      <c r="L42" s="251"/>
      <c r="M42" s="251"/>
    </row>
    <row r="43" spans="1:19" s="215" customFormat="1" ht="15" customHeight="1" thickTop="1" x14ac:dyDescent="0.2">
      <c r="A43" s="257">
        <v>0</v>
      </c>
      <c r="B43" s="234">
        <v>0</v>
      </c>
      <c r="C43" s="227" t="s">
        <v>204</v>
      </c>
      <c r="D43" s="228" t="s">
        <v>204</v>
      </c>
      <c r="E43" s="228" t="s">
        <v>204</v>
      </c>
      <c r="F43" s="228" t="s">
        <v>204</v>
      </c>
      <c r="G43" s="228" t="s">
        <v>204</v>
      </c>
      <c r="H43" s="229" t="s">
        <v>204</v>
      </c>
      <c r="I43" s="228" t="s">
        <v>204</v>
      </c>
      <c r="J43" s="201"/>
      <c r="K43" s="252"/>
    </row>
    <row r="44" spans="1:19" ht="15" customHeight="1" thickBot="1" x14ac:dyDescent="0.25">
      <c r="A44" s="235">
        <v>3727</v>
      </c>
      <c r="B44" s="236" t="s">
        <v>132</v>
      </c>
      <c r="C44" s="224">
        <v>7</v>
      </c>
      <c r="D44" s="225">
        <v>3</v>
      </c>
      <c r="E44" s="225">
        <v>6</v>
      </c>
      <c r="F44" s="225">
        <v>1</v>
      </c>
      <c r="G44" s="225" t="s">
        <v>34</v>
      </c>
      <c r="H44" s="225" t="s">
        <v>34</v>
      </c>
      <c r="I44" s="225" t="s">
        <v>34</v>
      </c>
      <c r="O44" s="195"/>
    </row>
    <row r="45" spans="1:19" ht="15" customHeight="1" thickTop="1" x14ac:dyDescent="0.2">
      <c r="A45" s="247">
        <v>0</v>
      </c>
      <c r="B45" s="234">
        <v>0</v>
      </c>
      <c r="C45" s="227" t="s">
        <v>204</v>
      </c>
      <c r="D45" s="228" t="s">
        <v>204</v>
      </c>
      <c r="E45" s="228" t="s">
        <v>204</v>
      </c>
      <c r="F45" s="228" t="s">
        <v>204</v>
      </c>
      <c r="G45" s="228" t="s">
        <v>204</v>
      </c>
      <c r="H45" s="228" t="s">
        <v>204</v>
      </c>
      <c r="I45" s="228" t="s">
        <v>204</v>
      </c>
    </row>
    <row r="46" spans="1:19" ht="15" customHeight="1" thickBot="1" x14ac:dyDescent="0.25">
      <c r="A46" s="235">
        <v>2340</v>
      </c>
      <c r="B46" s="236" t="s">
        <v>52</v>
      </c>
      <c r="C46" s="224" t="s">
        <v>34</v>
      </c>
      <c r="D46" s="225">
        <v>1</v>
      </c>
      <c r="E46" s="225">
        <v>4</v>
      </c>
      <c r="F46" s="225">
        <v>2</v>
      </c>
      <c r="G46" s="225">
        <v>3</v>
      </c>
      <c r="H46" s="225" t="s">
        <v>34</v>
      </c>
      <c r="I46" s="225" t="s">
        <v>34</v>
      </c>
    </row>
    <row r="47" spans="1:19" ht="15" customHeight="1" thickTop="1" x14ac:dyDescent="0.2">
      <c r="A47" s="247">
        <v>0</v>
      </c>
      <c r="B47" s="238">
        <v>0</v>
      </c>
      <c r="C47" s="228" t="s">
        <v>204</v>
      </c>
      <c r="D47" s="228" t="s">
        <v>204</v>
      </c>
      <c r="E47" s="284" t="s">
        <v>204</v>
      </c>
      <c r="F47" s="228" t="s">
        <v>204</v>
      </c>
      <c r="G47" s="284" t="s">
        <v>204</v>
      </c>
      <c r="H47" s="228" t="s">
        <v>204</v>
      </c>
      <c r="I47" s="228" t="s">
        <v>204</v>
      </c>
    </row>
    <row r="48" spans="1:19" ht="15" customHeight="1" thickBot="1" x14ac:dyDescent="0.25">
      <c r="A48" s="258">
        <v>2831</v>
      </c>
      <c r="B48" s="236" t="s">
        <v>140</v>
      </c>
      <c r="C48" s="461">
        <v>6</v>
      </c>
      <c r="D48" s="253" t="s">
        <v>34</v>
      </c>
      <c r="E48" s="253" t="s">
        <v>34</v>
      </c>
      <c r="F48" s="253" t="s">
        <v>34</v>
      </c>
      <c r="G48" s="253">
        <v>11</v>
      </c>
      <c r="H48" s="253" t="s">
        <v>246</v>
      </c>
      <c r="I48" s="253" t="s">
        <v>247</v>
      </c>
      <c r="R48" s="254"/>
      <c r="S48" s="254"/>
    </row>
    <row r="49" spans="1:19" ht="15" customHeight="1" thickTop="1" x14ac:dyDescent="0.2">
      <c r="A49" s="233">
        <v>0</v>
      </c>
      <c r="B49" s="255">
        <v>0</v>
      </c>
      <c r="C49" s="448" t="s">
        <v>204</v>
      </c>
      <c r="D49" s="284" t="s">
        <v>204</v>
      </c>
      <c r="E49" s="284" t="s">
        <v>204</v>
      </c>
      <c r="F49" s="284" t="s">
        <v>204</v>
      </c>
      <c r="G49" s="284" t="s">
        <v>204</v>
      </c>
      <c r="H49" s="284" t="s">
        <v>204</v>
      </c>
      <c r="I49" s="284" t="s">
        <v>204</v>
      </c>
      <c r="R49" s="254"/>
      <c r="S49" s="254"/>
    </row>
    <row r="50" spans="1:19" ht="15" customHeight="1" thickBot="1" x14ac:dyDescent="0.25">
      <c r="A50" s="480">
        <v>3353</v>
      </c>
      <c r="B50" s="236" t="s">
        <v>164</v>
      </c>
      <c r="C50" s="461" t="s">
        <v>34</v>
      </c>
      <c r="D50" s="253">
        <v>14</v>
      </c>
      <c r="E50" s="253">
        <v>13</v>
      </c>
      <c r="F50" s="253">
        <v>12</v>
      </c>
      <c r="G50" s="253">
        <v>4</v>
      </c>
      <c r="H50" s="253" t="s">
        <v>34</v>
      </c>
      <c r="I50" s="253" t="s">
        <v>34</v>
      </c>
      <c r="R50" s="254"/>
      <c r="S50" s="254"/>
    </row>
    <row r="51" spans="1:19" ht="15" customHeight="1" thickTop="1" x14ac:dyDescent="0.2">
      <c r="A51" s="615">
        <v>0</v>
      </c>
      <c r="B51" s="616">
        <v>0</v>
      </c>
      <c r="C51" s="626">
        <v>0</v>
      </c>
      <c r="D51" s="292">
        <v>0</v>
      </c>
      <c r="E51" s="284">
        <v>0</v>
      </c>
      <c r="F51" s="284">
        <v>0</v>
      </c>
      <c r="G51" s="292">
        <v>0</v>
      </c>
      <c r="H51" s="292">
        <v>0</v>
      </c>
      <c r="I51" s="292">
        <v>0</v>
      </c>
      <c r="R51" s="254"/>
      <c r="S51" s="254"/>
    </row>
    <row r="52" spans="1:19" ht="15" customHeight="1" thickBot="1" x14ac:dyDescent="0.25">
      <c r="A52" s="617">
        <v>2911</v>
      </c>
      <c r="B52" s="614" t="s">
        <v>229</v>
      </c>
      <c r="C52" s="253" t="s">
        <v>76</v>
      </c>
      <c r="D52" s="253" t="s">
        <v>76</v>
      </c>
      <c r="E52" s="253" t="s">
        <v>76</v>
      </c>
      <c r="F52" s="253" t="s">
        <v>76</v>
      </c>
      <c r="G52" s="253" t="s">
        <v>76</v>
      </c>
      <c r="H52" s="253" t="s">
        <v>76</v>
      </c>
      <c r="I52" s="253" t="s">
        <v>76</v>
      </c>
      <c r="J52" s="256"/>
      <c r="R52" s="254"/>
      <c r="S52" s="254"/>
    </row>
    <row r="53" spans="1:19" ht="15" customHeight="1" thickTop="1" x14ac:dyDescent="0.2">
      <c r="A53" s="257">
        <v>0</v>
      </c>
      <c r="B53" s="234">
        <v>0</v>
      </c>
      <c r="C53" s="448" t="s">
        <v>204</v>
      </c>
      <c r="D53" s="284" t="s">
        <v>204</v>
      </c>
      <c r="E53" s="284" t="s">
        <v>204</v>
      </c>
      <c r="F53" s="284" t="s">
        <v>204</v>
      </c>
      <c r="G53" s="284" t="s">
        <v>204</v>
      </c>
      <c r="H53" s="284" t="s">
        <v>204</v>
      </c>
      <c r="I53" s="284">
        <v>0</v>
      </c>
      <c r="R53" s="254"/>
      <c r="S53" s="254"/>
    </row>
    <row r="54" spans="1:19" ht="15" customHeight="1" thickBot="1" x14ac:dyDescent="0.25">
      <c r="A54" s="235">
        <v>3330</v>
      </c>
      <c r="B54" s="236" t="s">
        <v>162</v>
      </c>
      <c r="C54" s="253">
        <v>3</v>
      </c>
      <c r="D54" s="253">
        <v>5</v>
      </c>
      <c r="E54" s="253">
        <v>2</v>
      </c>
      <c r="F54" s="253">
        <v>8</v>
      </c>
      <c r="G54" s="253">
        <v>7</v>
      </c>
      <c r="H54" s="253" t="s">
        <v>34</v>
      </c>
      <c r="I54" s="253" t="s">
        <v>34</v>
      </c>
      <c r="R54" s="254"/>
      <c r="S54" s="254"/>
    </row>
    <row r="55" spans="1:19" ht="15" customHeight="1" thickTop="1" x14ac:dyDescent="0.2">
      <c r="A55" s="611">
        <v>0</v>
      </c>
      <c r="B55" s="612">
        <v>0</v>
      </c>
      <c r="C55" s="298">
        <v>0</v>
      </c>
      <c r="D55" s="284">
        <v>0</v>
      </c>
      <c r="E55" s="284">
        <v>0</v>
      </c>
      <c r="F55" s="284">
        <v>0</v>
      </c>
      <c r="G55" s="284">
        <v>0</v>
      </c>
      <c r="H55" s="284">
        <v>0</v>
      </c>
      <c r="I55" s="284">
        <v>0</v>
      </c>
      <c r="R55" s="254"/>
      <c r="S55" s="254"/>
    </row>
    <row r="56" spans="1:19" ht="15" customHeight="1" thickBot="1" x14ac:dyDescent="0.25">
      <c r="A56" s="613">
        <v>3732</v>
      </c>
      <c r="B56" s="614" t="s">
        <v>230</v>
      </c>
      <c r="C56" s="461">
        <v>16</v>
      </c>
      <c r="D56" s="253">
        <v>4</v>
      </c>
      <c r="E56" s="253">
        <v>3</v>
      </c>
      <c r="F56" s="253">
        <v>9</v>
      </c>
      <c r="G56" s="253">
        <v>1</v>
      </c>
      <c r="H56" s="253" t="s">
        <v>34</v>
      </c>
      <c r="I56" s="253" t="s">
        <v>34</v>
      </c>
      <c r="R56" s="254"/>
      <c r="S56" s="254"/>
    </row>
    <row r="57" spans="1:19" ht="15" customHeight="1" thickTop="1" x14ac:dyDescent="0.2">
      <c r="A57" s="490">
        <v>0</v>
      </c>
      <c r="B57" s="489">
        <v>0</v>
      </c>
      <c r="C57" s="448"/>
      <c r="D57" s="284"/>
      <c r="E57" s="284"/>
      <c r="F57" s="284"/>
      <c r="G57" s="284"/>
      <c r="H57" s="284"/>
      <c r="I57" s="284"/>
      <c r="R57" s="254"/>
      <c r="S57" s="254"/>
    </row>
    <row r="58" spans="1:19" ht="15" customHeight="1" thickBot="1" x14ac:dyDescent="0.25">
      <c r="A58" s="222"/>
      <c r="B58" s="223"/>
      <c r="C58" s="253"/>
      <c r="D58" s="253"/>
      <c r="E58" s="253"/>
      <c r="F58" s="253"/>
      <c r="G58" s="253"/>
      <c r="H58" s="253"/>
      <c r="I58" s="253"/>
      <c r="R58" s="254"/>
      <c r="S58" s="254"/>
    </row>
    <row r="59" spans="1:19" ht="15" customHeight="1" thickTop="1" x14ac:dyDescent="0.2">
      <c r="A59" s="611">
        <v>0</v>
      </c>
      <c r="B59" s="612">
        <v>0</v>
      </c>
      <c r="C59" s="298"/>
      <c r="D59" s="284"/>
      <c r="E59" s="284"/>
      <c r="F59" s="284"/>
      <c r="G59" s="284"/>
      <c r="H59" s="284"/>
      <c r="I59" s="284"/>
      <c r="R59" s="254"/>
      <c r="S59" s="254"/>
    </row>
    <row r="60" spans="1:19" ht="15" customHeight="1" thickBot="1" x14ac:dyDescent="0.25">
      <c r="A60" s="613"/>
      <c r="B60" s="614"/>
      <c r="C60" s="461"/>
      <c r="D60" s="253"/>
      <c r="E60" s="253"/>
      <c r="F60" s="253"/>
      <c r="G60" s="253"/>
      <c r="H60" s="253"/>
      <c r="I60" s="253"/>
      <c r="R60" s="254"/>
      <c r="S60" s="254"/>
    </row>
    <row r="61" spans="1:19" ht="15" customHeight="1" thickTop="1" x14ac:dyDescent="0.2">
      <c r="A61" s="611"/>
      <c r="B61" s="612"/>
      <c r="C61" s="298"/>
      <c r="D61" s="284"/>
      <c r="E61" s="284"/>
      <c r="F61" s="284"/>
      <c r="G61" s="284"/>
      <c r="H61" s="284"/>
      <c r="I61" s="284"/>
      <c r="R61" s="254"/>
      <c r="S61" s="254"/>
    </row>
    <row r="62" spans="1:19" ht="15" customHeight="1" thickBot="1" x14ac:dyDescent="0.25">
      <c r="A62" s="613"/>
      <c r="B62" s="614"/>
      <c r="C62" s="461"/>
      <c r="D62" s="253"/>
      <c r="E62" s="253"/>
      <c r="F62" s="253"/>
      <c r="G62" s="253"/>
      <c r="H62" s="253"/>
      <c r="I62" s="253"/>
      <c r="R62" s="254"/>
      <c r="S62" s="254"/>
    </row>
    <row r="63" spans="1:19" ht="15" customHeight="1" thickTop="1" x14ac:dyDescent="0.2">
      <c r="A63" s="611"/>
      <c r="B63" s="612"/>
      <c r="C63" s="298"/>
      <c r="D63" s="284"/>
      <c r="E63" s="284"/>
      <c r="F63" s="284"/>
      <c r="G63" s="284"/>
      <c r="H63" s="284"/>
      <c r="I63" s="284"/>
      <c r="R63" s="254"/>
      <c r="S63" s="254"/>
    </row>
    <row r="64" spans="1:19" ht="15" customHeight="1" thickBot="1" x14ac:dyDescent="0.25">
      <c r="A64" s="613"/>
      <c r="B64" s="614"/>
      <c r="C64" s="461"/>
      <c r="D64" s="253"/>
      <c r="E64" s="253"/>
      <c r="F64" s="253"/>
      <c r="G64" s="253"/>
      <c r="H64" s="253"/>
      <c r="I64" s="253"/>
      <c r="R64" s="254"/>
      <c r="S64" s="254"/>
    </row>
    <row r="65" spans="1:19" ht="15" customHeight="1" thickTop="1" x14ac:dyDescent="0.2">
      <c r="A65" s="611"/>
      <c r="B65" s="612"/>
      <c r="C65" s="298"/>
      <c r="D65" s="284"/>
      <c r="E65" s="284"/>
      <c r="F65" s="284"/>
      <c r="G65" s="284"/>
      <c r="H65" s="284"/>
      <c r="I65" s="284"/>
      <c r="R65" s="254"/>
      <c r="S65" s="254"/>
    </row>
    <row r="66" spans="1:19" ht="15" customHeight="1" thickBot="1" x14ac:dyDescent="0.25">
      <c r="A66" s="613"/>
      <c r="B66" s="614"/>
      <c r="C66" s="461"/>
      <c r="D66" s="253"/>
      <c r="E66" s="253"/>
      <c r="F66" s="253"/>
      <c r="G66" s="253"/>
      <c r="H66" s="253"/>
      <c r="I66" s="253"/>
      <c r="R66" s="254"/>
      <c r="S66" s="254"/>
    </row>
    <row r="67" spans="1:19" ht="15" customHeight="1" thickTop="1" x14ac:dyDescent="0.2">
      <c r="A67" s="611"/>
      <c r="B67" s="612"/>
      <c r="C67" s="298"/>
      <c r="D67" s="284"/>
      <c r="E67" s="284"/>
      <c r="F67" s="284"/>
      <c r="G67" s="284"/>
      <c r="H67" s="284"/>
      <c r="I67" s="284"/>
      <c r="R67" s="254"/>
      <c r="S67" s="254"/>
    </row>
    <row r="68" spans="1:19" ht="15" customHeight="1" thickBot="1" x14ac:dyDescent="0.25">
      <c r="A68" s="613"/>
      <c r="B68" s="614"/>
      <c r="C68" s="461"/>
      <c r="D68" s="253"/>
      <c r="E68" s="253"/>
      <c r="F68" s="253"/>
      <c r="G68" s="253"/>
      <c r="H68" s="253"/>
      <c r="I68" s="253"/>
      <c r="R68" s="254"/>
      <c r="S68" s="254"/>
    </row>
    <row r="69" spans="1:19" ht="15" customHeight="1" thickTop="1" x14ac:dyDescent="0.2">
      <c r="A69" s="611"/>
      <c r="B69" s="612"/>
      <c r="C69" s="298"/>
      <c r="D69" s="284"/>
      <c r="E69" s="284"/>
      <c r="F69" s="284"/>
      <c r="G69" s="284"/>
      <c r="H69" s="284"/>
      <c r="I69" s="284"/>
      <c r="R69" s="254"/>
      <c r="S69" s="254"/>
    </row>
    <row r="70" spans="1:19" ht="15" customHeight="1" thickBot="1" x14ac:dyDescent="0.25">
      <c r="A70" s="613"/>
      <c r="B70" s="614"/>
      <c r="C70" s="461"/>
      <c r="D70" s="253"/>
      <c r="E70" s="253"/>
      <c r="F70" s="253"/>
      <c r="G70" s="253"/>
      <c r="H70" s="253"/>
      <c r="I70" s="253"/>
      <c r="R70" s="254"/>
      <c r="S70" s="254"/>
    </row>
    <row r="71" spans="1:19" ht="15" customHeight="1" thickTop="1" x14ac:dyDescent="0.2">
      <c r="A71" s="611"/>
      <c r="B71" s="612"/>
      <c r="C71" s="298"/>
      <c r="D71" s="284"/>
      <c r="E71" s="284"/>
      <c r="F71" s="284"/>
      <c r="G71" s="284"/>
      <c r="H71" s="284"/>
      <c r="I71" s="284"/>
      <c r="R71" s="254"/>
      <c r="S71" s="254"/>
    </row>
    <row r="72" spans="1:19" ht="15" customHeight="1" thickBot="1" x14ac:dyDescent="0.25">
      <c r="A72" s="613"/>
      <c r="B72" s="614"/>
      <c r="C72" s="461"/>
      <c r="D72" s="253"/>
      <c r="E72" s="253"/>
      <c r="F72" s="253"/>
      <c r="G72" s="253"/>
      <c r="H72" s="253"/>
      <c r="I72" s="253"/>
      <c r="R72" s="254"/>
      <c r="S72" s="254"/>
    </row>
    <row r="73" spans="1:19" ht="15" customHeight="1" thickTop="1" x14ac:dyDescent="0.2">
      <c r="A73" s="611"/>
      <c r="B73" s="612"/>
      <c r="C73" s="298"/>
      <c r="D73" s="284"/>
      <c r="E73" s="284"/>
      <c r="F73" s="284"/>
      <c r="G73" s="284"/>
      <c r="H73" s="284"/>
      <c r="I73" s="284"/>
    </row>
    <row r="74" spans="1:19" ht="15" customHeight="1" thickBot="1" x14ac:dyDescent="0.25">
      <c r="A74" s="613"/>
      <c r="B74" s="236"/>
      <c r="C74" s="461"/>
      <c r="D74" s="253"/>
      <c r="E74" s="253"/>
      <c r="F74" s="253"/>
      <c r="G74" s="253"/>
      <c r="H74" s="253"/>
      <c r="I74" s="253"/>
    </row>
    <row r="75" spans="1:19" ht="15" customHeight="1" thickTop="1" x14ac:dyDescent="0.2">
      <c r="A75" s="259"/>
      <c r="B75" s="260">
        <v>618617845</v>
      </c>
      <c r="C75" s="495"/>
      <c r="D75" s="198"/>
      <c r="E75" s="198"/>
      <c r="F75" s="198"/>
      <c r="G75" s="198"/>
      <c r="H75" s="198">
        <v>0</v>
      </c>
      <c r="I75" s="198">
        <v>0</v>
      </c>
    </row>
    <row r="76" spans="1:19" ht="15" customHeight="1" thickBot="1" x14ac:dyDescent="0.25">
      <c r="A76" s="261">
        <v>1596</v>
      </c>
      <c r="B76" s="262" t="s">
        <v>134</v>
      </c>
      <c r="C76" s="263" t="s">
        <v>80</v>
      </c>
      <c r="D76" s="263" t="s">
        <v>117</v>
      </c>
      <c r="E76" s="263" t="s">
        <v>80</v>
      </c>
      <c r="F76" s="263" t="s">
        <v>234</v>
      </c>
      <c r="G76" s="263" t="s">
        <v>80</v>
      </c>
      <c r="H76" s="263" t="s">
        <v>34</v>
      </c>
      <c r="I76" s="263" t="s">
        <v>34</v>
      </c>
    </row>
    <row r="77" spans="1:19" ht="15" customHeight="1" thickTop="1" x14ac:dyDescent="0.2">
      <c r="A77" s="259"/>
      <c r="B77" s="260">
        <v>619824402</v>
      </c>
      <c r="C77" s="496"/>
      <c r="D77" s="496"/>
      <c r="E77" s="198"/>
      <c r="F77" s="198"/>
      <c r="G77" s="198"/>
      <c r="H77" s="198">
        <v>0</v>
      </c>
      <c r="I77" s="198">
        <v>0</v>
      </c>
    </row>
    <row r="78" spans="1:19" ht="15" customHeight="1" thickBot="1" x14ac:dyDescent="0.25">
      <c r="A78" s="261">
        <v>2337</v>
      </c>
      <c r="B78" s="262" t="s">
        <v>135</v>
      </c>
      <c r="C78" s="263" t="s">
        <v>76</v>
      </c>
      <c r="D78" s="263" t="s">
        <v>76</v>
      </c>
      <c r="E78" s="263" t="s">
        <v>76</v>
      </c>
      <c r="F78" s="263" t="s">
        <v>76</v>
      </c>
      <c r="G78" s="263" t="s">
        <v>76</v>
      </c>
      <c r="H78" s="263" t="s">
        <v>34</v>
      </c>
      <c r="I78" s="263" t="s">
        <v>34</v>
      </c>
    </row>
    <row r="79" spans="1:19" ht="15" customHeight="1" thickTop="1" x14ac:dyDescent="0.2">
      <c r="A79" s="264"/>
      <c r="B79" s="265">
        <v>689983234</v>
      </c>
      <c r="C79" s="266"/>
      <c r="D79" s="266"/>
      <c r="E79" s="266"/>
      <c r="F79" s="266"/>
      <c r="G79" s="266"/>
      <c r="H79" s="266">
        <v>0</v>
      </c>
      <c r="I79" s="266">
        <v>0</v>
      </c>
    </row>
    <row r="80" spans="1:19" ht="15" customHeight="1" thickBot="1" x14ac:dyDescent="0.25">
      <c r="A80" s="267">
        <v>2339</v>
      </c>
      <c r="B80" s="268" t="s">
        <v>151</v>
      </c>
      <c r="C80" s="269" t="s">
        <v>80</v>
      </c>
      <c r="D80" s="269" t="s">
        <v>80</v>
      </c>
      <c r="E80" s="269" t="s">
        <v>80</v>
      </c>
      <c r="F80" s="269" t="s">
        <v>234</v>
      </c>
      <c r="G80" s="269" t="s">
        <v>80</v>
      </c>
      <c r="H80" s="269" t="s">
        <v>34</v>
      </c>
      <c r="I80" s="269" t="s">
        <v>34</v>
      </c>
    </row>
    <row r="81" spans="1:9" ht="15" customHeight="1" thickTop="1" x14ac:dyDescent="0.2">
      <c r="A81" s="584"/>
      <c r="B81" s="585"/>
      <c r="C81" s="442"/>
      <c r="D81" s="442"/>
      <c r="E81" s="442"/>
      <c r="F81" s="442"/>
      <c r="G81" s="442"/>
      <c r="H81" s="442"/>
      <c r="I81" s="292"/>
    </row>
    <row r="82" spans="1:9" ht="15" customHeight="1" thickBot="1" x14ac:dyDescent="0.25">
      <c r="A82" s="555" t="s">
        <v>157</v>
      </c>
      <c r="B82" s="556" t="s">
        <v>158</v>
      </c>
      <c r="C82" s="218"/>
      <c r="D82" s="218"/>
      <c r="E82" s="218"/>
      <c r="F82" s="218"/>
      <c r="G82" s="218"/>
      <c r="H82" s="218"/>
      <c r="I82" s="253"/>
    </row>
    <row r="83" spans="1:9" ht="19.5" customHeight="1" thickTop="1" x14ac:dyDescent="0.2">
      <c r="A83" s="535"/>
      <c r="B83" s="536"/>
      <c r="C83" s="534"/>
      <c r="D83" s="534"/>
      <c r="E83" s="534"/>
      <c r="F83" s="534"/>
      <c r="G83" s="534"/>
      <c r="H83" s="534"/>
      <c r="I83" s="534"/>
    </row>
    <row r="84" spans="1:9" ht="18" x14ac:dyDescent="0.2">
      <c r="A84" s="535"/>
      <c r="B84" s="536"/>
      <c r="C84" s="534"/>
      <c r="D84" s="534"/>
      <c r="E84" s="534"/>
      <c r="F84" s="534"/>
      <c r="G84" s="534"/>
      <c r="H84" s="534"/>
      <c r="I84" s="534"/>
    </row>
    <row r="85" spans="1:9" ht="25.5" x14ac:dyDescent="0.2">
      <c r="A85" s="532"/>
      <c r="B85" s="532"/>
      <c r="C85" s="533"/>
      <c r="D85" s="533"/>
      <c r="E85" s="533"/>
      <c r="F85" s="533"/>
      <c r="G85" s="533"/>
      <c r="H85" s="533"/>
      <c r="I85" s="534"/>
    </row>
    <row r="86" spans="1:9" ht="18" x14ac:dyDescent="0.2">
      <c r="A86" s="535"/>
      <c r="B86" s="536"/>
      <c r="C86" s="533"/>
      <c r="D86" s="533"/>
      <c r="E86" s="533"/>
      <c r="F86" s="533"/>
      <c r="G86" s="533"/>
      <c r="H86" s="533"/>
      <c r="I86" s="534"/>
    </row>
    <row r="87" spans="1:9" ht="19.5" customHeight="1" x14ac:dyDescent="0.2">
      <c r="A87" s="537"/>
      <c r="B87" s="538"/>
      <c r="C87" s="539"/>
      <c r="D87" s="540"/>
      <c r="E87" s="540"/>
      <c r="F87" s="540"/>
      <c r="G87" s="540"/>
      <c r="H87" s="540"/>
      <c r="I87" s="540"/>
    </row>
    <row r="88" spans="1:9" ht="18" x14ac:dyDescent="0.2">
      <c r="A88" s="537"/>
      <c r="B88" s="541"/>
      <c r="C88" s="540"/>
      <c r="D88" s="540"/>
      <c r="E88" s="540"/>
      <c r="F88" s="540"/>
      <c r="G88" s="540"/>
      <c r="H88" s="540"/>
      <c r="I88" s="540"/>
    </row>
    <row r="89" spans="1:9" ht="18" x14ac:dyDescent="0.2">
      <c r="A89" s="537"/>
      <c r="B89" s="538"/>
      <c r="C89" s="542"/>
      <c r="D89" s="542"/>
      <c r="E89" s="540"/>
      <c r="F89" s="540"/>
      <c r="G89" s="540"/>
      <c r="H89" s="540"/>
      <c r="I89" s="540"/>
    </row>
    <row r="90" spans="1:9" ht="18" x14ac:dyDescent="0.2">
      <c r="A90" s="537"/>
      <c r="B90" s="541"/>
      <c r="C90" s="540"/>
      <c r="D90" s="540"/>
      <c r="E90" s="540"/>
      <c r="F90" s="540"/>
      <c r="G90" s="540"/>
      <c r="H90" s="540"/>
      <c r="I90" s="540"/>
    </row>
    <row r="91" spans="1:9" ht="18" x14ac:dyDescent="0.2">
      <c r="A91" s="537"/>
      <c r="B91" s="543"/>
      <c r="C91" s="540"/>
      <c r="D91" s="540"/>
      <c r="E91" s="540"/>
      <c r="F91" s="540"/>
      <c r="G91" s="540"/>
      <c r="H91" s="540"/>
      <c r="I91" s="540"/>
    </row>
    <row r="92" spans="1:9" ht="18" x14ac:dyDescent="0.2">
      <c r="A92" s="537"/>
      <c r="B92" s="543"/>
      <c r="C92" s="540"/>
      <c r="D92" s="540"/>
      <c r="E92" s="540"/>
      <c r="F92" s="540"/>
      <c r="G92" s="540"/>
      <c r="H92" s="540"/>
      <c r="I92" s="540"/>
    </row>
    <row r="93" spans="1:9" x14ac:dyDescent="0.15">
      <c r="C93" s="270">
        <v>0</v>
      </c>
      <c r="D93" s="270">
        <v>0</v>
      </c>
      <c r="E93" s="270">
        <v>0</v>
      </c>
      <c r="F93" s="270">
        <v>0</v>
      </c>
      <c r="G93" s="270">
        <v>0</v>
      </c>
      <c r="H93" s="270">
        <v>0</v>
      </c>
      <c r="I93" s="270">
        <v>0</v>
      </c>
    </row>
    <row r="94" spans="1:9" x14ac:dyDescent="0.15">
      <c r="C94" s="270"/>
      <c r="D94" s="270"/>
      <c r="E94" s="270"/>
      <c r="F94" s="270"/>
      <c r="G94" s="270"/>
      <c r="H94" s="270"/>
      <c r="I94" s="270"/>
    </row>
    <row r="95" spans="1:9" x14ac:dyDescent="0.15">
      <c r="C95" s="270"/>
      <c r="D95" s="270"/>
      <c r="E95" s="270"/>
      <c r="F95" s="270"/>
      <c r="G95" s="270"/>
      <c r="H95" s="270"/>
      <c r="I95" s="270"/>
    </row>
    <row r="96" spans="1:9" x14ac:dyDescent="0.15">
      <c r="C96" s="271"/>
      <c r="D96" s="271"/>
      <c r="E96" s="271"/>
      <c r="F96" s="271"/>
      <c r="G96" s="271"/>
      <c r="H96" s="271"/>
      <c r="I96" s="271"/>
    </row>
    <row r="97" spans="2:9" x14ac:dyDescent="0.15">
      <c r="B97" s="272"/>
      <c r="C97" s="270"/>
      <c r="D97" s="270"/>
      <c r="E97" s="270"/>
      <c r="F97" s="270"/>
      <c r="G97" s="270"/>
      <c r="H97" s="270"/>
      <c r="I97" s="270"/>
    </row>
    <row r="98" spans="2:9" x14ac:dyDescent="0.15">
      <c r="B98" s="272"/>
      <c r="C98" s="270"/>
      <c r="D98" s="270"/>
      <c r="E98" s="270"/>
      <c r="F98" s="270"/>
      <c r="G98" s="270"/>
      <c r="H98" s="270"/>
      <c r="I98" s="270"/>
    </row>
    <row r="99" spans="2:9" x14ac:dyDescent="0.15">
      <c r="B99" s="272"/>
      <c r="C99" s="270"/>
      <c r="D99" s="270"/>
      <c r="E99" s="270"/>
      <c r="F99" s="270"/>
      <c r="G99" s="270"/>
      <c r="H99" s="270"/>
      <c r="I99" s="270"/>
    </row>
    <row r="100" spans="2:9" x14ac:dyDescent="0.15">
      <c r="B100" s="272"/>
      <c r="C100" s="270"/>
      <c r="D100" s="270"/>
      <c r="E100" s="270"/>
      <c r="F100" s="270"/>
      <c r="G100" s="270"/>
      <c r="H100" s="270"/>
      <c r="I100" s="270"/>
    </row>
    <row r="101" spans="2:9" x14ac:dyDescent="0.15">
      <c r="B101" s="272"/>
      <c r="C101" s="270"/>
      <c r="D101" s="270"/>
      <c r="E101" s="270"/>
      <c r="F101" s="270"/>
      <c r="G101" s="270"/>
      <c r="H101" s="270"/>
      <c r="I101" s="270"/>
    </row>
    <row r="102" spans="2:9" x14ac:dyDescent="0.15">
      <c r="B102" s="272"/>
      <c r="C102" s="270"/>
      <c r="D102" s="270"/>
      <c r="E102" s="270"/>
      <c r="F102" s="270"/>
      <c r="G102" s="270"/>
      <c r="H102" s="270"/>
      <c r="I102" s="270"/>
    </row>
    <row r="103" spans="2:9" x14ac:dyDescent="0.15">
      <c r="B103" s="273"/>
      <c r="C103" s="271"/>
      <c r="D103" s="271"/>
      <c r="E103" s="271"/>
      <c r="F103" s="271"/>
      <c r="G103" s="271"/>
      <c r="H103" s="271"/>
      <c r="I103" s="271"/>
    </row>
    <row r="104" spans="2:9" x14ac:dyDescent="0.15">
      <c r="B104" s="273"/>
      <c r="C104" s="271"/>
      <c r="D104" s="271"/>
      <c r="E104" s="271"/>
      <c r="F104" s="271"/>
      <c r="G104" s="271"/>
      <c r="H104" s="271"/>
      <c r="I104" s="271"/>
    </row>
    <row r="105" spans="2:9" x14ac:dyDescent="0.15">
      <c r="B105" s="273"/>
      <c r="C105" s="271"/>
      <c r="D105" s="271"/>
      <c r="E105" s="271"/>
      <c r="F105" s="271"/>
      <c r="G105" s="271"/>
      <c r="H105" s="271"/>
      <c r="I105" s="271"/>
    </row>
    <row r="106" spans="2:9" x14ac:dyDescent="0.15">
      <c r="B106" s="273"/>
      <c r="C106" s="271"/>
      <c r="D106" s="271"/>
      <c r="E106" s="271"/>
      <c r="F106" s="271"/>
      <c r="G106" s="271"/>
      <c r="H106" s="271"/>
      <c r="I106" s="271"/>
    </row>
    <row r="107" spans="2:9" x14ac:dyDescent="0.15">
      <c r="B107" s="273"/>
      <c r="C107" s="271"/>
      <c r="D107" s="271"/>
      <c r="E107" s="271"/>
      <c r="F107" s="271"/>
      <c r="G107" s="271"/>
      <c r="H107" s="271"/>
      <c r="I107" s="271"/>
    </row>
    <row r="108" spans="2:9" x14ac:dyDescent="0.15">
      <c r="B108" s="273"/>
      <c r="C108" s="271"/>
      <c r="D108" s="271"/>
      <c r="E108" s="271"/>
      <c r="F108" s="271"/>
      <c r="G108" s="271"/>
      <c r="H108" s="271"/>
      <c r="I108" s="271"/>
    </row>
    <row r="109" spans="2:9" x14ac:dyDescent="0.15">
      <c r="B109" s="273"/>
      <c r="C109" s="271"/>
      <c r="D109" s="271"/>
      <c r="E109" s="271"/>
      <c r="F109" s="271"/>
      <c r="G109" s="271"/>
      <c r="H109" s="271"/>
      <c r="I109" s="271"/>
    </row>
    <row r="110" spans="2:9" x14ac:dyDescent="0.15">
      <c r="B110" s="273"/>
      <c r="C110" s="271"/>
      <c r="D110" s="271"/>
      <c r="E110" s="271"/>
      <c r="F110" s="271"/>
      <c r="G110" s="271"/>
      <c r="H110" s="271"/>
      <c r="I110" s="271"/>
    </row>
    <row r="111" spans="2:9" x14ac:dyDescent="0.15">
      <c r="B111" s="273"/>
      <c r="C111" s="271"/>
      <c r="D111" s="271"/>
      <c r="E111" s="271"/>
      <c r="F111" s="271"/>
      <c r="G111" s="271"/>
      <c r="H111" s="271"/>
      <c r="I111" s="271"/>
    </row>
    <row r="112" spans="2:9" x14ac:dyDescent="0.15">
      <c r="B112" s="273"/>
      <c r="C112" s="271"/>
      <c r="D112" s="271"/>
      <c r="E112" s="271"/>
      <c r="F112" s="271"/>
      <c r="G112" s="271"/>
      <c r="H112" s="271"/>
      <c r="I112" s="271"/>
    </row>
    <row r="113" spans="2:9" x14ac:dyDescent="0.15">
      <c r="B113" s="273"/>
      <c r="C113" s="271"/>
      <c r="D113" s="271"/>
      <c r="E113" s="271"/>
      <c r="F113" s="271"/>
      <c r="G113" s="271"/>
      <c r="H113" s="271"/>
      <c r="I113" s="271"/>
    </row>
    <row r="114" spans="2:9" x14ac:dyDescent="0.15">
      <c r="B114" s="273"/>
      <c r="C114" s="271"/>
      <c r="D114" s="271"/>
      <c r="E114" s="271"/>
      <c r="F114" s="271"/>
      <c r="G114" s="271"/>
      <c r="H114" s="271"/>
      <c r="I114" s="271"/>
    </row>
    <row r="115" spans="2:9" x14ac:dyDescent="0.15">
      <c r="B115" s="273"/>
      <c r="C115" s="271"/>
      <c r="D115" s="271"/>
      <c r="E115" s="271"/>
      <c r="F115" s="271"/>
      <c r="G115" s="271"/>
      <c r="H115" s="271"/>
      <c r="I115" s="271"/>
    </row>
    <row r="116" spans="2:9" x14ac:dyDescent="0.15">
      <c r="B116" s="273"/>
      <c r="C116" s="271"/>
      <c r="D116" s="271"/>
      <c r="E116" s="271"/>
      <c r="F116" s="271"/>
      <c r="G116" s="271"/>
      <c r="H116" s="271"/>
      <c r="I116" s="271"/>
    </row>
    <row r="117" spans="2:9" x14ac:dyDescent="0.15">
      <c r="B117" s="273"/>
      <c r="C117" s="271"/>
      <c r="D117" s="271"/>
      <c r="E117" s="271"/>
      <c r="F117" s="271"/>
      <c r="G117" s="271"/>
      <c r="H117" s="271"/>
      <c r="I117" s="271"/>
    </row>
    <row r="118" spans="2:9" x14ac:dyDescent="0.15">
      <c r="B118" s="273"/>
      <c r="C118" s="271"/>
      <c r="D118" s="271"/>
      <c r="E118" s="271"/>
      <c r="F118" s="271"/>
      <c r="G118" s="271"/>
      <c r="H118" s="271"/>
      <c r="I118" s="271"/>
    </row>
    <row r="119" spans="2:9" x14ac:dyDescent="0.15">
      <c r="B119" s="273"/>
      <c r="C119" s="271"/>
      <c r="D119" s="271"/>
      <c r="E119" s="271"/>
      <c r="F119" s="271"/>
      <c r="G119" s="271"/>
      <c r="H119" s="271"/>
      <c r="I119" s="271"/>
    </row>
    <row r="120" spans="2:9" x14ac:dyDescent="0.15">
      <c r="B120" s="273"/>
      <c r="C120" s="271"/>
      <c r="D120" s="271"/>
      <c r="E120" s="271"/>
      <c r="F120" s="271"/>
      <c r="G120" s="271"/>
      <c r="H120" s="271"/>
      <c r="I120" s="271"/>
    </row>
    <row r="121" spans="2:9" x14ac:dyDescent="0.15">
      <c r="B121" s="273"/>
      <c r="C121" s="271"/>
      <c r="D121" s="271"/>
      <c r="E121" s="271"/>
      <c r="F121" s="271"/>
      <c r="G121" s="271"/>
      <c r="H121" s="271"/>
      <c r="I121" s="271"/>
    </row>
    <row r="122" spans="2:9" x14ac:dyDescent="0.15">
      <c r="B122" s="273"/>
      <c r="C122" s="271"/>
      <c r="D122" s="271"/>
      <c r="E122" s="271"/>
      <c r="F122" s="271"/>
      <c r="G122" s="271"/>
      <c r="H122" s="271"/>
      <c r="I122" s="271"/>
    </row>
    <row r="123" spans="2:9" x14ac:dyDescent="0.15">
      <c r="B123" s="273"/>
      <c r="C123" s="271"/>
      <c r="D123" s="271"/>
      <c r="E123" s="271"/>
      <c r="F123" s="271"/>
      <c r="G123" s="271"/>
      <c r="H123" s="271"/>
      <c r="I123" s="271"/>
    </row>
    <row r="124" spans="2:9" x14ac:dyDescent="0.15">
      <c r="B124" s="273"/>
      <c r="C124" s="271"/>
      <c r="D124" s="271"/>
      <c r="E124" s="271"/>
      <c r="F124" s="271"/>
      <c r="G124" s="271"/>
      <c r="H124" s="271"/>
      <c r="I124" s="271"/>
    </row>
    <row r="125" spans="2:9" x14ac:dyDescent="0.15">
      <c r="B125" s="273"/>
      <c r="C125" s="271"/>
      <c r="D125" s="271"/>
      <c r="E125" s="271"/>
      <c r="F125" s="271"/>
      <c r="G125" s="271"/>
      <c r="H125" s="271"/>
      <c r="I125" s="271"/>
    </row>
    <row r="126" spans="2:9" x14ac:dyDescent="0.15">
      <c r="B126" s="273"/>
      <c r="C126" s="271"/>
      <c r="D126" s="271"/>
      <c r="E126" s="271"/>
      <c r="F126" s="271"/>
      <c r="G126" s="271"/>
      <c r="H126" s="271"/>
      <c r="I126" s="271"/>
    </row>
    <row r="127" spans="2:9" x14ac:dyDescent="0.15">
      <c r="B127" s="273"/>
      <c r="C127" s="271"/>
      <c r="D127" s="271"/>
      <c r="E127" s="271"/>
      <c r="F127" s="271"/>
      <c r="G127" s="271"/>
      <c r="H127" s="271"/>
      <c r="I127" s="271"/>
    </row>
    <row r="128" spans="2:9" x14ac:dyDescent="0.15">
      <c r="B128" s="273"/>
      <c r="C128" s="271"/>
      <c r="D128" s="271"/>
      <c r="E128" s="271"/>
      <c r="F128" s="271"/>
      <c r="G128" s="271"/>
      <c r="H128" s="271"/>
      <c r="I128" s="271"/>
    </row>
    <row r="129" spans="2:9" x14ac:dyDescent="0.15">
      <c r="B129" s="273"/>
      <c r="C129" s="271"/>
      <c r="D129" s="271"/>
      <c r="E129" s="271"/>
      <c r="F129" s="271"/>
      <c r="G129" s="271"/>
      <c r="H129" s="271"/>
      <c r="I129" s="271"/>
    </row>
    <row r="130" spans="2:9" x14ac:dyDescent="0.15">
      <c r="B130" s="273"/>
      <c r="C130" s="271"/>
      <c r="D130" s="271"/>
      <c r="E130" s="271"/>
      <c r="F130" s="271"/>
      <c r="G130" s="271"/>
      <c r="H130" s="271"/>
      <c r="I130" s="271"/>
    </row>
    <row r="131" spans="2:9" x14ac:dyDescent="0.15">
      <c r="B131" s="273"/>
      <c r="C131" s="271"/>
      <c r="D131" s="271"/>
      <c r="E131" s="271"/>
      <c r="F131" s="271"/>
      <c r="G131" s="271"/>
      <c r="H131" s="271"/>
      <c r="I131" s="271"/>
    </row>
    <row r="132" spans="2:9" x14ac:dyDescent="0.15">
      <c r="B132" s="273"/>
      <c r="C132" s="271"/>
      <c r="D132" s="271"/>
      <c r="E132" s="271"/>
      <c r="F132" s="271"/>
      <c r="G132" s="271"/>
      <c r="H132" s="271"/>
      <c r="I132" s="271"/>
    </row>
    <row r="133" spans="2:9" x14ac:dyDescent="0.15">
      <c r="B133" s="273"/>
      <c r="C133" s="271"/>
      <c r="D133" s="271"/>
      <c r="E133" s="271"/>
      <c r="F133" s="271"/>
      <c r="G133" s="271"/>
      <c r="H133" s="271"/>
      <c r="I133" s="271"/>
    </row>
    <row r="134" spans="2:9" x14ac:dyDescent="0.15">
      <c r="B134" s="273"/>
      <c r="C134" s="271"/>
      <c r="D134" s="271"/>
      <c r="E134" s="271"/>
      <c r="F134" s="271"/>
      <c r="G134" s="271"/>
      <c r="H134" s="271"/>
      <c r="I134" s="271"/>
    </row>
    <row r="135" spans="2:9" x14ac:dyDescent="0.15">
      <c r="B135" s="273"/>
      <c r="C135" s="271"/>
      <c r="D135" s="271"/>
      <c r="E135" s="271"/>
      <c r="F135" s="271"/>
      <c r="G135" s="271"/>
      <c r="H135" s="271"/>
      <c r="I135" s="271"/>
    </row>
    <row r="136" spans="2:9" x14ac:dyDescent="0.15">
      <c r="B136" s="273"/>
      <c r="C136" s="271"/>
      <c r="D136" s="271"/>
      <c r="E136" s="271"/>
      <c r="F136" s="271"/>
      <c r="G136" s="271"/>
      <c r="H136" s="271"/>
      <c r="I136" s="271"/>
    </row>
    <row r="137" spans="2:9" x14ac:dyDescent="0.15">
      <c r="B137" s="273"/>
      <c r="C137" s="271"/>
      <c r="D137" s="271"/>
      <c r="E137" s="271"/>
      <c r="F137" s="271"/>
      <c r="G137" s="271"/>
      <c r="H137" s="271"/>
      <c r="I137" s="271"/>
    </row>
    <row r="138" spans="2:9" x14ac:dyDescent="0.15">
      <c r="B138" s="273"/>
      <c r="C138" s="271"/>
      <c r="D138" s="271"/>
      <c r="E138" s="271"/>
      <c r="F138" s="271"/>
      <c r="G138" s="271"/>
      <c r="H138" s="271"/>
      <c r="I138" s="271"/>
    </row>
    <row r="139" spans="2:9" x14ac:dyDescent="0.15">
      <c r="B139" s="273"/>
      <c r="C139" s="271"/>
      <c r="D139" s="271"/>
      <c r="E139" s="271"/>
      <c r="F139" s="271"/>
      <c r="G139" s="271"/>
      <c r="H139" s="271"/>
      <c r="I139" s="271"/>
    </row>
    <row r="140" spans="2:9" x14ac:dyDescent="0.15">
      <c r="B140" s="273"/>
      <c r="C140" s="271"/>
      <c r="D140" s="271"/>
      <c r="E140" s="271"/>
      <c r="F140" s="271"/>
      <c r="G140" s="271"/>
      <c r="H140" s="271"/>
      <c r="I140" s="271"/>
    </row>
    <row r="141" spans="2:9" x14ac:dyDescent="0.15">
      <c r="B141" s="273"/>
      <c r="C141" s="271"/>
      <c r="D141" s="271"/>
      <c r="E141" s="271"/>
      <c r="F141" s="271"/>
      <c r="G141" s="271"/>
      <c r="H141" s="271"/>
      <c r="I141" s="271"/>
    </row>
    <row r="142" spans="2:9" x14ac:dyDescent="0.15">
      <c r="B142" s="273"/>
      <c r="C142" s="271"/>
      <c r="D142" s="271"/>
      <c r="E142" s="271"/>
      <c r="F142" s="271"/>
      <c r="G142" s="271"/>
      <c r="H142" s="271"/>
      <c r="I142" s="271"/>
    </row>
    <row r="143" spans="2:9" x14ac:dyDescent="0.15">
      <c r="B143" s="273"/>
      <c r="C143" s="271"/>
      <c r="D143" s="271"/>
      <c r="E143" s="271"/>
      <c r="F143" s="271"/>
      <c r="G143" s="271"/>
      <c r="H143" s="271"/>
      <c r="I143" s="271"/>
    </row>
    <row r="144" spans="2:9" x14ac:dyDescent="0.15">
      <c r="B144" s="273"/>
      <c r="C144" s="271"/>
      <c r="D144" s="271"/>
      <c r="E144" s="271"/>
      <c r="F144" s="271"/>
      <c r="G144" s="271"/>
      <c r="H144" s="271"/>
      <c r="I144" s="271"/>
    </row>
    <row r="145" spans="2:9" x14ac:dyDescent="0.15">
      <c r="B145" s="273"/>
      <c r="C145" s="271"/>
      <c r="D145" s="271"/>
      <c r="E145" s="271"/>
      <c r="F145" s="271"/>
      <c r="G145" s="271"/>
      <c r="H145" s="271"/>
      <c r="I145" s="271"/>
    </row>
    <row r="146" spans="2:9" x14ac:dyDescent="0.15">
      <c r="B146" s="273"/>
      <c r="C146" s="273"/>
      <c r="D146" s="273"/>
      <c r="E146" s="273"/>
      <c r="F146" s="273"/>
      <c r="G146" s="273"/>
      <c r="H146" s="273"/>
    </row>
    <row r="147" spans="2:9" x14ac:dyDescent="0.15">
      <c r="B147" s="273"/>
      <c r="C147" s="273"/>
      <c r="D147" s="273"/>
      <c r="E147" s="273"/>
      <c r="F147" s="273"/>
      <c r="G147" s="273"/>
      <c r="H147" s="273"/>
    </row>
    <row r="148" spans="2:9" x14ac:dyDescent="0.15">
      <c r="B148" s="273"/>
      <c r="C148" s="273"/>
      <c r="D148" s="273"/>
      <c r="E148" s="273"/>
      <c r="F148" s="273"/>
      <c r="G148" s="273"/>
      <c r="H148" s="273"/>
    </row>
    <row r="149" spans="2:9" x14ac:dyDescent="0.15">
      <c r="B149" s="273"/>
      <c r="C149" s="273"/>
      <c r="D149" s="273"/>
      <c r="E149" s="273"/>
      <c r="F149" s="273"/>
      <c r="G149" s="273"/>
      <c r="H149" s="273"/>
    </row>
    <row r="150" spans="2:9" x14ac:dyDescent="0.15">
      <c r="B150" s="273"/>
      <c r="C150" s="273"/>
      <c r="D150" s="273"/>
      <c r="E150" s="273"/>
      <c r="F150" s="273"/>
      <c r="G150" s="273"/>
      <c r="H150" s="273"/>
    </row>
    <row r="151" spans="2:9" x14ac:dyDescent="0.15">
      <c r="B151" s="273"/>
      <c r="C151" s="273"/>
      <c r="D151" s="273"/>
      <c r="E151" s="273"/>
      <c r="F151" s="273"/>
      <c r="G151" s="273"/>
      <c r="H151" s="273"/>
    </row>
    <row r="152" spans="2:9" x14ac:dyDescent="0.15">
      <c r="B152" s="273"/>
      <c r="C152" s="273"/>
      <c r="D152" s="273"/>
      <c r="E152" s="273"/>
      <c r="F152" s="273"/>
      <c r="G152" s="273"/>
      <c r="H152" s="273"/>
    </row>
    <row r="153" spans="2:9" x14ac:dyDescent="0.15">
      <c r="B153" s="273"/>
      <c r="C153" s="273"/>
      <c r="D153" s="273"/>
      <c r="E153" s="273"/>
      <c r="F153" s="273"/>
      <c r="G153" s="273"/>
      <c r="H153" s="273"/>
    </row>
    <row r="154" spans="2:9" x14ac:dyDescent="0.15">
      <c r="B154" s="273"/>
      <c r="C154" s="273"/>
      <c r="D154" s="273"/>
      <c r="E154" s="273"/>
      <c r="F154" s="273"/>
      <c r="G154" s="273"/>
      <c r="H154" s="273"/>
    </row>
    <row r="155" spans="2:9" x14ac:dyDescent="0.15">
      <c r="B155" s="273"/>
      <c r="C155" s="273"/>
      <c r="D155" s="273"/>
      <c r="E155" s="273"/>
      <c r="F155" s="273"/>
      <c r="G155" s="273"/>
      <c r="H155" s="273"/>
    </row>
    <row r="156" spans="2:9" x14ac:dyDescent="0.15">
      <c r="B156" s="273"/>
      <c r="C156" s="273"/>
      <c r="D156" s="273"/>
      <c r="E156" s="273"/>
      <c r="F156" s="273"/>
      <c r="G156" s="273"/>
      <c r="H156" s="273"/>
    </row>
    <row r="157" spans="2:9" x14ac:dyDescent="0.15">
      <c r="B157" s="273"/>
      <c r="C157" s="273"/>
      <c r="D157" s="273"/>
      <c r="E157" s="273"/>
      <c r="F157" s="273"/>
      <c r="G157" s="273"/>
      <c r="H157" s="273"/>
    </row>
    <row r="158" spans="2:9" x14ac:dyDescent="0.15">
      <c r="B158" s="273"/>
      <c r="C158" s="273"/>
      <c r="D158" s="273"/>
      <c r="E158" s="273"/>
      <c r="F158" s="273"/>
      <c r="G158" s="273"/>
      <c r="H158" s="273"/>
    </row>
    <row r="159" spans="2:9" x14ac:dyDescent="0.15">
      <c r="B159" s="273"/>
      <c r="C159" s="273"/>
      <c r="D159" s="273"/>
      <c r="E159" s="273"/>
      <c r="F159" s="273"/>
      <c r="G159" s="273"/>
      <c r="H159" s="273"/>
    </row>
    <row r="160" spans="2:9" x14ac:dyDescent="0.15">
      <c r="B160" s="273"/>
      <c r="C160" s="273"/>
      <c r="D160" s="273"/>
      <c r="E160" s="273"/>
      <c r="F160" s="273"/>
      <c r="G160" s="273"/>
      <c r="H160" s="273"/>
    </row>
    <row r="161" spans="2:8" x14ac:dyDescent="0.15">
      <c r="B161" s="273"/>
      <c r="C161" s="273"/>
      <c r="D161" s="273"/>
      <c r="E161" s="273"/>
      <c r="F161" s="273"/>
      <c r="G161" s="273"/>
      <c r="H161" s="273"/>
    </row>
    <row r="162" spans="2:8" x14ac:dyDescent="0.15">
      <c r="B162" s="273"/>
      <c r="C162" s="273"/>
      <c r="D162" s="273"/>
      <c r="E162" s="273"/>
      <c r="F162" s="273"/>
      <c r="G162" s="273"/>
      <c r="H162" s="273"/>
    </row>
    <row r="163" spans="2:8" x14ac:dyDescent="0.15">
      <c r="B163" s="273"/>
      <c r="C163" s="273"/>
      <c r="D163" s="273"/>
      <c r="E163" s="273"/>
      <c r="F163" s="273"/>
      <c r="G163" s="273"/>
      <c r="H163" s="273"/>
    </row>
    <row r="164" spans="2:8" x14ac:dyDescent="0.15">
      <c r="B164" s="273"/>
      <c r="C164" s="273"/>
      <c r="D164" s="273"/>
      <c r="E164" s="273"/>
      <c r="F164" s="273"/>
      <c r="G164" s="273"/>
      <c r="H164" s="273"/>
    </row>
    <row r="165" spans="2:8" x14ac:dyDescent="0.15">
      <c r="B165" s="273"/>
      <c r="C165" s="273"/>
      <c r="D165" s="273"/>
      <c r="E165" s="273"/>
      <c r="F165" s="273"/>
      <c r="G165" s="273"/>
      <c r="H165" s="273"/>
    </row>
    <row r="166" spans="2:8" x14ac:dyDescent="0.15">
      <c r="B166" s="273"/>
      <c r="C166" s="273"/>
      <c r="D166" s="273"/>
      <c r="E166" s="273"/>
      <c r="F166" s="273"/>
      <c r="G166" s="273"/>
      <c r="H166" s="273"/>
    </row>
    <row r="167" spans="2:8" x14ac:dyDescent="0.15">
      <c r="B167" s="273"/>
      <c r="C167" s="273"/>
      <c r="D167" s="273"/>
      <c r="E167" s="273"/>
      <c r="F167" s="273"/>
      <c r="G167" s="273"/>
      <c r="H167" s="273"/>
    </row>
    <row r="168" spans="2:8" x14ac:dyDescent="0.15">
      <c r="B168" s="273"/>
      <c r="C168" s="273"/>
      <c r="D168" s="273"/>
      <c r="E168" s="273"/>
      <c r="F168" s="273"/>
      <c r="G168" s="273"/>
      <c r="H168" s="273"/>
    </row>
    <row r="169" spans="2:8" x14ac:dyDescent="0.15">
      <c r="B169" s="273"/>
      <c r="C169" s="273"/>
      <c r="D169" s="273"/>
      <c r="E169" s="273"/>
      <c r="F169" s="273"/>
      <c r="G169" s="273"/>
      <c r="H169" s="273"/>
    </row>
    <row r="170" spans="2:8" x14ac:dyDescent="0.15">
      <c r="B170" s="273"/>
      <c r="C170" s="273"/>
      <c r="D170" s="273"/>
      <c r="E170" s="273"/>
      <c r="F170" s="273"/>
      <c r="G170" s="273"/>
      <c r="H170" s="273"/>
    </row>
    <row r="171" spans="2:8" x14ac:dyDescent="0.15">
      <c r="B171" s="273"/>
      <c r="C171" s="273"/>
      <c r="D171" s="273"/>
      <c r="E171" s="273"/>
      <c r="F171" s="273"/>
      <c r="G171" s="273"/>
      <c r="H171" s="273"/>
    </row>
    <row r="172" spans="2:8" x14ac:dyDescent="0.15">
      <c r="B172" s="273"/>
      <c r="C172" s="273"/>
      <c r="D172" s="273"/>
      <c r="E172" s="273"/>
      <c r="F172" s="273"/>
      <c r="G172" s="273"/>
      <c r="H172" s="273"/>
    </row>
    <row r="173" spans="2:8" x14ac:dyDescent="0.15">
      <c r="B173" s="273"/>
      <c r="C173" s="273"/>
      <c r="D173" s="273"/>
      <c r="E173" s="273"/>
      <c r="F173" s="273"/>
      <c r="G173" s="273"/>
      <c r="H173" s="273"/>
    </row>
    <row r="174" spans="2:8" x14ac:dyDescent="0.15">
      <c r="B174" s="273"/>
      <c r="C174" s="273"/>
      <c r="D174" s="273"/>
      <c r="E174" s="273"/>
      <c r="F174" s="273"/>
      <c r="G174" s="273"/>
      <c r="H174" s="273"/>
    </row>
  </sheetData>
  <sheetProtection algorithmName="SHA-512" hashValue="fKv4vRgyfGTOa2v5spVtdcze0TilVPySZPdrWOLg5yx76dYdcnoMrIwmTxRS/0b2OyLA41+BfpnFGqugCaYN6A==" saltValue="m6BVr9iVEElF9BdIHZLaAw==" spinCount="100000" sheet="1" objects="1" scenarios="1"/>
  <mergeCells count="3">
    <mergeCell ref="B1:I2"/>
    <mergeCell ref="A3:B4"/>
    <mergeCell ref="C3:I3"/>
  </mergeCells>
  <conditionalFormatting sqref="B35:B36 B39:B56 B7:B32">
    <cfRule type="cellIs" dxfId="1660" priority="78" stopIfTrue="1" operator="equal">
      <formula>"CU"</formula>
    </cfRule>
  </conditionalFormatting>
  <conditionalFormatting sqref="B91:B92">
    <cfRule type="cellIs" dxfId="1659" priority="604" stopIfTrue="1" operator="equal">
      <formula>"CU"</formula>
    </cfRule>
  </conditionalFormatting>
  <conditionalFormatting sqref="C1:I2 C4:I4 C271:I1048576">
    <cfRule type="cellIs" dxfId="1658" priority="1357" operator="equal">
      <formula>"jui"</formula>
    </cfRule>
  </conditionalFormatting>
  <conditionalFormatting sqref="C3:I3">
    <cfRule type="cellIs" dxfId="1657" priority="458" stopIfTrue="1" operator="equal">
      <formula>"E1"</formula>
    </cfRule>
    <cfRule type="cellIs" dxfId="1656" priority="459" stopIfTrue="1" operator="equal">
      <formula>"E2"</formula>
    </cfRule>
  </conditionalFormatting>
  <conditionalFormatting sqref="C4:I4">
    <cfRule type="cellIs" dxfId="1655" priority="1388" stopIfTrue="1" operator="equal">
      <formula>"E1"</formula>
    </cfRule>
    <cfRule type="cellIs" dxfId="1654" priority="1389" stopIfTrue="1" operator="equal">
      <formula>"E2"</formula>
    </cfRule>
  </conditionalFormatting>
  <conditionalFormatting sqref="C5:I5">
    <cfRule type="cellIs" dxfId="1653" priority="1150" operator="equal">
      <formula>"CU2T"</formula>
    </cfRule>
    <cfRule type="cellIs" dxfId="1652" priority="1151" operator="equal">
      <formula>"CU2M"</formula>
    </cfRule>
  </conditionalFormatting>
  <conditionalFormatting sqref="C57:I58">
    <cfRule type="containsText" dxfId="1651" priority="64" operator="containsText" text="CU">
      <formula>NOT(ISERROR(SEARCH("CU",C57)))</formula>
    </cfRule>
    <cfRule type="cellIs" dxfId="1650" priority="77" operator="equal">
      <formula>"CU1"</formula>
    </cfRule>
  </conditionalFormatting>
  <conditionalFormatting sqref="C57:I58">
    <cfRule type="cellIs" dxfId="1649" priority="76" operator="equal">
      <formula>"jui"</formula>
    </cfRule>
  </conditionalFormatting>
  <conditionalFormatting sqref="C57:I58">
    <cfRule type="containsText" dxfId="1648" priority="75" operator="containsText" text="CU">
      <formula>NOT(ISERROR(SEARCH("CU",C57)))</formula>
    </cfRule>
  </conditionalFormatting>
  <conditionalFormatting sqref="C87:I90">
    <cfRule type="cellIs" dxfId="1647" priority="67" operator="equal">
      <formula>"CU2T"</formula>
    </cfRule>
    <cfRule type="cellIs" priority="68" operator="equal">
      <formula>"CU2T"</formula>
    </cfRule>
    <cfRule type="cellIs" dxfId="1646" priority="69" operator="equal">
      <formula>"CU2M"</formula>
    </cfRule>
    <cfRule type="cellIs" dxfId="1645" priority="70" operator="equal">
      <formula>"CU1"</formula>
    </cfRule>
  </conditionalFormatting>
  <conditionalFormatting sqref="C91:I92">
    <cfRule type="containsText" dxfId="1644" priority="545" operator="containsText" text="CU">
      <formula>NOT(ISERROR(SEARCH("CU",C91)))</formula>
    </cfRule>
    <cfRule type="cellIs" dxfId="1643" priority="546" operator="equal">
      <formula>"jui"</formula>
    </cfRule>
    <cfRule type="cellIs" dxfId="1642" priority="547" operator="equal">
      <formula>"CU1"</formula>
    </cfRule>
  </conditionalFormatting>
  <conditionalFormatting sqref="C93:I268">
    <cfRule type="cellIs" dxfId="1641" priority="524" operator="equal">
      <formula>"jui"</formula>
    </cfRule>
    <cfRule type="cellIs" dxfId="1640" priority="525" stopIfTrue="1" operator="equal">
      <formula>"I1"</formula>
    </cfRule>
    <cfRule type="cellIs" dxfId="1639" priority="526" stopIfTrue="1" operator="equal">
      <formula>"I2"</formula>
    </cfRule>
  </conditionalFormatting>
  <conditionalFormatting sqref="C271:I65541">
    <cfRule type="cellIs" dxfId="1638" priority="1386" stopIfTrue="1" operator="equal">
      <formula>"I1"</formula>
    </cfRule>
    <cfRule type="cellIs" dxfId="1637" priority="1387" stopIfTrue="1" operator="equal">
      <formula>"I2"</formula>
    </cfRule>
  </conditionalFormatting>
  <conditionalFormatting sqref="C6:I6">
    <cfRule type="cellIs" dxfId="1636" priority="66" operator="equal">
      <formula>"CU2M"</formula>
    </cfRule>
  </conditionalFormatting>
  <conditionalFormatting sqref="C6:I6">
    <cfRule type="cellIs" dxfId="1635" priority="65" operator="equal">
      <formula>"CU2T"</formula>
    </cfRule>
  </conditionalFormatting>
  <conditionalFormatting sqref="C35:I36 C39:I56 C7:I32">
    <cfRule type="containsText" dxfId="1634" priority="60" operator="containsText" text="CU2">
      <formula>NOT(ISERROR(SEARCH("CU2",C7)))</formula>
    </cfRule>
  </conditionalFormatting>
  <conditionalFormatting sqref="B33:B34">
    <cfRule type="cellIs" dxfId="1633" priority="59" stopIfTrue="1" operator="equal">
      <formula>"CU"</formula>
    </cfRule>
  </conditionalFormatting>
  <conditionalFormatting sqref="C33:I34">
    <cfRule type="containsText" dxfId="1632" priority="58" operator="containsText" text="CU2">
      <formula>NOT(ISERROR(SEARCH("CU2",C33)))</formula>
    </cfRule>
  </conditionalFormatting>
  <conditionalFormatting sqref="B58">
    <cfRule type="cellIs" dxfId="1631" priority="57" stopIfTrue="1" operator="equal">
      <formula>"CU"</formula>
    </cfRule>
  </conditionalFormatting>
  <conditionalFormatting sqref="C81:I82">
    <cfRule type="containsText" dxfId="1630" priority="38" operator="containsText" text="CU">
      <formula>NOT(ISERROR(SEARCH("CU",C81)))</formula>
    </cfRule>
    <cfRule type="cellIs" dxfId="1629" priority="41" operator="equal">
      <formula>"CU1"</formula>
    </cfRule>
  </conditionalFormatting>
  <conditionalFormatting sqref="C81:I82">
    <cfRule type="cellIs" dxfId="1628" priority="40" operator="equal">
      <formula>"jui"</formula>
    </cfRule>
  </conditionalFormatting>
  <conditionalFormatting sqref="C81:I82">
    <cfRule type="containsText" dxfId="1627" priority="39" operator="containsText" text="CU">
      <formula>NOT(ISERROR(SEARCH("CU",C81)))</formula>
    </cfRule>
  </conditionalFormatting>
  <conditionalFormatting sqref="B37:B38">
    <cfRule type="cellIs" dxfId="1626" priority="35" stopIfTrue="1" operator="equal">
      <formula>"CU"</formula>
    </cfRule>
  </conditionalFormatting>
  <conditionalFormatting sqref="C37:I38">
    <cfRule type="containsText" dxfId="1625" priority="34" operator="containsText" text="CU2">
      <formula>NOT(ISERROR(SEARCH("CU2",C37)))</formula>
    </cfRule>
  </conditionalFormatting>
  <conditionalFormatting sqref="B83:B84">
    <cfRule type="cellIs" dxfId="1624" priority="33" stopIfTrue="1" operator="equal">
      <formula>"CU"</formula>
    </cfRule>
  </conditionalFormatting>
  <conditionalFormatting sqref="C85:I86">
    <cfRule type="containsText" dxfId="1623" priority="29" operator="containsText" text="CU">
      <formula>NOT(ISERROR(SEARCH("CU",C85)))</formula>
    </cfRule>
    <cfRule type="cellIs" dxfId="1622" priority="32" operator="equal">
      <formula>"CU1"</formula>
    </cfRule>
  </conditionalFormatting>
  <conditionalFormatting sqref="C85:I86">
    <cfRule type="cellIs" dxfId="1621" priority="31" operator="equal">
      <formula>"jui"</formula>
    </cfRule>
  </conditionalFormatting>
  <conditionalFormatting sqref="C85:I86">
    <cfRule type="containsText" dxfId="1620" priority="30" operator="containsText" text="CU">
      <formula>NOT(ISERROR(SEARCH("CU",C85)))</formula>
    </cfRule>
  </conditionalFormatting>
  <conditionalFormatting sqref="C83:I84">
    <cfRule type="containsText" dxfId="1619" priority="28" operator="containsText" text="CU2">
      <formula>NOT(ISERROR(SEARCH("CU2",C83)))</formula>
    </cfRule>
  </conditionalFormatting>
  <conditionalFormatting sqref="B86">
    <cfRule type="cellIs" dxfId="1618" priority="27" stopIfTrue="1" operator="equal">
      <formula>"CU"</formula>
    </cfRule>
  </conditionalFormatting>
  <conditionalFormatting sqref="B79:B80">
    <cfRule type="cellIs" dxfId="1617" priority="26" stopIfTrue="1" operator="equal">
      <formula>"CU"</formula>
    </cfRule>
  </conditionalFormatting>
  <conditionalFormatting sqref="C75:I78">
    <cfRule type="cellIs" dxfId="1616" priority="19" operator="equal">
      <formula>"CU2T"</formula>
    </cfRule>
    <cfRule type="cellIs" priority="20" operator="equal">
      <formula>"CU2T"</formula>
    </cfRule>
    <cfRule type="cellIs" dxfId="1615" priority="21" operator="equal">
      <formula>"CU2M"</formula>
    </cfRule>
    <cfRule type="cellIs" dxfId="1614" priority="22" operator="equal">
      <formula>"CU1"</formula>
    </cfRule>
  </conditionalFormatting>
  <conditionalFormatting sqref="C79:I80">
    <cfRule type="containsText" dxfId="1613" priority="23" operator="containsText" text="CU">
      <formula>NOT(ISERROR(SEARCH("CU",C79)))</formula>
    </cfRule>
    <cfRule type="cellIs" dxfId="1612" priority="24" operator="equal">
      <formula>"jui"</formula>
    </cfRule>
    <cfRule type="cellIs" dxfId="1611" priority="25" operator="equal">
      <formula>"CU1"</formula>
    </cfRule>
  </conditionalFormatting>
  <conditionalFormatting sqref="B82">
    <cfRule type="cellIs" dxfId="1610" priority="18" stopIfTrue="1" operator="equal">
      <formula>"CU"</formula>
    </cfRule>
  </conditionalFormatting>
  <conditionalFormatting sqref="Q53">
    <cfRule type="containsText" dxfId="1609" priority="17" operator="containsText" text="CU1">
      <formula>NOT(ISERROR(SEARCH("CU1",Q53)))</formula>
    </cfRule>
  </conditionalFormatting>
  <conditionalFormatting sqref="L17">
    <cfRule type="containsText" dxfId="1608" priority="16" operator="containsText" text="CU1">
      <formula>NOT(ISERROR(SEARCH("CU1",L17)))</formula>
    </cfRule>
  </conditionalFormatting>
  <conditionalFormatting sqref="C7:I58">
    <cfRule type="containsText" dxfId="1607" priority="15" operator="containsText" text="CU1">
      <formula>NOT(ISERROR(SEARCH("CU1",C7)))</formula>
    </cfRule>
  </conditionalFormatting>
  <conditionalFormatting sqref="C7:I56">
    <cfRule type="containsText" dxfId="1606" priority="14" operator="containsText" text="CU2">
      <formula>NOT(ISERROR(SEARCH("CU2",C7)))</formula>
    </cfRule>
  </conditionalFormatting>
  <conditionalFormatting sqref="C7:I58">
    <cfRule type="containsText" dxfId="1605" priority="13" operator="containsText" text="STDR">
      <formula>NOT(ISERROR(SEARCH("STDR",C7)))</formula>
    </cfRule>
  </conditionalFormatting>
  <conditionalFormatting sqref="A82">
    <cfRule type="containsText" dxfId="1604" priority="12" operator="containsText" text="STDR">
      <formula>NOT(ISERROR(SEARCH("STDR",A82)))</formula>
    </cfRule>
  </conditionalFormatting>
  <conditionalFormatting sqref="B59:B70">
    <cfRule type="cellIs" dxfId="1603" priority="11" stopIfTrue="1" operator="equal">
      <formula>"CU"</formula>
    </cfRule>
  </conditionalFormatting>
  <conditionalFormatting sqref="C59:I70">
    <cfRule type="containsText" dxfId="1602" priority="10" operator="containsText" text="CU2">
      <formula>NOT(ISERROR(SEARCH("CU2",C59)))</formula>
    </cfRule>
  </conditionalFormatting>
  <conditionalFormatting sqref="C59:I70">
    <cfRule type="containsText" dxfId="1601" priority="9" operator="containsText" text="CU1">
      <formula>NOT(ISERROR(SEARCH("CU1",C59)))</formula>
    </cfRule>
  </conditionalFormatting>
  <conditionalFormatting sqref="C59:I70">
    <cfRule type="containsText" dxfId="1600" priority="8" operator="containsText" text="CU2">
      <formula>NOT(ISERROR(SEARCH("CU2",C59)))</formula>
    </cfRule>
  </conditionalFormatting>
  <conditionalFormatting sqref="C59:I70">
    <cfRule type="containsText" dxfId="1599" priority="7" operator="containsText" text="STDR">
      <formula>NOT(ISERROR(SEARCH("STDR",C59)))</formula>
    </cfRule>
  </conditionalFormatting>
  <conditionalFormatting sqref="B71:B74">
    <cfRule type="cellIs" dxfId="1598" priority="6" stopIfTrue="1" operator="equal">
      <formula>"CU"</formula>
    </cfRule>
  </conditionalFormatting>
  <conditionalFormatting sqref="C71:I74">
    <cfRule type="containsText" dxfId="1597" priority="5" operator="containsText" text="CU2">
      <formula>NOT(ISERROR(SEARCH("CU2",C71)))</formula>
    </cfRule>
  </conditionalFormatting>
  <conditionalFormatting sqref="C71:I74">
    <cfRule type="containsText" dxfId="1596" priority="4" operator="containsText" text="CU1">
      <formula>NOT(ISERROR(SEARCH("CU1",C71)))</formula>
    </cfRule>
  </conditionalFormatting>
  <conditionalFormatting sqref="C71:I74">
    <cfRule type="containsText" dxfId="1595" priority="3" operator="containsText" text="CU2">
      <formula>NOT(ISERROR(SEARCH("CU2",C71)))</formula>
    </cfRule>
  </conditionalFormatting>
  <conditionalFormatting sqref="C71:I74">
    <cfRule type="containsText" dxfId="1594" priority="2" operator="containsText" text="STDR">
      <formula>NOT(ISERROR(SEARCH("STDR",C71)))</formula>
    </cfRule>
  </conditionalFormatting>
  <conditionalFormatting sqref="C7:I72">
    <cfRule type="containsText" dxfId="1593" priority="1" operator="containsText" text="jui">
      <formula>NOT(ISERROR(SEARCH("jui",C7)))</formula>
    </cfRule>
  </conditionalFormatting>
  <pageMargins left="0.43307086614173229" right="0.23622047244094491" top="0.74803149606299213" bottom="0.74803149606299213" header="0.31496062992125984" footer="0.31496062992125984"/>
  <pageSetup paperSize="9" scale="55"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fitToPage="1"/>
  </sheetPr>
  <dimension ref="A1:V146"/>
  <sheetViews>
    <sheetView showZeros="0" topLeftCell="A11" zoomScaleNormal="100" zoomScaleSheetLayoutView="110" workbookViewId="0">
      <selection activeCell="K23" sqref="K23"/>
    </sheetView>
  </sheetViews>
  <sheetFormatPr defaultColWidth="11.43359375" defaultRowHeight="12.75" x14ac:dyDescent="0.15"/>
  <cols>
    <col min="1" max="1" width="9.4140625" style="201" customWidth="1"/>
    <col min="2" max="2" width="46.41015625" style="201" customWidth="1"/>
    <col min="3" max="10" width="9.55078125" style="201" customWidth="1"/>
    <col min="11" max="11" width="19.37109375" style="201" customWidth="1"/>
    <col min="12" max="12" width="11.43359375" style="201"/>
    <col min="13" max="13" width="0" style="201" hidden="1" customWidth="1"/>
    <col min="14" max="15" width="11.43359375" style="201"/>
    <col min="16" max="17" width="11.43359375" style="201" hidden="1" customWidth="1"/>
    <col min="18" max="16384" width="11.43359375" style="201"/>
  </cols>
  <sheetData>
    <row r="1" spans="1:22" s="200" customFormat="1" ht="24" customHeight="1" x14ac:dyDescent="0.2">
      <c r="A1" s="274" t="s">
        <v>53</v>
      </c>
      <c r="B1" s="275"/>
      <c r="C1" s="275"/>
      <c r="D1" s="275"/>
      <c r="E1" s="276"/>
      <c r="F1" s="276"/>
      <c r="G1" s="276"/>
      <c r="H1" s="276"/>
      <c r="I1" s="276"/>
    </row>
    <row r="2" spans="1:22" s="200" customFormat="1" ht="21" customHeight="1" x14ac:dyDescent="0.15">
      <c r="A2" s="277"/>
      <c r="B2" s="276"/>
      <c r="C2" s="276"/>
      <c r="D2" s="276"/>
      <c r="E2" s="276"/>
      <c r="F2" s="276"/>
      <c r="G2" s="276"/>
      <c r="H2" s="276"/>
      <c r="I2" s="276"/>
    </row>
    <row r="3" spans="1:22" s="133" customFormat="1" ht="24" customHeight="1" x14ac:dyDescent="0.15">
      <c r="A3" s="681" t="s">
        <v>122</v>
      </c>
      <c r="B3" s="682"/>
      <c r="C3" s="683" t="str">
        <f>IF(MONTH(C6)=MONTH(I6),"Semana del dia "&amp;DAY(FECHA!$C$3)&amp;" "&amp;"al "&amp;DAY(FECHA!$C$3+6)&amp;" de "&amp;VLOOKUP(MONTH(FECHA!$C$3),FECHA!$H$2:$I$13,2)&amp;" "&amp;YEAR(I6),"Semana del dia "&amp;DAY(FECHA!$C$3)&amp;" "&amp;VLOOKUP(MONTH(FECHA!$C$3),FECHA!$H$2:$I$13,2)&amp;" "&amp;"al "&amp;DAY(FECHA!$C$3+6)&amp;" de "&amp;VLOOKUP(MONTH(I6),FECHA!$H$2:$I$13,2)&amp;" "&amp;YEAR(I6))</f>
        <v>Semana del dia 8 al 14 de Sep 2025</v>
      </c>
      <c r="D3" s="684"/>
      <c r="E3" s="684"/>
      <c r="F3" s="684"/>
      <c r="G3" s="684"/>
      <c r="H3" s="684"/>
      <c r="I3" s="685"/>
    </row>
    <row r="4" spans="1:22" s="133" customFormat="1" ht="6.75" customHeight="1" thickBot="1" x14ac:dyDescent="0.2"/>
    <row r="5" spans="1:22" s="133" customFormat="1" ht="17.100000000000001" customHeight="1" thickTop="1" x14ac:dyDescent="0.15">
      <c r="A5" s="278"/>
      <c r="B5" s="279"/>
      <c r="C5" s="139" t="s">
        <v>26</v>
      </c>
      <c r="D5" s="140" t="s">
        <v>27</v>
      </c>
      <c r="E5" s="139" t="s">
        <v>28</v>
      </c>
      <c r="F5" s="197" t="s">
        <v>29</v>
      </c>
      <c r="G5" s="280" t="s">
        <v>30</v>
      </c>
      <c r="H5" s="139" t="s">
        <v>31</v>
      </c>
      <c r="I5" s="197" t="s">
        <v>32</v>
      </c>
    </row>
    <row r="6" spans="1:22" s="133" customFormat="1" ht="16.5" customHeight="1" thickBot="1" x14ac:dyDescent="0.2">
      <c r="A6" s="281" t="s">
        <v>35</v>
      </c>
      <c r="B6" s="281" t="s">
        <v>33</v>
      </c>
      <c r="C6" s="144">
        <f>DATE(YEAR(FECHA!$C$3),MONTH(FECHA!$C$3),DAY(FECHA!$C$3))</f>
        <v>45908</v>
      </c>
      <c r="D6" s="589">
        <f>C6+1</f>
        <v>45909</v>
      </c>
      <c r="E6" s="144">
        <f t="shared" ref="E6:I6" si="0">D6+1</f>
        <v>45910</v>
      </c>
      <c r="F6" s="144">
        <f t="shared" si="0"/>
        <v>45911</v>
      </c>
      <c r="G6" s="144">
        <f t="shared" si="0"/>
        <v>45912</v>
      </c>
      <c r="H6" s="144">
        <f t="shared" si="0"/>
        <v>45913</v>
      </c>
      <c r="I6" s="144">
        <f t="shared" si="0"/>
        <v>45914</v>
      </c>
    </row>
    <row r="7" spans="1:22" s="133" customFormat="1" ht="14.25" hidden="1" customHeight="1" thickTop="1" x14ac:dyDescent="0.2">
      <c r="A7" s="282"/>
      <c r="B7" s="283"/>
      <c r="C7" s="284"/>
      <c r="D7" s="285"/>
      <c r="E7" s="284"/>
      <c r="F7" s="285"/>
      <c r="G7" s="286"/>
      <c r="H7" s="284"/>
      <c r="I7" s="285"/>
    </row>
    <row r="8" spans="1:22" s="133" customFormat="1" ht="14.25" hidden="1" customHeight="1" thickBot="1" x14ac:dyDescent="0.25">
      <c r="A8" s="216"/>
      <c r="B8" s="287"/>
      <c r="C8" s="253"/>
      <c r="D8" s="288"/>
      <c r="E8" s="253"/>
      <c r="F8" s="288"/>
      <c r="G8" s="289"/>
      <c r="H8" s="253"/>
      <c r="I8" s="288"/>
    </row>
    <row r="9" spans="1:22" s="133" customFormat="1" ht="14.25" hidden="1" customHeight="1" thickTop="1" x14ac:dyDescent="0.2">
      <c r="A9" s="247"/>
      <c r="B9" s="290"/>
      <c r="C9" s="284"/>
      <c r="D9" s="285"/>
      <c r="E9" s="284"/>
      <c r="F9" s="285"/>
      <c r="G9" s="286"/>
      <c r="H9" s="284"/>
      <c r="I9" s="285"/>
    </row>
    <row r="10" spans="1:22" s="133" customFormat="1" ht="14.25" hidden="1" customHeight="1" thickBot="1" x14ac:dyDescent="0.25">
      <c r="A10" s="235"/>
      <c r="B10" s="291"/>
      <c r="C10" s="253"/>
      <c r="D10" s="288"/>
      <c r="E10" s="253"/>
      <c r="F10" s="288"/>
      <c r="G10" s="289"/>
      <c r="H10" s="253"/>
      <c r="I10" s="288"/>
    </row>
    <row r="11" spans="1:22" s="133" customFormat="1" ht="16.350000000000001" customHeight="1" thickTop="1" x14ac:dyDescent="0.2">
      <c r="A11" s="544">
        <v>0</v>
      </c>
      <c r="B11" s="545">
        <v>0</v>
      </c>
      <c r="C11" s="442">
        <v>0</v>
      </c>
      <c r="D11" s="351">
        <v>0</v>
      </c>
      <c r="E11" s="442">
        <v>0</v>
      </c>
      <c r="F11" s="351">
        <v>0</v>
      </c>
      <c r="G11" s="442">
        <v>0</v>
      </c>
      <c r="H11" s="442">
        <v>0</v>
      </c>
      <c r="I11" s="442">
        <v>0</v>
      </c>
    </row>
    <row r="12" spans="1:22" s="133" customFormat="1" ht="15.75" customHeight="1" thickBot="1" x14ac:dyDescent="0.25">
      <c r="A12" s="517">
        <v>109</v>
      </c>
      <c r="B12" s="546" t="s">
        <v>159</v>
      </c>
      <c r="C12" s="218" t="s">
        <v>392</v>
      </c>
      <c r="D12" s="587">
        <v>6</v>
      </c>
      <c r="E12" s="218" t="s">
        <v>34</v>
      </c>
      <c r="F12" s="218" t="s">
        <v>34</v>
      </c>
      <c r="G12" s="218" t="s">
        <v>34</v>
      </c>
      <c r="H12" s="218" t="s">
        <v>76</v>
      </c>
      <c r="I12" s="218" t="s">
        <v>76</v>
      </c>
    </row>
    <row r="13" spans="1:22" s="133" customFormat="1" ht="16.350000000000001" customHeight="1" thickTop="1" x14ac:dyDescent="0.2">
      <c r="A13" s="547">
        <v>0</v>
      </c>
      <c r="B13" s="548">
        <v>0</v>
      </c>
      <c r="C13" s="229">
        <v>0</v>
      </c>
      <c r="D13" s="351">
        <v>0</v>
      </c>
      <c r="E13" s="229">
        <v>0</v>
      </c>
      <c r="F13" s="351">
        <v>0</v>
      </c>
      <c r="G13" s="229">
        <v>0</v>
      </c>
      <c r="H13" s="229">
        <v>0</v>
      </c>
      <c r="I13" s="229">
        <v>0</v>
      </c>
    </row>
    <row r="14" spans="1:22" s="133" customFormat="1" ht="16.350000000000001" customHeight="1" thickBot="1" x14ac:dyDescent="0.25">
      <c r="A14" s="301">
        <v>3315</v>
      </c>
      <c r="B14" s="549" t="s">
        <v>187</v>
      </c>
      <c r="C14" s="218" t="s">
        <v>34</v>
      </c>
      <c r="D14" s="587">
        <v>4</v>
      </c>
      <c r="E14" s="218">
        <v>4</v>
      </c>
      <c r="F14" s="218" t="s">
        <v>34</v>
      </c>
      <c r="G14" s="218" t="s">
        <v>34</v>
      </c>
      <c r="H14" s="218" t="s">
        <v>34</v>
      </c>
      <c r="I14" s="218" t="s">
        <v>34</v>
      </c>
    </row>
    <row r="15" spans="1:22" s="133" customFormat="1" ht="16.350000000000001" customHeight="1" thickTop="1" x14ac:dyDescent="0.2">
      <c r="A15" s="547">
        <v>0</v>
      </c>
      <c r="B15" s="548">
        <v>0</v>
      </c>
      <c r="C15" s="229">
        <v>0</v>
      </c>
      <c r="D15" s="351">
        <v>0</v>
      </c>
      <c r="E15" s="229">
        <v>0</v>
      </c>
      <c r="F15" s="351">
        <v>0</v>
      </c>
      <c r="G15" s="229">
        <v>0</v>
      </c>
      <c r="H15" s="229">
        <v>0</v>
      </c>
      <c r="I15" s="229">
        <v>0</v>
      </c>
      <c r="K15" s="293"/>
      <c r="L15" s="293"/>
      <c r="M15" s="293"/>
      <c r="N15" s="293"/>
      <c r="O15" s="293"/>
      <c r="P15" s="293"/>
      <c r="Q15" s="293"/>
      <c r="R15" s="293"/>
      <c r="S15" s="293"/>
      <c r="T15" s="293"/>
      <c r="U15" s="293"/>
      <c r="V15" s="293"/>
    </row>
    <row r="16" spans="1:22" s="133" customFormat="1" ht="18.75" customHeight="1" thickBot="1" x14ac:dyDescent="0.25">
      <c r="A16" s="301">
        <v>2154</v>
      </c>
      <c r="B16" s="549" t="s">
        <v>188</v>
      </c>
      <c r="C16" s="218">
        <v>9</v>
      </c>
      <c r="D16" s="587">
        <v>5</v>
      </c>
      <c r="E16" s="218">
        <v>7</v>
      </c>
      <c r="F16" s="218">
        <v>4</v>
      </c>
      <c r="G16" s="218">
        <v>9</v>
      </c>
      <c r="H16" s="218" t="s">
        <v>34</v>
      </c>
      <c r="I16" s="218" t="s">
        <v>34</v>
      </c>
    </row>
    <row r="17" spans="1:22" s="133" customFormat="1" ht="16.350000000000001" customHeight="1" thickTop="1" x14ac:dyDescent="0.2">
      <c r="A17" s="547">
        <v>0</v>
      </c>
      <c r="B17" s="548">
        <v>0</v>
      </c>
      <c r="C17" s="229">
        <v>0</v>
      </c>
      <c r="D17" s="351">
        <v>0</v>
      </c>
      <c r="E17" s="229">
        <v>0</v>
      </c>
      <c r="F17" s="351">
        <v>0</v>
      </c>
      <c r="G17" s="229">
        <v>0</v>
      </c>
      <c r="H17" s="229">
        <v>0</v>
      </c>
      <c r="I17" s="229">
        <v>0</v>
      </c>
      <c r="K17" s="293"/>
      <c r="L17" s="293"/>
      <c r="M17" s="293"/>
      <c r="N17" s="293"/>
      <c r="O17" s="293"/>
      <c r="P17" s="293"/>
      <c r="Q17" s="293"/>
      <c r="R17" s="293"/>
      <c r="S17" s="293"/>
      <c r="T17" s="293"/>
      <c r="U17" s="293"/>
      <c r="V17" s="293"/>
    </row>
    <row r="18" spans="1:22" s="133" customFormat="1" ht="16.350000000000001" customHeight="1" thickBot="1" x14ac:dyDescent="0.25">
      <c r="A18" s="301">
        <v>2076</v>
      </c>
      <c r="B18" s="549" t="s">
        <v>189</v>
      </c>
      <c r="C18" s="218">
        <v>3</v>
      </c>
      <c r="D18" s="587">
        <v>8</v>
      </c>
      <c r="E18" s="218">
        <v>1</v>
      </c>
      <c r="F18" s="218">
        <v>1</v>
      </c>
      <c r="G18" s="218">
        <v>8</v>
      </c>
      <c r="H18" s="218" t="s">
        <v>34</v>
      </c>
      <c r="I18" s="218" t="s">
        <v>34</v>
      </c>
      <c r="M18" s="293"/>
    </row>
    <row r="19" spans="1:22" s="293" customFormat="1" ht="16.350000000000001" customHeight="1" thickTop="1" x14ac:dyDescent="0.2">
      <c r="A19" s="547">
        <v>0</v>
      </c>
      <c r="B19" s="550">
        <v>0</v>
      </c>
      <c r="C19" s="229">
        <v>0</v>
      </c>
      <c r="D19" s="588">
        <v>0</v>
      </c>
      <c r="E19" s="229">
        <v>0</v>
      </c>
      <c r="F19" s="351">
        <v>0</v>
      </c>
      <c r="G19" s="229">
        <v>0</v>
      </c>
      <c r="H19" s="229">
        <v>0</v>
      </c>
      <c r="I19" s="229">
        <v>0</v>
      </c>
      <c r="K19" s="133"/>
      <c r="L19" s="133"/>
      <c r="N19" s="133"/>
      <c r="O19" s="133"/>
      <c r="P19" s="133"/>
      <c r="Q19" s="133"/>
      <c r="R19" s="133"/>
      <c r="S19" s="133"/>
      <c r="T19" s="133"/>
      <c r="U19" s="133"/>
      <c r="V19" s="133"/>
    </row>
    <row r="20" spans="1:22" s="133" customFormat="1" ht="16.350000000000001" customHeight="1" thickBot="1" x14ac:dyDescent="0.25">
      <c r="A20" s="301">
        <v>1831</v>
      </c>
      <c r="B20" s="549" t="s">
        <v>190</v>
      </c>
      <c r="C20" s="218" t="s">
        <v>34</v>
      </c>
      <c r="D20" s="587" t="s">
        <v>34</v>
      </c>
      <c r="E20" s="218">
        <v>6</v>
      </c>
      <c r="F20" s="218">
        <v>5</v>
      </c>
      <c r="G20" s="218">
        <v>7</v>
      </c>
      <c r="H20" s="218">
        <v>4</v>
      </c>
      <c r="I20" s="218" t="s">
        <v>34</v>
      </c>
      <c r="M20" s="293"/>
    </row>
    <row r="21" spans="1:22" s="294" customFormat="1" ht="16.350000000000001" customHeight="1" thickTop="1" x14ac:dyDescent="0.2">
      <c r="A21" s="547">
        <v>0</v>
      </c>
      <c r="B21" s="548">
        <v>0</v>
      </c>
      <c r="C21" s="229">
        <v>0</v>
      </c>
      <c r="D21" s="351">
        <v>0</v>
      </c>
      <c r="E21" s="442">
        <v>0</v>
      </c>
      <c r="F21" s="351">
        <v>0</v>
      </c>
      <c r="G21" s="229">
        <v>0</v>
      </c>
      <c r="H21" s="229">
        <v>0</v>
      </c>
      <c r="I21" s="229">
        <v>0</v>
      </c>
      <c r="K21" s="133"/>
      <c r="L21" s="133"/>
      <c r="M21" s="293"/>
      <c r="N21" s="133"/>
      <c r="O21" s="133"/>
      <c r="P21" s="133"/>
      <c r="Q21" s="133"/>
      <c r="R21" s="133"/>
      <c r="S21" s="133"/>
      <c r="T21" s="133"/>
      <c r="U21" s="133"/>
      <c r="V21" s="133"/>
    </row>
    <row r="22" spans="1:22" s="294" customFormat="1" ht="16.350000000000001" customHeight="1" thickBot="1" x14ac:dyDescent="0.25">
      <c r="A22" s="517">
        <v>2588</v>
      </c>
      <c r="B22" s="546" t="s">
        <v>191</v>
      </c>
      <c r="C22" s="218">
        <v>7</v>
      </c>
      <c r="D22" s="587" t="s">
        <v>34</v>
      </c>
      <c r="E22" s="218">
        <v>5</v>
      </c>
      <c r="F22" s="218">
        <v>7</v>
      </c>
      <c r="G22" s="218">
        <v>6</v>
      </c>
      <c r="H22" s="218">
        <v>5</v>
      </c>
      <c r="I22" s="218">
        <v>9</v>
      </c>
      <c r="K22" s="133"/>
      <c r="L22" s="133"/>
      <c r="M22" s="293"/>
      <c r="N22" s="133"/>
      <c r="O22" s="133"/>
      <c r="P22" s="133"/>
      <c r="Q22" s="133"/>
      <c r="R22" s="133"/>
      <c r="S22" s="133"/>
      <c r="T22" s="133"/>
      <c r="U22" s="133"/>
      <c r="V22" s="133"/>
    </row>
    <row r="23" spans="1:22" s="133" customFormat="1" ht="20.45" customHeight="1" thickTop="1" x14ac:dyDescent="0.2">
      <c r="A23" s="547">
        <v>0</v>
      </c>
      <c r="B23" s="548">
        <v>0</v>
      </c>
      <c r="C23" s="229">
        <v>0</v>
      </c>
      <c r="D23" s="351">
        <v>0</v>
      </c>
      <c r="E23" s="229">
        <v>0</v>
      </c>
      <c r="F23" s="351">
        <v>0</v>
      </c>
      <c r="G23" s="229">
        <v>0</v>
      </c>
      <c r="H23" s="229">
        <v>0</v>
      </c>
      <c r="I23" s="229">
        <v>0</v>
      </c>
      <c r="K23" s="293"/>
      <c r="L23" s="293"/>
      <c r="M23" s="293"/>
      <c r="O23" s="293"/>
      <c r="R23" s="293"/>
      <c r="S23" s="293"/>
      <c r="T23" s="293"/>
      <c r="U23" s="293"/>
      <c r="V23" s="293"/>
    </row>
    <row r="24" spans="1:22" s="133" customFormat="1" ht="16.350000000000001" customHeight="1" thickBot="1" x14ac:dyDescent="0.25">
      <c r="A24" s="517">
        <v>1651</v>
      </c>
      <c r="B24" s="546" t="s">
        <v>192</v>
      </c>
      <c r="C24" s="218" t="s">
        <v>34</v>
      </c>
      <c r="D24" s="587" t="s">
        <v>34</v>
      </c>
      <c r="E24" s="218" t="s">
        <v>76</v>
      </c>
      <c r="F24" s="218" t="s">
        <v>76</v>
      </c>
      <c r="G24" s="218" t="s">
        <v>34</v>
      </c>
      <c r="H24" s="218">
        <v>7</v>
      </c>
      <c r="I24" s="218">
        <v>6</v>
      </c>
      <c r="M24" s="293"/>
      <c r="N24" s="295"/>
    </row>
    <row r="25" spans="1:22" s="133" customFormat="1" ht="17.100000000000001" customHeight="1" thickTop="1" x14ac:dyDescent="0.2">
      <c r="A25" s="552">
        <v>0</v>
      </c>
      <c r="B25" s="548">
        <v>0</v>
      </c>
      <c r="C25" s="229">
        <v>0</v>
      </c>
      <c r="D25" s="351">
        <v>0</v>
      </c>
      <c r="E25" s="229">
        <v>0</v>
      </c>
      <c r="F25" s="351">
        <v>0</v>
      </c>
      <c r="G25" s="229">
        <v>0</v>
      </c>
      <c r="H25" s="229">
        <v>0</v>
      </c>
      <c r="I25" s="229">
        <v>0</v>
      </c>
      <c r="M25" s="293"/>
    </row>
    <row r="26" spans="1:22" s="133" customFormat="1" ht="17.100000000000001" customHeight="1" thickBot="1" x14ac:dyDescent="0.25">
      <c r="A26" s="301">
        <v>2586</v>
      </c>
      <c r="B26" s="549" t="s">
        <v>193</v>
      </c>
      <c r="C26" s="218" t="s">
        <v>34</v>
      </c>
      <c r="D26" s="587">
        <v>2</v>
      </c>
      <c r="E26" s="218">
        <v>3</v>
      </c>
      <c r="F26" s="218">
        <v>2</v>
      </c>
      <c r="G26" s="218">
        <v>1</v>
      </c>
      <c r="H26" s="218" t="s">
        <v>34</v>
      </c>
      <c r="I26" s="218" t="s">
        <v>34</v>
      </c>
      <c r="J26" s="296"/>
    </row>
    <row r="27" spans="1:22" s="293" customFormat="1" ht="16.350000000000001" customHeight="1" thickTop="1" x14ac:dyDescent="0.2">
      <c r="A27" s="552">
        <v>0</v>
      </c>
      <c r="B27" s="548">
        <v>0</v>
      </c>
      <c r="C27" s="229">
        <v>0</v>
      </c>
      <c r="D27" s="351">
        <v>0</v>
      </c>
      <c r="E27" s="229">
        <v>0</v>
      </c>
      <c r="F27" s="351">
        <v>0</v>
      </c>
      <c r="G27" s="229">
        <v>0</v>
      </c>
      <c r="H27" s="229">
        <v>0</v>
      </c>
      <c r="I27" s="229">
        <v>0</v>
      </c>
      <c r="K27" s="133"/>
      <c r="L27" s="133"/>
      <c r="M27" s="133"/>
      <c r="N27" s="133"/>
      <c r="O27" s="133"/>
      <c r="P27" s="133"/>
      <c r="Q27" s="133"/>
      <c r="R27" s="133"/>
      <c r="S27" s="133"/>
      <c r="T27" s="133"/>
      <c r="U27" s="133"/>
      <c r="V27" s="133"/>
    </row>
    <row r="28" spans="1:22" s="133" customFormat="1" ht="16.350000000000001" customHeight="1" thickBot="1" x14ac:dyDescent="0.25">
      <c r="A28" s="301">
        <v>3312</v>
      </c>
      <c r="B28" s="549" t="s">
        <v>84</v>
      </c>
      <c r="C28" s="218" t="s">
        <v>76</v>
      </c>
      <c r="D28" s="587" t="s">
        <v>76</v>
      </c>
      <c r="E28" s="218" t="s">
        <v>76</v>
      </c>
      <c r="F28" s="218" t="s">
        <v>34</v>
      </c>
      <c r="G28" s="218" t="s">
        <v>34</v>
      </c>
      <c r="H28" s="218" t="s">
        <v>34</v>
      </c>
      <c r="I28" s="218">
        <v>4</v>
      </c>
      <c r="J28" s="297"/>
    </row>
    <row r="29" spans="1:22" s="293" customFormat="1" ht="16.350000000000001" customHeight="1" thickTop="1" x14ac:dyDescent="0.2">
      <c r="A29" s="552">
        <v>0</v>
      </c>
      <c r="B29" s="548">
        <v>0</v>
      </c>
      <c r="C29" s="229">
        <v>0</v>
      </c>
      <c r="D29" s="351">
        <v>0</v>
      </c>
      <c r="E29" s="442">
        <v>0</v>
      </c>
      <c r="F29" s="553">
        <v>0</v>
      </c>
      <c r="G29" s="442">
        <v>0</v>
      </c>
      <c r="H29" s="229">
        <v>0</v>
      </c>
      <c r="I29" s="442">
        <v>0</v>
      </c>
      <c r="J29" s="299"/>
      <c r="K29" s="133"/>
      <c r="L29" s="133"/>
      <c r="M29" s="133"/>
      <c r="N29" s="133"/>
      <c r="O29" s="133"/>
      <c r="P29" s="133"/>
      <c r="Q29" s="133"/>
      <c r="R29" s="133"/>
      <c r="S29" s="133"/>
      <c r="T29" s="133"/>
      <c r="U29" s="133"/>
      <c r="V29" s="133"/>
    </row>
    <row r="30" spans="1:22" s="133" customFormat="1" ht="16.350000000000001" customHeight="1" thickBot="1" x14ac:dyDescent="0.25">
      <c r="A30" s="301">
        <v>2575</v>
      </c>
      <c r="B30" s="549" t="s">
        <v>194</v>
      </c>
      <c r="C30" s="218" t="s">
        <v>77</v>
      </c>
      <c r="D30" s="587" t="s">
        <v>77</v>
      </c>
      <c r="E30" s="218" t="s">
        <v>77</v>
      </c>
      <c r="F30" s="218" t="s">
        <v>34</v>
      </c>
      <c r="G30" s="218" t="s">
        <v>34</v>
      </c>
      <c r="H30" s="218" t="s">
        <v>77</v>
      </c>
      <c r="I30" s="218" t="s">
        <v>77</v>
      </c>
      <c r="P30" s="300"/>
      <c r="Q30" s="300"/>
    </row>
    <row r="31" spans="1:22" s="293" customFormat="1" ht="16.350000000000001" customHeight="1" thickTop="1" x14ac:dyDescent="0.2">
      <c r="A31" s="552">
        <v>0</v>
      </c>
      <c r="B31" s="548">
        <v>0</v>
      </c>
      <c r="C31" s="229">
        <v>0</v>
      </c>
      <c r="D31" s="351">
        <v>0</v>
      </c>
      <c r="E31" s="229">
        <v>0</v>
      </c>
      <c r="F31" s="351">
        <v>0</v>
      </c>
      <c r="G31" s="229">
        <v>0</v>
      </c>
      <c r="H31" s="229">
        <v>0</v>
      </c>
      <c r="I31" s="229">
        <v>0</v>
      </c>
      <c r="K31" s="133"/>
      <c r="L31" s="133"/>
      <c r="M31" s="133"/>
      <c r="N31" s="133"/>
      <c r="O31" s="133"/>
      <c r="P31" s="133"/>
      <c r="Q31" s="133"/>
      <c r="R31" s="133"/>
      <c r="S31" s="133"/>
      <c r="T31" s="133"/>
      <c r="U31" s="133"/>
      <c r="V31" s="133"/>
    </row>
    <row r="32" spans="1:22" s="133" customFormat="1" ht="16.350000000000001" customHeight="1" thickBot="1" x14ac:dyDescent="0.25">
      <c r="A32" s="301">
        <v>2094</v>
      </c>
      <c r="B32" s="549" t="s">
        <v>195</v>
      </c>
      <c r="C32" s="218">
        <v>5</v>
      </c>
      <c r="D32" s="587">
        <v>9</v>
      </c>
      <c r="E32" s="218" t="s">
        <v>34</v>
      </c>
      <c r="F32" s="218">
        <v>9</v>
      </c>
      <c r="G32" s="218" t="s">
        <v>34</v>
      </c>
      <c r="H32" s="218">
        <v>8</v>
      </c>
      <c r="I32" s="218">
        <v>3</v>
      </c>
      <c r="M32" s="133">
        <v>1</v>
      </c>
    </row>
    <row r="33" spans="1:17" s="293" customFormat="1" ht="16.350000000000001" customHeight="1" thickTop="1" x14ac:dyDescent="0.2">
      <c r="A33" s="552">
        <v>0</v>
      </c>
      <c r="B33" s="548">
        <v>0</v>
      </c>
      <c r="C33" s="229">
        <v>0</v>
      </c>
      <c r="D33" s="351">
        <v>0</v>
      </c>
      <c r="E33" s="229">
        <v>0</v>
      </c>
      <c r="F33" s="351">
        <v>0</v>
      </c>
      <c r="G33" s="351">
        <v>0</v>
      </c>
      <c r="H33" s="229">
        <v>0</v>
      </c>
      <c r="I33" s="229">
        <v>0</v>
      </c>
      <c r="M33" s="293">
        <v>2</v>
      </c>
    </row>
    <row r="34" spans="1:17" s="133" customFormat="1" ht="16.350000000000001" customHeight="1" thickBot="1" x14ac:dyDescent="0.25">
      <c r="A34" s="301">
        <v>3485</v>
      </c>
      <c r="B34" s="549" t="s">
        <v>196</v>
      </c>
      <c r="C34" s="218">
        <v>2</v>
      </c>
      <c r="D34" s="587" t="s">
        <v>34</v>
      </c>
      <c r="E34" s="218" t="s">
        <v>34</v>
      </c>
      <c r="F34" s="218">
        <v>8</v>
      </c>
      <c r="G34" s="218">
        <v>3</v>
      </c>
      <c r="H34" s="218">
        <v>2</v>
      </c>
      <c r="I34" s="218">
        <v>1</v>
      </c>
      <c r="M34" s="133">
        <v>3</v>
      </c>
    </row>
    <row r="35" spans="1:17" s="293" customFormat="1" ht="16.350000000000001" customHeight="1" thickTop="1" x14ac:dyDescent="0.2">
      <c r="A35" s="552">
        <v>0</v>
      </c>
      <c r="B35" s="548">
        <v>0</v>
      </c>
      <c r="C35" s="229">
        <v>0</v>
      </c>
      <c r="D35" s="351">
        <v>0</v>
      </c>
      <c r="E35" s="229">
        <v>0</v>
      </c>
      <c r="F35" s="351">
        <v>0</v>
      </c>
      <c r="G35" s="229">
        <v>0</v>
      </c>
      <c r="H35" s="229">
        <v>0</v>
      </c>
      <c r="I35" s="229">
        <v>0</v>
      </c>
      <c r="M35" s="293">
        <v>4</v>
      </c>
    </row>
    <row r="36" spans="1:17" s="133" customFormat="1" ht="16.350000000000001" customHeight="1" thickBot="1" x14ac:dyDescent="0.25">
      <c r="A36" s="301">
        <v>2800</v>
      </c>
      <c r="B36" s="549" t="s">
        <v>197</v>
      </c>
      <c r="C36" s="218" t="s">
        <v>34</v>
      </c>
      <c r="D36" s="587" t="s">
        <v>34</v>
      </c>
      <c r="E36" s="218" t="s">
        <v>34</v>
      </c>
      <c r="F36" s="218" t="s">
        <v>76</v>
      </c>
      <c r="G36" s="218" t="s">
        <v>76</v>
      </c>
      <c r="H36" s="218" t="s">
        <v>76</v>
      </c>
      <c r="I36" s="218" t="s">
        <v>76</v>
      </c>
      <c r="M36" s="293">
        <v>5</v>
      </c>
    </row>
    <row r="37" spans="1:17" s="133" customFormat="1" ht="16.350000000000001" customHeight="1" thickTop="1" x14ac:dyDescent="0.2">
      <c r="A37" s="552">
        <v>0</v>
      </c>
      <c r="B37" s="548">
        <v>0</v>
      </c>
      <c r="C37" s="229">
        <v>0</v>
      </c>
      <c r="D37" s="553">
        <v>0</v>
      </c>
      <c r="E37" s="229">
        <v>0</v>
      </c>
      <c r="F37" s="229">
        <v>0</v>
      </c>
      <c r="G37" s="229">
        <v>0</v>
      </c>
      <c r="H37" s="554">
        <v>0</v>
      </c>
      <c r="I37" s="554">
        <v>0</v>
      </c>
      <c r="M37" s="293">
        <v>6</v>
      </c>
    </row>
    <row r="38" spans="1:17" s="133" customFormat="1" ht="16.350000000000001" customHeight="1" thickBot="1" x14ac:dyDescent="0.25">
      <c r="A38" s="301">
        <v>3743</v>
      </c>
      <c r="B38" s="549" t="s">
        <v>198</v>
      </c>
      <c r="C38" s="218" t="s">
        <v>34</v>
      </c>
      <c r="D38" s="587">
        <v>7</v>
      </c>
      <c r="E38" s="218">
        <v>9</v>
      </c>
      <c r="F38" s="218">
        <v>6</v>
      </c>
      <c r="G38" s="218">
        <v>5</v>
      </c>
      <c r="H38" s="218" t="s">
        <v>34</v>
      </c>
      <c r="I38" s="218" t="s">
        <v>34</v>
      </c>
      <c r="K38" s="554"/>
      <c r="M38" s="293">
        <v>7</v>
      </c>
      <c r="Q38" s="133">
        <v>1</v>
      </c>
    </row>
    <row r="39" spans="1:17" s="133" customFormat="1" ht="16.350000000000001" customHeight="1" thickTop="1" x14ac:dyDescent="0.2">
      <c r="A39" s="552">
        <v>0</v>
      </c>
      <c r="B39" s="548">
        <v>0</v>
      </c>
      <c r="C39" s="229">
        <v>0</v>
      </c>
      <c r="D39" s="351">
        <v>0</v>
      </c>
      <c r="E39" s="551">
        <v>0</v>
      </c>
      <c r="F39" s="351">
        <v>0</v>
      </c>
      <c r="G39" s="229">
        <v>0</v>
      </c>
      <c r="H39" s="229">
        <v>0</v>
      </c>
      <c r="I39" s="229">
        <v>0</v>
      </c>
      <c r="M39" s="293">
        <v>8</v>
      </c>
      <c r="P39" s="133">
        <v>1</v>
      </c>
      <c r="Q39" s="133">
        <v>2</v>
      </c>
    </row>
    <row r="40" spans="1:17" s="133" customFormat="1" ht="16.350000000000001" customHeight="1" thickBot="1" x14ac:dyDescent="0.25">
      <c r="A40" s="301">
        <v>2210</v>
      </c>
      <c r="B40" s="549" t="s">
        <v>199</v>
      </c>
      <c r="C40" s="218">
        <v>8</v>
      </c>
      <c r="D40" s="587">
        <v>1</v>
      </c>
      <c r="E40" s="218">
        <v>2</v>
      </c>
      <c r="F40" s="218" t="s">
        <v>34</v>
      </c>
      <c r="G40" s="218" t="s">
        <v>34</v>
      </c>
      <c r="H40" s="218">
        <v>6</v>
      </c>
      <c r="I40" s="218">
        <v>7</v>
      </c>
      <c r="M40" s="293">
        <v>9</v>
      </c>
      <c r="P40" s="133">
        <v>2</v>
      </c>
      <c r="Q40" s="133">
        <v>3</v>
      </c>
    </row>
    <row r="41" spans="1:17" s="293" customFormat="1" ht="16.350000000000001" customHeight="1" thickTop="1" x14ac:dyDescent="0.2">
      <c r="A41" s="552">
        <v>0</v>
      </c>
      <c r="B41" s="548">
        <v>0</v>
      </c>
      <c r="C41" s="229">
        <v>0</v>
      </c>
      <c r="D41" s="351">
        <v>0</v>
      </c>
      <c r="E41" s="229">
        <v>0</v>
      </c>
      <c r="F41" s="351">
        <v>0</v>
      </c>
      <c r="G41" s="229">
        <v>0</v>
      </c>
      <c r="H41" s="229">
        <v>0</v>
      </c>
      <c r="I41" s="229">
        <v>0</v>
      </c>
      <c r="M41" s="293">
        <v>10</v>
      </c>
      <c r="N41" s="133"/>
      <c r="P41" s="133">
        <v>3</v>
      </c>
      <c r="Q41" s="133">
        <v>4</v>
      </c>
    </row>
    <row r="42" spans="1:17" s="133" customFormat="1" ht="16.350000000000001" customHeight="1" thickBot="1" x14ac:dyDescent="0.25">
      <c r="A42" s="301">
        <v>2475</v>
      </c>
      <c r="B42" s="549" t="s">
        <v>200</v>
      </c>
      <c r="C42" s="218">
        <v>4</v>
      </c>
      <c r="D42" s="587">
        <v>3</v>
      </c>
      <c r="E42" s="218">
        <v>8</v>
      </c>
      <c r="F42" s="218" t="s">
        <v>34</v>
      </c>
      <c r="G42" s="218" t="s">
        <v>34</v>
      </c>
      <c r="H42" s="218">
        <v>9</v>
      </c>
      <c r="I42" s="218">
        <v>5</v>
      </c>
      <c r="M42" s="293">
        <f>SUM(M32:M41)</f>
        <v>55</v>
      </c>
      <c r="N42" s="295"/>
      <c r="P42" s="133">
        <v>4</v>
      </c>
      <c r="Q42" s="133">
        <v>5</v>
      </c>
    </row>
    <row r="43" spans="1:17" s="133" customFormat="1" ht="16.350000000000001" customHeight="1" thickTop="1" x14ac:dyDescent="0.2">
      <c r="A43" s="552">
        <v>0</v>
      </c>
      <c r="B43" s="548">
        <v>0</v>
      </c>
      <c r="C43" s="229">
        <v>0</v>
      </c>
      <c r="D43" s="351">
        <v>0</v>
      </c>
      <c r="E43" s="442">
        <v>0</v>
      </c>
      <c r="F43" s="351">
        <v>0</v>
      </c>
      <c r="G43" s="229">
        <v>0</v>
      </c>
      <c r="H43" s="554">
        <v>0</v>
      </c>
      <c r="I43" s="229">
        <v>0</v>
      </c>
      <c r="M43" s="293"/>
      <c r="P43" s="133">
        <v>5</v>
      </c>
      <c r="Q43" s="133">
        <v>6</v>
      </c>
    </row>
    <row r="44" spans="1:17" s="133" customFormat="1" ht="16.350000000000001" customHeight="1" thickBot="1" x14ac:dyDescent="0.25">
      <c r="A44" s="301">
        <v>2316</v>
      </c>
      <c r="B44" s="549" t="s">
        <v>201</v>
      </c>
      <c r="C44" s="218">
        <v>1</v>
      </c>
      <c r="D44" s="587" t="s">
        <v>34</v>
      </c>
      <c r="E44" s="218" t="s">
        <v>34</v>
      </c>
      <c r="F44" s="218" t="s">
        <v>34</v>
      </c>
      <c r="G44" s="171">
        <v>4</v>
      </c>
      <c r="H44" s="218">
        <v>3</v>
      </c>
      <c r="I44" s="218">
        <v>2</v>
      </c>
      <c r="P44" s="133">
        <v>6</v>
      </c>
      <c r="Q44" s="133">
        <v>7</v>
      </c>
    </row>
    <row r="45" spans="1:17" s="133" customFormat="1" ht="16.350000000000001" customHeight="1" thickTop="1" x14ac:dyDescent="0.2">
      <c r="A45" s="552">
        <v>0</v>
      </c>
      <c r="B45" s="548">
        <v>0</v>
      </c>
      <c r="C45" s="229">
        <v>0</v>
      </c>
      <c r="D45" s="351">
        <v>0</v>
      </c>
      <c r="E45" s="229">
        <v>0</v>
      </c>
      <c r="F45" s="351">
        <v>0</v>
      </c>
      <c r="G45" s="229">
        <v>0</v>
      </c>
      <c r="H45" s="229">
        <v>0</v>
      </c>
      <c r="I45" s="229">
        <v>0</v>
      </c>
      <c r="P45" s="133">
        <v>7</v>
      </c>
      <c r="Q45" s="133">
        <v>8</v>
      </c>
    </row>
    <row r="46" spans="1:17" s="133" customFormat="1" ht="16.350000000000001" customHeight="1" thickBot="1" x14ac:dyDescent="0.25">
      <c r="A46" s="301">
        <v>409</v>
      </c>
      <c r="B46" s="549" t="s">
        <v>202</v>
      </c>
      <c r="C46" s="218" t="s">
        <v>34</v>
      </c>
      <c r="D46" s="587" t="s">
        <v>34</v>
      </c>
      <c r="E46" s="218" t="s">
        <v>34</v>
      </c>
      <c r="F46" s="218" t="s">
        <v>34</v>
      </c>
      <c r="G46" s="218" t="s">
        <v>34</v>
      </c>
      <c r="H46" s="218" t="s">
        <v>34</v>
      </c>
      <c r="I46" s="218" t="s">
        <v>34</v>
      </c>
      <c r="P46" s="133">
        <v>8</v>
      </c>
      <c r="Q46" s="133">
        <v>9</v>
      </c>
    </row>
    <row r="47" spans="1:17" s="133" customFormat="1" ht="16.350000000000001" customHeight="1" thickTop="1" x14ac:dyDescent="0.2">
      <c r="A47" s="552">
        <v>0</v>
      </c>
      <c r="B47" s="548">
        <v>0</v>
      </c>
      <c r="C47" s="229">
        <v>0</v>
      </c>
      <c r="D47" s="351">
        <v>0</v>
      </c>
      <c r="E47" s="229">
        <v>0</v>
      </c>
      <c r="F47" s="351">
        <v>0</v>
      </c>
      <c r="G47" s="229">
        <v>0</v>
      </c>
      <c r="H47" s="229">
        <v>0</v>
      </c>
      <c r="I47" s="229">
        <v>0</v>
      </c>
      <c r="P47" s="133">
        <v>9</v>
      </c>
      <c r="Q47" s="133">
        <v>10</v>
      </c>
    </row>
    <row r="48" spans="1:17" s="133" customFormat="1" ht="16.350000000000001" customHeight="1" thickBot="1" x14ac:dyDescent="0.25">
      <c r="A48" s="301">
        <v>3368</v>
      </c>
      <c r="B48" s="549" t="s">
        <v>160</v>
      </c>
      <c r="C48" s="218" t="s">
        <v>34</v>
      </c>
      <c r="D48" s="587" t="s">
        <v>34</v>
      </c>
      <c r="E48" s="218" t="s">
        <v>76</v>
      </c>
      <c r="F48" s="218" t="s">
        <v>76</v>
      </c>
      <c r="G48" s="218" t="s">
        <v>76</v>
      </c>
      <c r="H48" s="218" t="s">
        <v>76</v>
      </c>
      <c r="I48" s="218" t="s">
        <v>34</v>
      </c>
      <c r="P48" s="300">
        <f>SUM(P39:P47)</f>
        <v>45</v>
      </c>
      <c r="Q48" s="300">
        <v>55</v>
      </c>
    </row>
    <row r="49" spans="1:9" s="133" customFormat="1" ht="16.350000000000001" customHeight="1" thickTop="1" x14ac:dyDescent="0.2">
      <c r="A49" s="552">
        <v>0</v>
      </c>
      <c r="B49" s="548">
        <v>0</v>
      </c>
      <c r="C49" s="229">
        <v>0</v>
      </c>
      <c r="D49" s="351">
        <v>0</v>
      </c>
      <c r="E49" s="229">
        <v>0</v>
      </c>
      <c r="F49" s="351">
        <v>0</v>
      </c>
      <c r="G49" s="229">
        <v>0</v>
      </c>
      <c r="H49" s="229">
        <v>0</v>
      </c>
      <c r="I49" s="229">
        <v>0</v>
      </c>
    </row>
    <row r="50" spans="1:9" s="133" customFormat="1" ht="16.350000000000001" customHeight="1" thickBot="1" x14ac:dyDescent="0.25">
      <c r="A50" s="301">
        <v>3739</v>
      </c>
      <c r="B50" s="549" t="s">
        <v>203</v>
      </c>
      <c r="C50" s="218">
        <v>6</v>
      </c>
      <c r="D50" s="587" t="s">
        <v>34</v>
      </c>
      <c r="E50" s="218" t="s">
        <v>34</v>
      </c>
      <c r="F50" s="218">
        <v>3</v>
      </c>
      <c r="G50" s="218">
        <v>2</v>
      </c>
      <c r="H50" s="218">
        <v>1</v>
      </c>
      <c r="I50" s="218">
        <v>8</v>
      </c>
    </row>
    <row r="51" spans="1:9" s="133" customFormat="1" ht="16.350000000000001" customHeight="1" thickTop="1" x14ac:dyDescent="0.2">
      <c r="A51" s="552">
        <v>0</v>
      </c>
      <c r="B51" s="548">
        <v>0</v>
      </c>
      <c r="C51" s="229"/>
      <c r="D51" s="351"/>
      <c r="E51" s="229"/>
      <c r="F51" s="351"/>
      <c r="G51" s="229"/>
      <c r="H51" s="229"/>
      <c r="I51" s="229"/>
    </row>
    <row r="52" spans="1:9" s="133" customFormat="1" ht="16.350000000000001" customHeight="1" thickBot="1" x14ac:dyDescent="0.25">
      <c r="A52" s="301">
        <v>3741</v>
      </c>
      <c r="B52" s="549" t="s">
        <v>449</v>
      </c>
      <c r="C52" s="218" t="s">
        <v>76</v>
      </c>
      <c r="D52" s="587" t="s">
        <v>76</v>
      </c>
      <c r="E52" s="218" t="s">
        <v>76</v>
      </c>
      <c r="F52" s="218" t="s">
        <v>34</v>
      </c>
      <c r="G52" s="218" t="s">
        <v>34</v>
      </c>
      <c r="H52" s="218" t="s">
        <v>76</v>
      </c>
      <c r="I52" s="218" t="s">
        <v>76</v>
      </c>
    </row>
    <row r="53" spans="1:9" s="133" customFormat="1" ht="16.350000000000001" customHeight="1" thickTop="1" x14ac:dyDescent="0.2">
      <c r="A53" s="552"/>
      <c r="B53" s="548"/>
      <c r="C53" s="229"/>
      <c r="D53" s="351"/>
      <c r="E53" s="580"/>
      <c r="F53" s="488"/>
      <c r="G53" s="580"/>
      <c r="H53" s="229"/>
      <c r="I53" s="648"/>
    </row>
    <row r="54" spans="1:9" s="133" customFormat="1" ht="16.350000000000001" customHeight="1" thickBot="1" x14ac:dyDescent="0.25">
      <c r="A54" s="301"/>
      <c r="B54" s="549"/>
      <c r="C54" s="218"/>
      <c r="D54" s="587"/>
      <c r="E54" s="218"/>
      <c r="F54" s="218"/>
      <c r="G54" s="218"/>
      <c r="H54" s="218"/>
      <c r="I54" s="647"/>
    </row>
    <row r="55" spans="1:9" s="133" customFormat="1" ht="16.350000000000001" customHeight="1" thickTop="1" x14ac:dyDescent="0.2">
      <c r="A55" s="552"/>
      <c r="B55" s="548"/>
      <c r="C55" s="229"/>
      <c r="D55" s="351"/>
      <c r="E55" s="442"/>
      <c r="F55" s="351"/>
      <c r="G55" s="494"/>
      <c r="H55" s="442"/>
      <c r="I55" s="351"/>
    </row>
    <row r="56" spans="1:9" s="133" customFormat="1" ht="16.350000000000001" customHeight="1" thickBot="1" x14ac:dyDescent="0.25">
      <c r="A56" s="301"/>
      <c r="B56" s="549"/>
      <c r="C56" s="218"/>
      <c r="D56" s="587"/>
      <c r="E56" s="218"/>
      <c r="F56" s="218"/>
      <c r="G56" s="218"/>
      <c r="H56" s="218"/>
      <c r="I56" s="218"/>
    </row>
    <row r="57" spans="1:9" s="133" customFormat="1" ht="16.350000000000001" customHeight="1" thickTop="1" x14ac:dyDescent="0.2">
      <c r="A57" s="229"/>
      <c r="B57" s="620"/>
      <c r="C57" s="229"/>
      <c r="D57" s="351"/>
      <c r="E57" s="229"/>
      <c r="F57" s="229"/>
      <c r="G57" s="229"/>
      <c r="H57" s="229"/>
      <c r="I57" s="229"/>
    </row>
    <row r="58" spans="1:9" s="133" customFormat="1" ht="16.350000000000001" customHeight="1" thickBot="1" x14ac:dyDescent="0.25">
      <c r="A58" s="301"/>
      <c r="B58" s="641"/>
      <c r="C58" s="218"/>
      <c r="D58" s="587"/>
      <c r="E58" s="218"/>
      <c r="F58" s="218"/>
      <c r="G58" s="218"/>
      <c r="H58" s="218"/>
      <c r="I58" s="218"/>
    </row>
    <row r="59" spans="1:9" s="133" customFormat="1" ht="14.25" hidden="1" customHeight="1" thickTop="1" x14ac:dyDescent="0.2">
      <c r="A59" s="552"/>
      <c r="B59" s="548"/>
      <c r="C59" s="229"/>
      <c r="D59" s="285"/>
      <c r="E59" s="284"/>
      <c r="F59" s="285"/>
      <c r="G59" s="284"/>
      <c r="H59" s="284"/>
      <c r="I59" s="284"/>
    </row>
    <row r="60" spans="1:9" s="133" customFormat="1" ht="14.25" hidden="1" customHeight="1" thickBot="1" x14ac:dyDescent="0.25">
      <c r="A60" s="301"/>
      <c r="B60" s="549"/>
      <c r="C60" s="218"/>
      <c r="D60" s="288"/>
      <c r="E60" s="253"/>
      <c r="F60" s="253"/>
      <c r="G60" s="253"/>
      <c r="H60" s="253"/>
      <c r="I60" s="253"/>
    </row>
    <row r="61" spans="1:9" s="133" customFormat="1" ht="14.25" hidden="1" customHeight="1" thickTop="1" x14ac:dyDescent="0.2">
      <c r="A61" s="552"/>
      <c r="B61" s="548"/>
      <c r="C61" s="229"/>
      <c r="D61" s="285"/>
      <c r="E61" s="284"/>
      <c r="F61" s="285"/>
      <c r="G61" s="284"/>
      <c r="H61" s="284"/>
      <c r="I61" s="284"/>
    </row>
    <row r="62" spans="1:9" s="133" customFormat="1" ht="14.25" hidden="1" customHeight="1" thickBot="1" x14ac:dyDescent="0.25">
      <c r="A62" s="301"/>
      <c r="B62" s="549"/>
      <c r="C62" s="218"/>
      <c r="D62" s="288"/>
      <c r="E62" s="253"/>
      <c r="F62" s="253"/>
      <c r="G62" s="253"/>
      <c r="H62" s="253"/>
      <c r="I62" s="253"/>
    </row>
    <row r="63" spans="1:9" s="133" customFormat="1" ht="14.25" hidden="1" customHeight="1" thickTop="1" x14ac:dyDescent="0.2">
      <c r="A63" s="552"/>
      <c r="B63" s="548"/>
      <c r="C63" s="229"/>
      <c r="D63" s="285"/>
      <c r="E63" s="284"/>
      <c r="F63" s="284"/>
      <c r="G63" s="284"/>
      <c r="H63" s="284"/>
      <c r="I63" s="284"/>
    </row>
    <row r="64" spans="1:9" s="133" customFormat="1" ht="14.25" hidden="1" customHeight="1" thickBot="1" x14ac:dyDescent="0.25">
      <c r="A64" s="301"/>
      <c r="B64" s="549"/>
      <c r="C64" s="218"/>
      <c r="D64" s="288"/>
      <c r="E64" s="253"/>
      <c r="F64" s="253"/>
      <c r="G64" s="253"/>
      <c r="H64" s="253"/>
      <c r="I64" s="253"/>
    </row>
    <row r="65" spans="1:9" s="133" customFormat="1" ht="14.25" hidden="1" customHeight="1" thickTop="1" x14ac:dyDescent="0.2">
      <c r="A65" s="552"/>
      <c r="B65" s="548"/>
      <c r="C65" s="229"/>
      <c r="D65" s="285"/>
      <c r="E65" s="284"/>
      <c r="F65" s="285"/>
      <c r="G65" s="284"/>
      <c r="H65" s="284"/>
      <c r="I65" s="284"/>
    </row>
    <row r="66" spans="1:9" s="133" customFormat="1" ht="14.25" hidden="1" customHeight="1" thickBot="1" x14ac:dyDescent="0.25">
      <c r="A66" s="301"/>
      <c r="B66" s="549"/>
      <c r="C66" s="218"/>
      <c r="D66" s="288"/>
      <c r="E66" s="253"/>
      <c r="F66" s="253"/>
      <c r="G66" s="253"/>
      <c r="H66" s="253"/>
      <c r="I66" s="253"/>
    </row>
    <row r="67" spans="1:9" s="133" customFormat="1" ht="14.25" hidden="1" customHeight="1" thickTop="1" x14ac:dyDescent="0.2">
      <c r="A67" s="552"/>
      <c r="B67" s="548"/>
      <c r="C67" s="229"/>
      <c r="D67" s="285"/>
      <c r="E67" s="284"/>
      <c r="F67" s="285"/>
      <c r="G67" s="284"/>
      <c r="H67" s="284"/>
      <c r="I67" s="284"/>
    </row>
    <row r="68" spans="1:9" s="133" customFormat="1" ht="14.25" hidden="1" customHeight="1" thickBot="1" x14ac:dyDescent="0.25">
      <c r="A68" s="301"/>
      <c r="B68" s="549"/>
      <c r="C68" s="218"/>
      <c r="D68" s="288"/>
      <c r="E68" s="253"/>
      <c r="F68" s="253"/>
      <c r="G68" s="253"/>
      <c r="H68" s="253"/>
      <c r="I68" s="253"/>
    </row>
    <row r="69" spans="1:9" s="133" customFormat="1" ht="14.25" hidden="1" customHeight="1" thickTop="1" x14ac:dyDescent="0.2">
      <c r="A69" s="552"/>
      <c r="B69" s="548"/>
      <c r="C69" s="229"/>
      <c r="D69" s="285"/>
      <c r="E69" s="284"/>
      <c r="F69" s="285"/>
      <c r="G69" s="284"/>
      <c r="H69" s="284"/>
      <c r="I69" s="284"/>
    </row>
    <row r="70" spans="1:9" s="133" customFormat="1" ht="14.25" hidden="1" customHeight="1" thickBot="1" x14ac:dyDescent="0.25">
      <c r="A70" s="301"/>
      <c r="B70" s="549"/>
      <c r="C70" s="218"/>
      <c r="D70" s="288"/>
      <c r="E70" s="253"/>
      <c r="F70" s="253"/>
      <c r="G70" s="253"/>
      <c r="H70" s="253"/>
      <c r="I70" s="253"/>
    </row>
    <row r="71" spans="1:9" s="133" customFormat="1" ht="14.25" hidden="1" customHeight="1" thickTop="1" x14ac:dyDescent="0.2">
      <c r="A71" s="552"/>
      <c r="B71" s="548"/>
      <c r="C71" s="229"/>
      <c r="D71" s="285"/>
      <c r="E71" s="284"/>
      <c r="F71" s="285"/>
      <c r="G71" s="284"/>
      <c r="H71" s="284"/>
      <c r="I71" s="284"/>
    </row>
    <row r="72" spans="1:9" s="133" customFormat="1" ht="14.25" hidden="1" customHeight="1" thickBot="1" x14ac:dyDescent="0.25">
      <c r="A72" s="301"/>
      <c r="B72" s="549"/>
      <c r="C72" s="218"/>
      <c r="D72" s="288"/>
      <c r="E72" s="253"/>
      <c r="F72" s="253"/>
      <c r="G72" s="253"/>
      <c r="H72" s="253"/>
      <c r="I72" s="253"/>
    </row>
    <row r="73" spans="1:9" s="133" customFormat="1" ht="14.25" hidden="1" customHeight="1" thickTop="1" x14ac:dyDescent="0.2">
      <c r="A73" s="552"/>
      <c r="B73" s="548"/>
      <c r="C73" s="229"/>
      <c r="D73" s="285"/>
      <c r="E73" s="284"/>
      <c r="F73" s="285"/>
      <c r="G73" s="284"/>
      <c r="H73" s="284"/>
      <c r="I73" s="284"/>
    </row>
    <row r="74" spans="1:9" s="133" customFormat="1" ht="14.25" hidden="1" customHeight="1" thickBot="1" x14ac:dyDescent="0.25">
      <c r="A74" s="301"/>
      <c r="B74" s="549"/>
      <c r="C74" s="218"/>
      <c r="D74" s="288"/>
      <c r="E74" s="253"/>
      <c r="F74" s="253"/>
      <c r="G74" s="253"/>
      <c r="H74" s="253"/>
      <c r="I74" s="253"/>
    </row>
    <row r="75" spans="1:9" s="133" customFormat="1" ht="14.25" hidden="1" customHeight="1" thickTop="1" x14ac:dyDescent="0.2">
      <c r="A75" s="218"/>
      <c r="B75" s="620"/>
      <c r="C75" s="229"/>
      <c r="D75" s="285"/>
      <c r="E75" s="284"/>
      <c r="F75" s="284"/>
      <c r="G75" s="284"/>
      <c r="H75" s="284"/>
      <c r="I75" s="284"/>
    </row>
    <row r="76" spans="1:9" s="133" customFormat="1" ht="14.25" hidden="1" customHeight="1" thickBot="1" x14ac:dyDescent="0.25">
      <c r="A76" s="218"/>
      <c r="B76" s="641"/>
      <c r="C76" s="218"/>
      <c r="D76" s="288"/>
      <c r="E76" s="253"/>
      <c r="F76" s="253"/>
      <c r="G76" s="253"/>
      <c r="H76" s="253"/>
      <c r="I76" s="253"/>
    </row>
    <row r="77" spans="1:9" s="133" customFormat="1" ht="14.25" customHeight="1" thickTop="1" x14ac:dyDescent="0.2">
      <c r="A77" s="442"/>
      <c r="B77" s="620"/>
      <c r="C77" s="229"/>
      <c r="D77" s="285"/>
      <c r="E77" s="284"/>
      <c r="F77" s="284"/>
      <c r="G77" s="284"/>
      <c r="H77" s="284"/>
      <c r="I77" s="284"/>
    </row>
    <row r="78" spans="1:9" s="133" customFormat="1" ht="14.25" customHeight="1" thickBot="1" x14ac:dyDescent="0.25">
      <c r="A78" s="301"/>
      <c r="B78" s="641"/>
      <c r="C78" s="218"/>
      <c r="D78" s="285"/>
      <c r="E78" s="284"/>
      <c r="F78" s="284"/>
      <c r="G78" s="284"/>
      <c r="H78" s="284"/>
      <c r="I78" s="284"/>
    </row>
    <row r="79" spans="1:9" s="133" customFormat="1" ht="16.350000000000001" customHeight="1" thickTop="1" x14ac:dyDescent="0.15">
      <c r="A79" s="302"/>
      <c r="B79" s="303">
        <v>650218040</v>
      </c>
      <c r="C79" s="304"/>
      <c r="D79" s="602"/>
      <c r="E79" s="304"/>
      <c r="F79" s="304"/>
      <c r="G79" s="304"/>
      <c r="H79" s="304"/>
      <c r="I79" s="304"/>
    </row>
    <row r="80" spans="1:9" s="133" customFormat="1" ht="16.350000000000001" customHeight="1" thickBot="1" x14ac:dyDescent="0.2">
      <c r="A80" s="305"/>
      <c r="B80" s="306" t="s">
        <v>136</v>
      </c>
      <c r="C80" s="263" t="s">
        <v>117</v>
      </c>
      <c r="D80" s="603" t="s">
        <v>117</v>
      </c>
      <c r="E80" s="263" t="s">
        <v>80</v>
      </c>
      <c r="F80" s="263" t="s">
        <v>80</v>
      </c>
      <c r="G80" s="263" t="s">
        <v>80</v>
      </c>
      <c r="H80" s="263" t="s">
        <v>34</v>
      </c>
      <c r="I80" s="263" t="s">
        <v>34</v>
      </c>
    </row>
    <row r="81" spans="1:6" s="133" customFormat="1" ht="20.25" customHeight="1" thickTop="1" x14ac:dyDescent="0.15">
      <c r="A81" s="604"/>
      <c r="B81" s="605"/>
      <c r="C81" s="307"/>
      <c r="D81" s="307"/>
      <c r="E81" s="307"/>
      <c r="F81" s="307"/>
    </row>
    <row r="82" spans="1:6" s="133" customFormat="1" ht="16.350000000000001" customHeight="1" x14ac:dyDescent="0.15">
      <c r="A82" s="308"/>
      <c r="B82" s="309"/>
      <c r="C82" s="133" t="str">
        <f>"El Campello, "&amp; DAY(FECHA!$C$8) &amp; " de " &amp; VLOOKUP(MONTH(FECHA!$C$8),FECHA!$K$2:$L$13,2) &amp; " de " &amp; YEAR(FECHA!$C$8)</f>
        <v>El Campello, 5 de Septiembre de 2025</v>
      </c>
    </row>
    <row r="83" spans="1:6" s="133" customFormat="1" ht="16.350000000000001" customHeight="1" x14ac:dyDescent="0.15"/>
    <row r="84" spans="1:6" s="133" customFormat="1" ht="16.350000000000001" customHeight="1" x14ac:dyDescent="0.15"/>
    <row r="85" spans="1:6" s="133" customFormat="1" ht="16.350000000000001" customHeight="1" x14ac:dyDescent="0.15"/>
    <row r="86" spans="1:6" s="133" customFormat="1" ht="16.350000000000001" customHeight="1" x14ac:dyDescent="0.15"/>
    <row r="87" spans="1:6" s="133" customFormat="1" ht="16.350000000000001" customHeight="1" x14ac:dyDescent="0.15"/>
    <row r="88" spans="1:6" s="133" customFormat="1" ht="16.350000000000001" customHeight="1" x14ac:dyDescent="0.15"/>
    <row r="89" spans="1:6" s="133" customFormat="1" ht="16.350000000000001" customHeight="1" x14ac:dyDescent="0.15"/>
    <row r="90" spans="1:6" s="133" customFormat="1" ht="16.350000000000001" customHeight="1" x14ac:dyDescent="0.15"/>
    <row r="91" spans="1:6" s="133" customFormat="1" ht="16.350000000000001" customHeight="1" x14ac:dyDescent="0.15"/>
    <row r="92" spans="1:6" s="133" customFormat="1" ht="16.350000000000001" customHeight="1" x14ac:dyDescent="0.15"/>
    <row r="93" spans="1:6" s="133" customFormat="1" ht="16.350000000000001" customHeight="1" x14ac:dyDescent="0.15"/>
    <row r="94" spans="1:6" s="133" customFormat="1" ht="16.350000000000001" customHeight="1" x14ac:dyDescent="0.15"/>
    <row r="95" spans="1:6" s="133" customFormat="1" ht="16.350000000000001" customHeight="1" x14ac:dyDescent="0.15"/>
    <row r="96" spans="1:6" s="133" customFormat="1" ht="16.350000000000001" customHeight="1" x14ac:dyDescent="0.15"/>
    <row r="97" spans="1:11" s="133" customFormat="1" ht="16.350000000000001" customHeight="1" x14ac:dyDescent="0.15"/>
    <row r="98" spans="1:11" s="133" customFormat="1" ht="16.350000000000001" customHeight="1" x14ac:dyDescent="0.15"/>
    <row r="99" spans="1:11" s="133" customFormat="1" ht="16.350000000000001" customHeight="1" x14ac:dyDescent="0.15"/>
    <row r="100" spans="1:11" s="133" customFormat="1" ht="16.350000000000001" customHeight="1" x14ac:dyDescent="0.15"/>
    <row r="101" spans="1:11" s="133" customFormat="1" ht="16.350000000000001" customHeight="1" x14ac:dyDescent="0.15"/>
    <row r="102" spans="1:11" s="133" customFormat="1" ht="15.75" customHeight="1" x14ac:dyDescent="0.15"/>
    <row r="103" spans="1:11" s="133" customFormat="1" ht="14.25" hidden="1" customHeight="1" thickTop="1" x14ac:dyDescent="0.15">
      <c r="A103" s="310"/>
      <c r="B103" s="311"/>
      <c r="C103" s="312">
        <f>SUM(C7:C80)</f>
        <v>45</v>
      </c>
      <c r="D103" s="312">
        <f>SUM(D7:D80)</f>
        <v>45</v>
      </c>
      <c r="E103" s="312">
        <f>SUM(E7:E80)</f>
        <v>45</v>
      </c>
      <c r="F103" s="312">
        <f>SUM(F7:F80)</f>
        <v>45</v>
      </c>
      <c r="G103" s="312">
        <f>SUM(G7:G80)</f>
        <v>45</v>
      </c>
      <c r="H103" s="312">
        <f t="shared" ref="H103:I103" si="1">SUM(H7:H80)</f>
        <v>45</v>
      </c>
      <c r="I103" s="312">
        <f t="shared" si="1"/>
        <v>45</v>
      </c>
    </row>
    <row r="104" spans="1:11" s="133" customFormat="1" ht="16.350000000000001" customHeight="1" x14ac:dyDescent="0.15">
      <c r="A104" s="313"/>
      <c r="B104" s="300"/>
    </row>
    <row r="105" spans="1:11" s="133" customFormat="1" ht="16.350000000000001" customHeight="1" x14ac:dyDescent="0.15">
      <c r="A105" s="313"/>
      <c r="B105" s="300"/>
    </row>
    <row r="106" spans="1:11" ht="15" x14ac:dyDescent="0.2">
      <c r="A106" s="135"/>
      <c r="B106" s="135"/>
      <c r="C106" s="133"/>
      <c r="D106" s="133"/>
      <c r="E106" s="133"/>
      <c r="F106" s="133"/>
      <c r="G106" s="133"/>
      <c r="H106" s="133"/>
      <c r="I106" s="133"/>
      <c r="J106" s="133"/>
      <c r="K106" s="133"/>
    </row>
    <row r="107" spans="1:11" ht="15" x14ac:dyDescent="0.2">
      <c r="A107" s="135"/>
      <c r="B107" s="135"/>
      <c r="C107" s="135"/>
      <c r="D107" s="135"/>
      <c r="E107" s="135"/>
      <c r="F107" s="135"/>
      <c r="G107" s="135"/>
      <c r="H107" s="135"/>
      <c r="I107" s="135"/>
    </row>
    <row r="108" spans="1:11" ht="15" x14ac:dyDescent="0.2">
      <c r="A108" s="135"/>
      <c r="B108" s="135"/>
      <c r="C108" s="135"/>
      <c r="D108" s="135"/>
      <c r="E108" s="135"/>
      <c r="F108" s="135"/>
      <c r="G108" s="135"/>
      <c r="H108" s="135"/>
      <c r="I108" s="135"/>
    </row>
    <row r="109" spans="1:11" s="133" customFormat="1" ht="16.350000000000001" customHeight="1" x14ac:dyDescent="0.2">
      <c r="A109" s="135"/>
      <c r="B109" s="135"/>
      <c r="C109" s="135"/>
      <c r="D109" s="135"/>
      <c r="E109" s="135"/>
      <c r="F109" s="135"/>
      <c r="G109" s="135"/>
      <c r="H109" s="135"/>
      <c r="I109" s="135"/>
    </row>
    <row r="110" spans="1:11" s="133" customFormat="1" ht="16.350000000000001" customHeight="1" x14ac:dyDescent="0.2">
      <c r="A110" s="135"/>
      <c r="B110" s="135"/>
      <c r="C110" s="135"/>
      <c r="D110" s="135"/>
      <c r="E110" s="135"/>
      <c r="F110" s="135"/>
      <c r="G110" s="135"/>
      <c r="H110" s="135"/>
      <c r="I110" s="135"/>
    </row>
    <row r="111" spans="1:11" s="133" customFormat="1" ht="16.350000000000001" customHeight="1" x14ac:dyDescent="0.2">
      <c r="A111" s="135"/>
      <c r="B111" s="135"/>
      <c r="C111" s="135"/>
      <c r="D111" s="135"/>
      <c r="E111" s="135"/>
      <c r="F111" s="135"/>
      <c r="G111" s="135"/>
      <c r="H111" s="135"/>
      <c r="I111" s="135"/>
    </row>
    <row r="112" spans="1:11" s="133" customFormat="1" ht="16.350000000000001" customHeight="1" x14ac:dyDescent="0.2">
      <c r="A112" s="135"/>
      <c r="B112" s="135"/>
      <c r="C112" s="135"/>
      <c r="D112" s="135"/>
      <c r="E112" s="135"/>
      <c r="F112" s="135"/>
      <c r="G112" s="135"/>
      <c r="H112" s="135"/>
      <c r="I112" s="135"/>
    </row>
    <row r="113" spans="1:11" s="133" customFormat="1" ht="16.350000000000001" customHeight="1" x14ac:dyDescent="0.2">
      <c r="A113" s="135"/>
      <c r="B113" s="135"/>
      <c r="C113" s="135"/>
      <c r="D113" s="135"/>
      <c r="E113" s="135"/>
      <c r="F113" s="135"/>
      <c r="G113" s="135"/>
      <c r="H113" s="135"/>
      <c r="I113" s="135"/>
    </row>
    <row r="114" spans="1:11" s="133" customFormat="1" ht="16.350000000000001" customHeight="1" x14ac:dyDescent="0.2">
      <c r="A114" s="135"/>
      <c r="B114" s="135"/>
      <c r="C114" s="135"/>
      <c r="D114" s="135"/>
      <c r="E114" s="135"/>
      <c r="F114" s="135"/>
      <c r="G114" s="135"/>
      <c r="H114" s="135"/>
      <c r="I114" s="135"/>
    </row>
    <row r="115" spans="1:11" s="133" customFormat="1" ht="16.350000000000001" customHeight="1" x14ac:dyDescent="0.2">
      <c r="A115" s="135"/>
      <c r="B115" s="135"/>
      <c r="C115" s="135"/>
      <c r="D115" s="135"/>
      <c r="E115" s="135"/>
      <c r="F115" s="135"/>
      <c r="G115" s="135"/>
      <c r="H115" s="135"/>
      <c r="I115" s="135"/>
    </row>
    <row r="116" spans="1:11" s="133" customFormat="1" ht="16.350000000000001" customHeight="1" x14ac:dyDescent="0.2">
      <c r="A116" s="135"/>
      <c r="B116" s="135"/>
      <c r="C116" s="135"/>
      <c r="D116" s="135"/>
      <c r="E116" s="135"/>
      <c r="F116" s="135"/>
      <c r="G116" s="135"/>
      <c r="H116" s="135"/>
      <c r="I116" s="135"/>
    </row>
    <row r="117" spans="1:11" s="133" customFormat="1" ht="16.350000000000001" customHeight="1" x14ac:dyDescent="0.2">
      <c r="A117" s="135"/>
      <c r="B117" s="135"/>
      <c r="C117" s="135"/>
      <c r="D117" s="135"/>
      <c r="E117" s="135"/>
      <c r="F117" s="135"/>
      <c r="G117" s="135"/>
      <c r="H117" s="135"/>
      <c r="I117" s="135"/>
    </row>
    <row r="118" spans="1:11" s="133" customFormat="1" ht="16.350000000000001" customHeight="1" x14ac:dyDescent="0.2">
      <c r="A118" s="135"/>
      <c r="B118" s="135"/>
      <c r="C118" s="135"/>
      <c r="D118" s="135"/>
      <c r="E118" s="135"/>
      <c r="F118" s="135"/>
      <c r="G118" s="135"/>
      <c r="H118" s="135"/>
      <c r="I118" s="135"/>
    </row>
    <row r="119" spans="1:11" s="133" customFormat="1" ht="16.350000000000001" customHeight="1" x14ac:dyDescent="0.2">
      <c r="A119" s="135"/>
      <c r="B119" s="135"/>
      <c r="C119" s="135"/>
      <c r="D119" s="135"/>
      <c r="E119" s="135"/>
      <c r="F119" s="135"/>
      <c r="G119" s="135"/>
      <c r="H119" s="135"/>
      <c r="I119" s="135"/>
      <c r="K119" s="194"/>
    </row>
    <row r="120" spans="1:11" s="133" customFormat="1" ht="16.350000000000001" customHeight="1" x14ac:dyDescent="0.2">
      <c r="A120" s="135"/>
      <c r="B120" s="135"/>
      <c r="C120" s="135"/>
      <c r="D120" s="135"/>
      <c r="E120" s="135"/>
      <c r="F120" s="135"/>
      <c r="G120" s="135"/>
      <c r="H120" s="135"/>
      <c r="I120" s="135"/>
    </row>
    <row r="121" spans="1:11" s="133" customFormat="1" ht="16.350000000000001" customHeight="1" x14ac:dyDescent="0.2">
      <c r="A121" s="135"/>
      <c r="B121" s="135"/>
      <c r="C121" s="135"/>
      <c r="D121" s="135"/>
      <c r="E121" s="135"/>
      <c r="F121" s="135"/>
      <c r="G121" s="135"/>
      <c r="H121" s="135"/>
      <c r="I121" s="135"/>
    </row>
    <row r="122" spans="1:11" s="133" customFormat="1" ht="16.350000000000001" customHeight="1" x14ac:dyDescent="0.2">
      <c r="A122" s="135"/>
      <c r="B122" s="135"/>
      <c r="C122" s="135"/>
      <c r="D122" s="135"/>
      <c r="E122" s="135"/>
      <c r="F122" s="135"/>
      <c r="G122" s="135"/>
      <c r="H122" s="135"/>
      <c r="I122" s="135"/>
    </row>
    <row r="123" spans="1:11" ht="15" x14ac:dyDescent="0.2">
      <c r="A123" s="135"/>
      <c r="B123" s="135"/>
      <c r="C123" s="135"/>
      <c r="D123" s="135"/>
      <c r="E123" s="135"/>
      <c r="F123" s="135"/>
      <c r="G123" s="135"/>
      <c r="H123" s="135"/>
      <c r="I123" s="135"/>
    </row>
    <row r="124" spans="1:11" ht="15" x14ac:dyDescent="0.2">
      <c r="A124" s="135"/>
      <c r="B124" s="135"/>
      <c r="C124" s="135"/>
      <c r="D124" s="135"/>
      <c r="E124" s="135"/>
      <c r="F124" s="135"/>
      <c r="G124" s="135"/>
      <c r="H124" s="135"/>
      <c r="I124" s="135"/>
    </row>
    <row r="125" spans="1:11" ht="15" x14ac:dyDescent="0.2">
      <c r="A125" s="135"/>
      <c r="B125" s="135"/>
      <c r="C125" s="135"/>
      <c r="D125" s="135"/>
      <c r="E125" s="135"/>
      <c r="F125" s="135"/>
      <c r="G125" s="135"/>
      <c r="H125" s="135"/>
      <c r="I125" s="135"/>
    </row>
    <row r="126" spans="1:11" ht="15" x14ac:dyDescent="0.2">
      <c r="A126" s="135"/>
      <c r="B126" s="135"/>
      <c r="C126" s="135"/>
      <c r="D126" s="135"/>
      <c r="E126" s="135"/>
      <c r="F126" s="135"/>
      <c r="G126" s="135"/>
      <c r="H126" s="135"/>
      <c r="I126" s="135"/>
    </row>
    <row r="127" spans="1:11" ht="15" x14ac:dyDescent="0.2">
      <c r="A127" s="135"/>
      <c r="B127" s="135"/>
      <c r="C127" s="135"/>
      <c r="D127" s="135"/>
      <c r="E127" s="135"/>
      <c r="F127" s="135"/>
      <c r="G127" s="135"/>
      <c r="H127" s="135"/>
      <c r="I127" s="135"/>
    </row>
    <row r="128" spans="1:11" ht="15" x14ac:dyDescent="0.2">
      <c r="A128" s="135"/>
      <c r="B128" s="135"/>
      <c r="C128" s="135"/>
      <c r="D128" s="135"/>
      <c r="E128" s="135"/>
      <c r="F128" s="135"/>
      <c r="G128" s="135"/>
      <c r="H128" s="135"/>
      <c r="I128" s="135"/>
    </row>
    <row r="129" spans="1:11" ht="15" x14ac:dyDescent="0.2">
      <c r="A129" s="135"/>
      <c r="B129" s="135"/>
      <c r="C129" s="135"/>
      <c r="D129" s="135"/>
      <c r="E129" s="135"/>
      <c r="F129" s="135"/>
      <c r="G129" s="135"/>
      <c r="H129" s="135"/>
      <c r="I129" s="135"/>
    </row>
    <row r="130" spans="1:11" ht="15" x14ac:dyDescent="0.2">
      <c r="A130" s="135"/>
      <c r="B130" s="135"/>
      <c r="C130" s="135"/>
      <c r="D130" s="135"/>
      <c r="E130" s="135"/>
      <c r="F130" s="135"/>
      <c r="G130" s="135"/>
      <c r="H130" s="135"/>
      <c r="I130" s="135"/>
    </row>
    <row r="131" spans="1:11" ht="15" x14ac:dyDescent="0.2">
      <c r="A131" s="135"/>
      <c r="B131" s="135"/>
      <c r="C131" s="135"/>
      <c r="D131" s="135"/>
      <c r="E131" s="135"/>
      <c r="F131" s="135"/>
      <c r="G131" s="135"/>
      <c r="H131" s="135"/>
      <c r="I131" s="135"/>
    </row>
    <row r="132" spans="1:11" ht="15" x14ac:dyDescent="0.2">
      <c r="A132" s="135"/>
      <c r="B132" s="135"/>
      <c r="C132" s="135"/>
      <c r="D132" s="135"/>
      <c r="E132" s="135"/>
      <c r="F132" s="135"/>
      <c r="G132" s="135"/>
      <c r="H132" s="135"/>
      <c r="I132" s="135"/>
    </row>
    <row r="133" spans="1:11" ht="15" x14ac:dyDescent="0.2">
      <c r="A133" s="135"/>
      <c r="B133" s="135"/>
      <c r="C133" s="135"/>
      <c r="D133" s="135"/>
      <c r="E133" s="135"/>
      <c r="F133" s="135"/>
      <c r="G133" s="135"/>
      <c r="H133" s="135"/>
      <c r="I133" s="135"/>
    </row>
    <row r="134" spans="1:11" ht="15" x14ac:dyDescent="0.2">
      <c r="A134" s="135"/>
      <c r="B134" s="135"/>
      <c r="C134" s="135"/>
      <c r="D134" s="135"/>
      <c r="E134" s="135"/>
      <c r="F134" s="135"/>
      <c r="G134" s="135"/>
      <c r="H134" s="135"/>
      <c r="I134" s="135"/>
      <c r="K134" s="314"/>
    </row>
    <row r="135" spans="1:11" ht="15" x14ac:dyDescent="0.2">
      <c r="A135" s="135"/>
      <c r="B135" s="135"/>
      <c r="C135" s="135"/>
      <c r="D135" s="135"/>
      <c r="E135" s="135"/>
      <c r="F135" s="135"/>
      <c r="G135" s="135"/>
      <c r="H135" s="135"/>
      <c r="I135" s="135"/>
    </row>
    <row r="136" spans="1:11" ht="15" x14ac:dyDescent="0.2">
      <c r="A136" s="135"/>
      <c r="B136" s="135"/>
      <c r="C136" s="135"/>
      <c r="D136" s="135"/>
      <c r="E136" s="135"/>
      <c r="F136" s="135"/>
      <c r="G136" s="135"/>
      <c r="H136" s="135"/>
      <c r="I136" s="135"/>
    </row>
    <row r="137" spans="1:11" ht="15" x14ac:dyDescent="0.2">
      <c r="A137" s="135"/>
      <c r="B137" s="135"/>
      <c r="C137" s="135"/>
      <c r="D137" s="135"/>
      <c r="E137" s="135"/>
      <c r="F137" s="135"/>
      <c r="G137" s="135"/>
      <c r="H137" s="135"/>
      <c r="I137" s="135"/>
    </row>
    <row r="138" spans="1:11" ht="15" x14ac:dyDescent="0.2">
      <c r="A138" s="135"/>
      <c r="B138" s="135"/>
      <c r="C138" s="135"/>
      <c r="D138" s="135"/>
      <c r="E138" s="135"/>
      <c r="F138" s="135"/>
      <c r="G138" s="135"/>
      <c r="H138" s="135"/>
      <c r="I138" s="135"/>
    </row>
    <row r="139" spans="1:11" ht="15" x14ac:dyDescent="0.2">
      <c r="A139" s="135"/>
      <c r="B139" s="135"/>
      <c r="C139" s="135"/>
      <c r="D139" s="135"/>
      <c r="E139" s="135"/>
      <c r="F139" s="135"/>
      <c r="G139" s="135"/>
      <c r="H139" s="135"/>
      <c r="I139" s="135"/>
    </row>
    <row r="140" spans="1:11" ht="15" x14ac:dyDescent="0.2">
      <c r="A140" s="135"/>
      <c r="B140" s="135"/>
      <c r="C140" s="135"/>
      <c r="D140" s="135"/>
      <c r="E140" s="135"/>
      <c r="F140" s="135"/>
      <c r="G140" s="135"/>
      <c r="H140" s="135"/>
      <c r="I140" s="135"/>
    </row>
    <row r="141" spans="1:11" ht="15" x14ac:dyDescent="0.2">
      <c r="A141" s="135"/>
      <c r="B141" s="135"/>
      <c r="C141" s="135"/>
      <c r="D141" s="135"/>
      <c r="E141" s="135"/>
      <c r="F141" s="135"/>
      <c r="G141" s="135"/>
      <c r="H141" s="135"/>
      <c r="I141" s="135"/>
    </row>
    <row r="142" spans="1:11" ht="15" x14ac:dyDescent="0.2">
      <c r="A142" s="135"/>
      <c r="B142" s="135"/>
      <c r="C142" s="135"/>
      <c r="D142" s="135"/>
      <c r="E142" s="135"/>
      <c r="F142" s="135"/>
      <c r="G142" s="135"/>
      <c r="H142" s="135"/>
      <c r="I142" s="135"/>
    </row>
    <row r="143" spans="1:11" ht="15" x14ac:dyDescent="0.2">
      <c r="A143" s="135"/>
      <c r="B143" s="135"/>
      <c r="C143" s="135"/>
      <c r="D143" s="135"/>
      <c r="E143" s="135"/>
      <c r="F143" s="135"/>
      <c r="G143" s="135"/>
      <c r="H143" s="135"/>
      <c r="I143" s="135"/>
    </row>
    <row r="144" spans="1:11" ht="15" x14ac:dyDescent="0.2">
      <c r="A144" s="135"/>
      <c r="B144" s="135"/>
      <c r="C144" s="135"/>
      <c r="D144" s="135"/>
      <c r="E144" s="135"/>
      <c r="F144" s="135"/>
      <c r="G144" s="135"/>
      <c r="H144" s="135"/>
      <c r="I144" s="135"/>
    </row>
    <row r="145" spans="1:9" ht="15" x14ac:dyDescent="0.2">
      <c r="A145" s="135"/>
      <c r="B145" s="135"/>
      <c r="C145" s="135"/>
      <c r="D145" s="135"/>
      <c r="E145" s="135"/>
      <c r="F145" s="135"/>
      <c r="G145" s="135"/>
      <c r="H145" s="135"/>
      <c r="I145" s="135"/>
    </row>
    <row r="146" spans="1:9" ht="15" x14ac:dyDescent="0.2">
      <c r="A146" s="135"/>
      <c r="B146" s="135"/>
      <c r="C146" s="135"/>
      <c r="D146" s="135"/>
      <c r="E146" s="135"/>
      <c r="F146" s="135"/>
      <c r="G146" s="135"/>
      <c r="H146" s="135"/>
      <c r="I146" s="135"/>
    </row>
  </sheetData>
  <mergeCells count="2">
    <mergeCell ref="A3:B3"/>
    <mergeCell ref="C3:I3"/>
  </mergeCells>
  <conditionalFormatting sqref="A81">
    <cfRule type="containsText" dxfId="1592" priority="147" operator="containsText" text="CUM">
      <formula>NOT(ISERROR(SEARCH("CUM",A81)))</formula>
    </cfRule>
    <cfRule type="containsText" dxfId="1591" priority="148" operator="containsText" text="CUM">
      <formula>NOT(ISERROR(SEARCH("CUM",A81)))</formula>
    </cfRule>
    <cfRule type="containsText" dxfId="1590" priority="149" operator="containsText" text="CUT">
      <formula>NOT(ISERROR(SEARCH("CUT",A81)))</formula>
    </cfRule>
    <cfRule type="containsText" dxfId="1589" priority="150" operator="containsText" text="CUT">
      <formula>NOT(ISERROR(SEARCH("CUT",A81)))</formula>
    </cfRule>
    <cfRule type="containsText" dxfId="1588" priority="151" operator="containsText" text="CUM">
      <formula>NOT(ISERROR(SEARCH("CUM",A81)))</formula>
    </cfRule>
    <cfRule type="containsText" dxfId="1587" priority="152" operator="containsText" text="25">
      <formula>NOT(ISERROR(SEARCH("25",A81)))</formula>
    </cfRule>
    <cfRule type="containsText" dxfId="1586" priority="153" operator="containsText" text="21;25">
      <formula>NOT(ISERROR(SEARCH("21;25",A81)))</formula>
    </cfRule>
    <cfRule type="containsText" dxfId="1585" priority="154" operator="containsText" text="21,25">
      <formula>NOT(ISERROR(SEARCH("21,25",A81)))</formula>
    </cfRule>
    <cfRule type="containsText" dxfId="1584" priority="155" operator="containsText" text="CI">
      <formula>NOT(ISERROR(SEARCH("CI",A81)))</formula>
    </cfRule>
    <cfRule type="containsText" dxfId="1583" priority="156" operator="containsText" text="21">
      <formula>NOT(ISERROR(SEARCH("21",A81)))</formula>
    </cfRule>
    <cfRule type="containsText" dxfId="1582" priority="157" operator="containsText" text="21,25">
      <formula>NOT(ISERROR(SEARCH("21,25",A81)))</formula>
    </cfRule>
    <cfRule type="containsText" dxfId="1581" priority="158" operator="containsText" text="CU">
      <formula>NOT(ISERROR(SEARCH("CU",A81)))</formula>
    </cfRule>
    <cfRule type="containsText" dxfId="1580" priority="159" operator="containsText" text="TR">
      <formula>NOT(ISERROR(SEARCH("TR",A81)))</formula>
    </cfRule>
    <cfRule type="cellIs" dxfId="1579" priority="160" operator="equal">
      <formula>"CU2"</formula>
    </cfRule>
    <cfRule type="cellIs" dxfId="1578" priority="161" operator="equal">
      <formula>"CU1"</formula>
    </cfRule>
  </conditionalFormatting>
  <conditionalFormatting sqref="B37:B38">
    <cfRule type="cellIs" dxfId="1577" priority="2562" stopIfTrue="1" operator="equal">
      <formula>"1G"</formula>
    </cfRule>
    <cfRule type="cellIs" dxfId="1576" priority="2563" stopIfTrue="1" operator="equal">
      <formula>"2G"</formula>
    </cfRule>
    <cfRule type="cellIs" dxfId="1575" priority="2564" stopIfTrue="1" operator="equal">
      <formula>"3G"</formula>
    </cfRule>
  </conditionalFormatting>
  <conditionalFormatting sqref="C38:I38">
    <cfRule type="containsText" dxfId="1574" priority="287" operator="containsText" text="TR">
      <formula>NOT(ISERROR(SEARCH("TR",C38)))</formula>
    </cfRule>
    <cfRule type="cellIs" dxfId="1573" priority="288" operator="equal">
      <formula>"CU2"</formula>
    </cfRule>
    <cfRule type="cellIs" dxfId="1572" priority="289" operator="equal">
      <formula>"CU1"</formula>
    </cfRule>
  </conditionalFormatting>
  <conditionalFormatting sqref="C47:D47 C48:I48">
    <cfRule type="containsText" dxfId="1571" priority="275" operator="containsText" text="TR">
      <formula>NOT(ISERROR(SEARCH("TR",C47)))</formula>
    </cfRule>
    <cfRule type="cellIs" dxfId="1570" priority="276" operator="equal">
      <formula>"CU2"</formula>
    </cfRule>
    <cfRule type="cellIs" dxfId="1569" priority="277" operator="equal">
      <formula>"CU1"</formula>
    </cfRule>
  </conditionalFormatting>
  <conditionalFormatting sqref="C49:G50 D50:I50">
    <cfRule type="containsText" dxfId="1568" priority="225" operator="containsText" text="TR">
      <formula>NOT(ISERROR(SEARCH("TR",C49)))</formula>
    </cfRule>
    <cfRule type="cellIs" dxfId="1567" priority="226" operator="equal">
      <formula>"CU2"</formula>
    </cfRule>
    <cfRule type="cellIs" dxfId="1566" priority="227" operator="equal">
      <formula>"CU1"</formula>
    </cfRule>
  </conditionalFormatting>
  <conditionalFormatting sqref="C3:I3">
    <cfRule type="cellIs" dxfId="1565" priority="294" stopIfTrue="1" operator="equal">
      <formula>"E1"</formula>
    </cfRule>
    <cfRule type="cellIs" dxfId="1564" priority="295" stopIfTrue="1" operator="equal">
      <formula>"E2"</formula>
    </cfRule>
  </conditionalFormatting>
  <conditionalFormatting sqref="C5:I5">
    <cfRule type="cellIs" dxfId="1563" priority="350" operator="equal">
      <formula>"CU2T"</formula>
    </cfRule>
    <cfRule type="cellIs" dxfId="1562" priority="351" operator="equal">
      <formula>"CU2M"</formula>
    </cfRule>
  </conditionalFormatting>
  <conditionalFormatting sqref="D14:I14 C7:I13">
    <cfRule type="containsText" dxfId="1561" priority="291" operator="containsText" text="TR">
      <formula>NOT(ISERROR(SEARCH("TR",C7)))</formula>
    </cfRule>
    <cfRule type="cellIs" dxfId="1560" priority="292" operator="equal">
      <formula>"CU2"</formula>
    </cfRule>
    <cfRule type="cellIs" dxfId="1559" priority="293" operator="equal">
      <formula>"CU1"</formula>
    </cfRule>
  </conditionalFormatting>
  <conditionalFormatting sqref="D14:I14 C11:I13 C15:I80">
    <cfRule type="containsText" dxfId="1558" priority="178" operator="containsText" text="CUM">
      <formula>NOT(ISERROR(SEARCH("CUM",C11)))</formula>
    </cfRule>
    <cfRule type="containsText" dxfId="1557" priority="179" operator="containsText" text="CUT">
      <formula>NOT(ISERROR(SEARCH("CUT",C11)))</formula>
    </cfRule>
  </conditionalFormatting>
  <conditionalFormatting sqref="C15:I37">
    <cfRule type="containsText" dxfId="1556" priority="241" operator="containsText" text="TR">
      <formula>NOT(ISERROR(SEARCH("TR",C15)))</formula>
    </cfRule>
    <cfRule type="cellIs" dxfId="1555" priority="242" operator="equal">
      <formula>"CU2"</formula>
    </cfRule>
    <cfRule type="cellIs" dxfId="1554" priority="243" operator="equal">
      <formula>"CU1"</formula>
    </cfRule>
  </conditionalFormatting>
  <conditionalFormatting sqref="C44:F44 H44:I44 C39:I43">
    <cfRule type="containsText" dxfId="1553" priority="283" operator="containsText" text="TR">
      <formula>NOT(ISERROR(SEARCH("TR",C39)))</formula>
    </cfRule>
    <cfRule type="cellIs" dxfId="1552" priority="284" operator="equal">
      <formula>"CU2"</formula>
    </cfRule>
    <cfRule type="cellIs" dxfId="1551" priority="285" operator="equal">
      <formula>"CU1"</formula>
    </cfRule>
  </conditionalFormatting>
  <conditionalFormatting sqref="C45:I46">
    <cfRule type="containsText" dxfId="1550" priority="279" operator="containsText" text="TR">
      <formula>NOT(ISERROR(SEARCH("TR",C45)))</formula>
    </cfRule>
    <cfRule type="cellIs" dxfId="1549" priority="280" operator="equal">
      <formula>"CU2"</formula>
    </cfRule>
    <cfRule type="cellIs" dxfId="1548" priority="281" operator="equal">
      <formula>"CU1"</formula>
    </cfRule>
  </conditionalFormatting>
  <conditionalFormatting sqref="C51:I58">
    <cfRule type="containsText" dxfId="1547" priority="213" operator="containsText" text="TR">
      <formula>NOT(ISERROR(SEARCH("TR",C51)))</formula>
    </cfRule>
    <cfRule type="cellIs" dxfId="1546" priority="214" operator="equal">
      <formula>"CU2"</formula>
    </cfRule>
    <cfRule type="cellIs" dxfId="1545" priority="215" operator="equal">
      <formula>"CU1"</formula>
    </cfRule>
  </conditionalFormatting>
  <conditionalFormatting sqref="C59:I74">
    <cfRule type="containsText" dxfId="1544" priority="684" operator="containsText" text="CU">
      <formula>NOT(ISERROR(SEARCH("CU",C59)))</formula>
    </cfRule>
    <cfRule type="containsText" dxfId="1543" priority="685" operator="containsText" text="TR">
      <formula>NOT(ISERROR(SEARCH("TR",C59)))</formula>
    </cfRule>
    <cfRule type="cellIs" dxfId="1542" priority="686" operator="equal">
      <formula>"CU2"</formula>
    </cfRule>
    <cfRule type="cellIs" dxfId="1541" priority="687" operator="equal">
      <formula>"CU1"</formula>
    </cfRule>
  </conditionalFormatting>
  <conditionalFormatting sqref="C75:I78">
    <cfRule type="containsText" dxfId="1540" priority="679" operator="containsText" text="CU">
      <formula>NOT(ISERROR(SEARCH("CU",C75)))</formula>
    </cfRule>
    <cfRule type="containsText" dxfId="1539" priority="680" operator="containsText" text="TR">
      <formula>NOT(ISERROR(SEARCH("TR",C75)))</formula>
    </cfRule>
    <cfRule type="cellIs" dxfId="1538" priority="681" operator="equal">
      <formula>"CU2"</formula>
    </cfRule>
    <cfRule type="cellIs" dxfId="1537" priority="682" operator="equal">
      <formula>"CU1"</formula>
    </cfRule>
  </conditionalFormatting>
  <conditionalFormatting sqref="C79:I80">
    <cfRule type="cellIs" dxfId="1536" priority="1039" operator="equal">
      <formula>"CU2T"</formula>
    </cfRule>
    <cfRule type="cellIs" priority="1040" operator="equal">
      <formula>"CU2T"</formula>
    </cfRule>
    <cfRule type="cellIs" dxfId="1535" priority="1041" operator="equal">
      <formula>"CU2M"</formula>
    </cfRule>
    <cfRule type="cellIs" dxfId="1534" priority="1042" operator="equal">
      <formula>"CU1"</formula>
    </cfRule>
  </conditionalFormatting>
  <conditionalFormatting sqref="D16:F16">
    <cfRule type="containsText" dxfId="1533" priority="203" operator="containsText" text="TR">
      <formula>NOT(ISERROR(SEARCH("TR",D16)))</formula>
    </cfRule>
    <cfRule type="cellIs" dxfId="1532" priority="204" operator="equal">
      <formula>"CU2"</formula>
    </cfRule>
    <cfRule type="cellIs" dxfId="1531" priority="205" operator="equal">
      <formula>"CU1"</formula>
    </cfRule>
  </conditionalFormatting>
  <conditionalFormatting sqref="D59:I62">
    <cfRule type="containsText" dxfId="1530" priority="683" operator="containsText" text="CU2">
      <formula>NOT(ISERROR(SEARCH("CU2",D59)))</formula>
    </cfRule>
  </conditionalFormatting>
  <conditionalFormatting sqref="E18">
    <cfRule type="containsText" dxfId="1529" priority="207" operator="containsText" text="TR">
      <formula>NOT(ISERROR(SEARCH("TR",E18)))</formula>
    </cfRule>
    <cfRule type="cellIs" dxfId="1528" priority="208" operator="equal">
      <formula>"CU2"</formula>
    </cfRule>
    <cfRule type="cellIs" dxfId="1527" priority="209" operator="equal">
      <formula>"CU1"</formula>
    </cfRule>
  </conditionalFormatting>
  <conditionalFormatting sqref="E47:G48">
    <cfRule type="containsText" dxfId="1526" priority="237" operator="containsText" text="TR">
      <formula>NOT(ISERROR(SEARCH("TR",E47)))</formula>
    </cfRule>
    <cfRule type="cellIs" dxfId="1525" priority="238" operator="equal">
      <formula>"CU2"</formula>
    </cfRule>
    <cfRule type="cellIs" dxfId="1524" priority="239" operator="equal">
      <formula>"CU1"</formula>
    </cfRule>
  </conditionalFormatting>
  <conditionalFormatting sqref="E38:I38">
    <cfRule type="containsText" dxfId="1523" priority="249" operator="containsText" text="TR">
      <formula>NOT(ISERROR(SEARCH("TR",E38)))</formula>
    </cfRule>
    <cfRule type="cellIs" dxfId="1522" priority="250" operator="equal">
      <formula>"CU2"</formula>
    </cfRule>
    <cfRule type="cellIs" dxfId="1521" priority="251" operator="equal">
      <formula>"CU1"</formula>
    </cfRule>
  </conditionalFormatting>
  <conditionalFormatting sqref="F12:G12">
    <cfRule type="containsText" dxfId="1520" priority="195" operator="containsText" text="TR">
      <formula>NOT(ISERROR(SEARCH("TR",F12)))</formula>
    </cfRule>
    <cfRule type="cellIs" dxfId="1519" priority="196" operator="equal">
      <formula>"CU2"</formula>
    </cfRule>
    <cfRule type="cellIs" dxfId="1518" priority="197" operator="equal">
      <formula>"CU1"</formula>
    </cfRule>
  </conditionalFormatting>
  <conditionalFormatting sqref="G44">
    <cfRule type="containsText" dxfId="1517" priority="260" operator="containsText" text="REC">
      <formula>NOT(ISERROR(SEARCH("REC",G44)))</formula>
    </cfRule>
    <cfRule type="cellIs" dxfId="1516" priority="261" operator="equal">
      <formula>"REC"</formula>
    </cfRule>
    <cfRule type="cellIs" dxfId="1515" priority="263" operator="equal">
      <formula>"FGL"</formula>
    </cfRule>
    <cfRule type="cellIs" dxfId="1514" priority="264" operator="equal">
      <formula>"FO"</formula>
    </cfRule>
    <cfRule type="cellIs" dxfId="1513" priority="265" operator="equal">
      <formula>"CU1"</formula>
    </cfRule>
  </conditionalFormatting>
  <conditionalFormatting sqref="H14:I14">
    <cfRule type="containsText" dxfId="1512" priority="187" operator="containsText" text="TR">
      <formula>NOT(ISERROR(SEARCH("TR",H14)))</formula>
    </cfRule>
    <cfRule type="cellIs" dxfId="1511" priority="188" operator="equal">
      <formula>"CU2"</formula>
    </cfRule>
    <cfRule type="cellIs" dxfId="1510" priority="189" operator="equal">
      <formula>"CU1"</formula>
    </cfRule>
  </conditionalFormatting>
  <conditionalFormatting sqref="H47:I50">
    <cfRule type="containsText" dxfId="1509" priority="217" operator="containsText" text="TR">
      <formula>NOT(ISERROR(SEARCH("TR",H47)))</formula>
    </cfRule>
    <cfRule type="cellIs" dxfId="1508" priority="218" operator="equal">
      <formula>"CU2"</formula>
    </cfRule>
    <cfRule type="cellIs" dxfId="1507" priority="219" operator="equal">
      <formula>"CU1"</formula>
    </cfRule>
  </conditionalFormatting>
  <conditionalFormatting sqref="C6:I6">
    <cfRule type="cellIs" dxfId="1506" priority="131" operator="equal">
      <formula>"CU2M"</formula>
    </cfRule>
  </conditionalFormatting>
  <conditionalFormatting sqref="C6:I6">
    <cfRule type="cellIs" dxfId="1505" priority="130" operator="equal">
      <formula>"CU2T"</formula>
    </cfRule>
  </conditionalFormatting>
  <conditionalFormatting sqref="C11:I56">
    <cfRule type="containsText" dxfId="1504" priority="128" operator="containsText" text="REC">
      <formula>NOT(ISERROR(SEARCH("REC",C11)))</formula>
    </cfRule>
  </conditionalFormatting>
  <conditionalFormatting sqref="C14:I14">
    <cfRule type="containsText" dxfId="1503" priority="125" operator="containsText" text="TR">
      <formula>NOT(ISERROR(SEARCH("TR",C14)))</formula>
    </cfRule>
    <cfRule type="cellIs" dxfId="1502" priority="126" operator="equal">
      <formula>"CU2"</formula>
    </cfRule>
    <cfRule type="cellIs" dxfId="1501" priority="127" operator="equal">
      <formula>"CU1"</formula>
    </cfRule>
  </conditionalFormatting>
  <conditionalFormatting sqref="C14:I14">
    <cfRule type="containsText" dxfId="1500" priority="123" operator="containsText" text="21,25">
      <formula>NOT(ISERROR(SEARCH("21,25",C14)))</formula>
    </cfRule>
  </conditionalFormatting>
  <conditionalFormatting sqref="C14:I14">
    <cfRule type="containsText" dxfId="1499" priority="117" operator="containsText" text="CUM">
      <formula>NOT(ISERROR(SEARCH("CUM",C14)))</formula>
    </cfRule>
    <cfRule type="containsText" dxfId="1498" priority="118" operator="containsText" text="25">
      <formula>NOT(ISERROR(SEARCH("25",C14)))</formula>
    </cfRule>
    <cfRule type="containsText" dxfId="1497" priority="119" operator="containsText" text="21;25">
      <formula>NOT(ISERROR(SEARCH("21;25",C14)))</formula>
    </cfRule>
    <cfRule type="containsText" dxfId="1496" priority="120" operator="containsText" text="21,25">
      <formula>NOT(ISERROR(SEARCH("21,25",C14)))</formula>
    </cfRule>
    <cfRule type="containsText" dxfId="1495" priority="121" operator="containsText" text="CI">
      <formula>NOT(ISERROR(SEARCH("CI",C14)))</formula>
    </cfRule>
  </conditionalFormatting>
  <conditionalFormatting sqref="C14:I14">
    <cfRule type="containsText" dxfId="1494" priority="113" operator="containsText" text="CUM">
      <formula>NOT(ISERROR(SEARCH("CUM",C14)))</formula>
    </cfRule>
    <cfRule type="containsText" dxfId="1493" priority="114" operator="containsText" text="CUM">
      <formula>NOT(ISERROR(SEARCH("CUM",C14)))</formula>
    </cfRule>
    <cfRule type="containsText" dxfId="1492" priority="115" operator="containsText" text="CUT">
      <formula>NOT(ISERROR(SEARCH("CUT",C14)))</formula>
    </cfRule>
    <cfRule type="containsText" dxfId="1491" priority="116" operator="containsText" text="CUT">
      <formula>NOT(ISERROR(SEARCH("CUT",C14)))</formula>
    </cfRule>
  </conditionalFormatting>
  <conditionalFormatting sqref="C14:I14">
    <cfRule type="containsText" dxfId="1490" priority="122" operator="containsText" text="21">
      <formula>NOT(ISERROR(SEARCH("21",C14)))</formula>
    </cfRule>
  </conditionalFormatting>
  <conditionalFormatting sqref="C11:I78">
    <cfRule type="containsText" dxfId="1489" priority="64" operator="containsText" text="CI">
      <formula>NOT(ISERROR(SEARCH("CI",C11)))</formula>
    </cfRule>
    <cfRule type="containsText" dxfId="1488" priority="111" operator="containsText" text="PSIC">
      <formula>NOT(ISERROR(SEARCH("PSIC",C11)))</formula>
    </cfRule>
    <cfRule type="expression" dxfId="1487" priority="112">
      <formula>OR(C11=21,C11=22,C11=23,C11=24,C11=25,C11=26,C11=27)</formula>
    </cfRule>
  </conditionalFormatting>
  <conditionalFormatting sqref="C43:I44">
    <cfRule type="containsText" dxfId="1486" priority="110" operator="containsText" text="CU2">
      <formula>NOT(ISERROR(SEARCH("CU2",C43)))</formula>
    </cfRule>
  </conditionalFormatting>
  <conditionalFormatting sqref="H37">
    <cfRule type="containsText" dxfId="1485" priority="107" operator="containsText" text="TR">
      <formula>NOT(ISERROR(SEARCH("TR",H37)))</formula>
    </cfRule>
    <cfRule type="cellIs" dxfId="1484" priority="108" operator="equal">
      <formula>"CU2"</formula>
    </cfRule>
    <cfRule type="cellIs" dxfId="1483" priority="109" operator="equal">
      <formula>"CU1"</formula>
    </cfRule>
  </conditionalFormatting>
  <conditionalFormatting sqref="H37">
    <cfRule type="containsText" dxfId="1482" priority="106" operator="containsText" text="CU2">
      <formula>NOT(ISERROR(SEARCH("CU2",H37)))</formula>
    </cfRule>
  </conditionalFormatting>
  <conditionalFormatting sqref="I37">
    <cfRule type="containsText" dxfId="1481" priority="103" operator="containsText" text="TR">
      <formula>NOT(ISERROR(SEARCH("TR",I37)))</formula>
    </cfRule>
    <cfRule type="cellIs" dxfId="1480" priority="104" operator="equal">
      <formula>"CU2"</formula>
    </cfRule>
    <cfRule type="cellIs" dxfId="1479" priority="105" operator="equal">
      <formula>"CU1"</formula>
    </cfRule>
  </conditionalFormatting>
  <conditionalFormatting sqref="I37">
    <cfRule type="containsText" dxfId="1478" priority="102" operator="containsText" text="CU2">
      <formula>NOT(ISERROR(SEARCH("CU2",I37)))</formula>
    </cfRule>
  </conditionalFormatting>
  <conditionalFormatting sqref="K38">
    <cfRule type="containsText" dxfId="1477" priority="98" operator="containsText" text="CI">
      <formula>NOT(ISERROR(SEARCH("CI",K38)))</formula>
    </cfRule>
  </conditionalFormatting>
  <conditionalFormatting sqref="K38">
    <cfRule type="containsText" dxfId="1476" priority="96" operator="containsText" text="CUM">
      <formula>NOT(ISERROR(SEARCH("CUM",K38)))</formula>
    </cfRule>
    <cfRule type="containsText" dxfId="1475" priority="97" operator="containsText" text="CUT">
      <formula>NOT(ISERROR(SEARCH("CUT",K38)))</formula>
    </cfRule>
  </conditionalFormatting>
  <conditionalFormatting sqref="K38">
    <cfRule type="containsText" dxfId="1474" priority="99" operator="containsText" text="TR">
      <formula>NOT(ISERROR(SEARCH("TR",K38)))</formula>
    </cfRule>
    <cfRule type="cellIs" dxfId="1473" priority="100" operator="equal">
      <formula>"CU2"</formula>
    </cfRule>
    <cfRule type="cellIs" dxfId="1472" priority="101" operator="equal">
      <formula>"CU1"</formula>
    </cfRule>
  </conditionalFormatting>
  <conditionalFormatting sqref="K38">
    <cfRule type="containsText" dxfId="1471" priority="95" operator="containsText" text="REC">
      <formula>NOT(ISERROR(SEARCH("REC",K38)))</formula>
    </cfRule>
  </conditionalFormatting>
  <conditionalFormatting sqref="K38">
    <cfRule type="containsText" dxfId="1470" priority="93" operator="containsText" text="PSIC">
      <formula>NOT(ISERROR(SEARCH("PSIC",K38)))</formula>
    </cfRule>
    <cfRule type="expression" dxfId="1469" priority="94">
      <formula>OR(K38=21,K38=22,K38=23,K38=24,K38=25,K38=26,K38=27)</formula>
    </cfRule>
  </conditionalFormatting>
  <conditionalFormatting sqref="K38">
    <cfRule type="containsText" dxfId="1468" priority="92" operator="containsText" text="CU2">
      <formula>NOT(ISERROR(SEARCH("CU2",K38)))</formula>
    </cfRule>
  </conditionalFormatting>
  <conditionalFormatting sqref="A77">
    <cfRule type="containsText" dxfId="1467" priority="70" operator="containsText" text="CI">
      <formula>NOT(ISERROR(SEARCH("CI",A77)))</formula>
    </cfRule>
  </conditionalFormatting>
  <conditionalFormatting sqref="A77">
    <cfRule type="containsText" dxfId="1466" priority="68" operator="containsText" text="CUM">
      <formula>NOT(ISERROR(SEARCH("CUM",A77)))</formula>
    </cfRule>
    <cfRule type="containsText" dxfId="1465" priority="69" operator="containsText" text="CUT">
      <formula>NOT(ISERROR(SEARCH("CUT",A77)))</formula>
    </cfRule>
  </conditionalFormatting>
  <conditionalFormatting sqref="A77">
    <cfRule type="containsText" dxfId="1464" priority="71" operator="containsText" text="TR">
      <formula>NOT(ISERROR(SEARCH("TR",A77)))</formula>
    </cfRule>
    <cfRule type="cellIs" dxfId="1463" priority="72" operator="equal">
      <formula>"CU2"</formula>
    </cfRule>
    <cfRule type="cellIs" dxfId="1462" priority="73" operator="equal">
      <formula>"CU1"</formula>
    </cfRule>
  </conditionalFormatting>
  <conditionalFormatting sqref="A77">
    <cfRule type="containsText" dxfId="1461" priority="67" operator="containsText" text="REC">
      <formula>NOT(ISERROR(SEARCH("REC",A77)))</formula>
    </cfRule>
  </conditionalFormatting>
  <conditionalFormatting sqref="A77">
    <cfRule type="containsText" dxfId="1460" priority="65" operator="containsText" text="PSIC">
      <formula>NOT(ISERROR(SEARCH("PSIC",A77)))</formula>
    </cfRule>
    <cfRule type="expression" dxfId="1459" priority="66">
      <formula>OR(A77=21,A77=22,A77=23,A77=24,A77=25,A77=26,A77=27)</formula>
    </cfRule>
  </conditionalFormatting>
  <conditionalFormatting sqref="A76">
    <cfRule type="containsText" dxfId="1458" priority="51" operator="containsText" text="CI">
      <formula>NOT(ISERROR(SEARCH("CI",A76)))</formula>
    </cfRule>
  </conditionalFormatting>
  <conditionalFormatting sqref="A76">
    <cfRule type="containsText" dxfId="1457" priority="49" operator="containsText" text="CUM">
      <formula>NOT(ISERROR(SEARCH("CUM",A76)))</formula>
    </cfRule>
    <cfRule type="containsText" dxfId="1456" priority="50" operator="containsText" text="CUT">
      <formula>NOT(ISERROR(SEARCH("CUT",A76)))</formula>
    </cfRule>
  </conditionalFormatting>
  <conditionalFormatting sqref="A76">
    <cfRule type="containsText" dxfId="1455" priority="52" operator="containsText" text="TR">
      <formula>NOT(ISERROR(SEARCH("TR",A76)))</formula>
    </cfRule>
    <cfRule type="cellIs" dxfId="1454" priority="53" operator="equal">
      <formula>"CU2"</formula>
    </cfRule>
    <cfRule type="cellIs" dxfId="1453" priority="54" operator="equal">
      <formula>"CU1"</formula>
    </cfRule>
  </conditionalFormatting>
  <conditionalFormatting sqref="A76">
    <cfRule type="containsText" dxfId="1452" priority="48" operator="containsText" text="REC">
      <formula>NOT(ISERROR(SEARCH("REC",A76)))</formula>
    </cfRule>
  </conditionalFormatting>
  <conditionalFormatting sqref="A76">
    <cfRule type="containsText" dxfId="1451" priority="46" operator="containsText" text="PSIC">
      <formula>NOT(ISERROR(SEARCH("PSIC",A76)))</formula>
    </cfRule>
    <cfRule type="expression" dxfId="1450" priority="47">
      <formula>OR(A76=21,A76=22,A76=23,A76=24,A76=25,A76=26,A76=27)</formula>
    </cfRule>
  </conditionalFormatting>
  <conditionalFormatting sqref="A75">
    <cfRule type="containsText" dxfId="1449" priority="42" operator="containsText" text="CI">
      <formula>NOT(ISERROR(SEARCH("CI",A75)))</formula>
    </cfRule>
  </conditionalFormatting>
  <conditionalFormatting sqref="A75">
    <cfRule type="containsText" dxfId="1448" priority="40" operator="containsText" text="CUM">
      <formula>NOT(ISERROR(SEARCH("CUM",A75)))</formula>
    </cfRule>
    <cfRule type="containsText" dxfId="1447" priority="41" operator="containsText" text="CUT">
      <formula>NOT(ISERROR(SEARCH("CUT",A75)))</formula>
    </cfRule>
  </conditionalFormatting>
  <conditionalFormatting sqref="A75">
    <cfRule type="containsText" dxfId="1446" priority="43" operator="containsText" text="TR">
      <formula>NOT(ISERROR(SEARCH("TR",A75)))</formula>
    </cfRule>
    <cfRule type="cellIs" dxfId="1445" priority="44" operator="equal">
      <formula>"CU2"</formula>
    </cfRule>
    <cfRule type="cellIs" dxfId="1444" priority="45" operator="equal">
      <formula>"CU1"</formula>
    </cfRule>
  </conditionalFormatting>
  <conditionalFormatting sqref="A75">
    <cfRule type="containsText" dxfId="1443" priority="39" operator="containsText" text="REC">
      <formula>NOT(ISERROR(SEARCH("REC",A75)))</formula>
    </cfRule>
  </conditionalFormatting>
  <conditionalFormatting sqref="A75">
    <cfRule type="containsText" dxfId="1442" priority="37" operator="containsText" text="PSIC">
      <formula>NOT(ISERROR(SEARCH("PSIC",A75)))</formula>
    </cfRule>
    <cfRule type="expression" dxfId="1441" priority="38">
      <formula>OR(A75=21,A75=22,A75=23,A75=24,A75=25,A75=26,A75=27)</formula>
    </cfRule>
  </conditionalFormatting>
  <conditionalFormatting sqref="A57">
    <cfRule type="containsText" dxfId="1440" priority="15" operator="containsText" text="CI">
      <formula>NOT(ISERROR(SEARCH("CI",A57)))</formula>
    </cfRule>
  </conditionalFormatting>
  <conditionalFormatting sqref="A57">
    <cfRule type="containsText" dxfId="1439" priority="13" operator="containsText" text="CUM">
      <formula>NOT(ISERROR(SEARCH("CUM",A57)))</formula>
    </cfRule>
    <cfRule type="containsText" dxfId="1438" priority="14" operator="containsText" text="CUT">
      <formula>NOT(ISERROR(SEARCH("CUT",A57)))</formula>
    </cfRule>
  </conditionalFormatting>
  <conditionalFormatting sqref="A57">
    <cfRule type="containsText" dxfId="1437" priority="16" operator="containsText" text="TR">
      <formula>NOT(ISERROR(SEARCH("TR",A57)))</formula>
    </cfRule>
    <cfRule type="cellIs" dxfId="1436" priority="17" operator="equal">
      <formula>"CU2"</formula>
    </cfRule>
    <cfRule type="cellIs" dxfId="1435" priority="18" operator="equal">
      <formula>"CU1"</formula>
    </cfRule>
  </conditionalFormatting>
  <conditionalFormatting sqref="A57">
    <cfRule type="containsText" dxfId="1434" priority="12" operator="containsText" text="REC">
      <formula>NOT(ISERROR(SEARCH("REC",A57)))</formula>
    </cfRule>
  </conditionalFormatting>
  <conditionalFormatting sqref="A57">
    <cfRule type="containsText" dxfId="1433" priority="10" operator="containsText" text="PSIC">
      <formula>NOT(ISERROR(SEARCH("PSIC",A57)))</formula>
    </cfRule>
    <cfRule type="expression" dxfId="1432" priority="11">
      <formula>OR(A57=21,A57=22,A57=23,A57=24,A57=25,A57=26,A57=27)</formula>
    </cfRule>
  </conditionalFormatting>
  <pageMargins left="0.70866141732283472" right="0.70866141732283472" top="0.74803149606299213" bottom="0.74803149606299213" header="0.31496062992125984" footer="0.31496062992125984"/>
  <pageSetup paperSize="9" scale="71"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K52"/>
  <sheetViews>
    <sheetView showZeros="0" topLeftCell="A28" zoomScaleNormal="100" workbookViewId="0">
      <selection activeCell="H45" sqref="H45"/>
    </sheetView>
  </sheetViews>
  <sheetFormatPr defaultColWidth="10.625" defaultRowHeight="15" x14ac:dyDescent="0.2"/>
  <cols>
    <col min="1" max="1" width="9.01171875" style="135" customWidth="1"/>
    <col min="2" max="2" width="39.546875" style="135" customWidth="1"/>
    <col min="3" max="9" width="8.47265625" style="135" customWidth="1"/>
    <col min="10" max="16384" width="10.625" style="135"/>
  </cols>
  <sheetData>
    <row r="2" spans="1:10" x14ac:dyDescent="0.2">
      <c r="A2" s="200" t="s">
        <v>43</v>
      </c>
      <c r="B2" s="315"/>
      <c r="C2" s="316"/>
      <c r="D2" s="316"/>
      <c r="E2" s="316"/>
      <c r="F2" s="317"/>
      <c r="H2" s="316"/>
      <c r="I2" s="316"/>
    </row>
    <row r="3" spans="1:10" x14ac:dyDescent="0.2">
      <c r="A3" s="318"/>
      <c r="B3" s="316"/>
      <c r="C3" s="316"/>
      <c r="D3" s="316"/>
      <c r="E3" s="316"/>
      <c r="F3" s="316"/>
      <c r="G3" s="316"/>
      <c r="H3" s="316"/>
      <c r="I3" s="316"/>
      <c r="J3" s="366"/>
    </row>
    <row r="4" spans="1:10" ht="18.75" x14ac:dyDescent="0.2">
      <c r="A4" s="319" t="s">
        <v>53</v>
      </c>
      <c r="B4" s="320"/>
      <c r="C4" s="320"/>
      <c r="D4" s="320"/>
      <c r="E4" s="317"/>
      <c r="F4" s="317"/>
      <c r="G4" s="317"/>
      <c r="H4" s="317"/>
      <c r="I4" s="317"/>
    </row>
    <row r="5" spans="1:10" x14ac:dyDescent="0.2">
      <c r="A5" s="321"/>
      <c r="B5" s="317"/>
      <c r="C5" s="317"/>
      <c r="D5" s="317"/>
      <c r="E5" s="317"/>
      <c r="F5" s="317"/>
      <c r="G5" s="317"/>
      <c r="H5" s="317"/>
      <c r="I5" s="317"/>
    </row>
    <row r="6" spans="1:10" x14ac:dyDescent="0.2">
      <c r="A6" s="321"/>
      <c r="B6" s="317"/>
      <c r="C6" s="317"/>
      <c r="D6" s="317"/>
      <c r="E6" s="317"/>
      <c r="F6" s="317"/>
      <c r="G6" s="317"/>
      <c r="H6" s="317"/>
      <c r="I6" s="317"/>
    </row>
    <row r="7" spans="1:10" x14ac:dyDescent="0.2">
      <c r="A7" s="321"/>
      <c r="B7" s="317"/>
      <c r="C7" s="317"/>
      <c r="D7" s="317"/>
      <c r="E7" s="317"/>
      <c r="F7" s="317"/>
      <c r="G7" s="317"/>
      <c r="H7" s="317"/>
      <c r="I7" s="317"/>
    </row>
    <row r="8" spans="1:10" ht="18" x14ac:dyDescent="0.2">
      <c r="A8" s="313" t="s">
        <v>54</v>
      </c>
      <c r="B8" s="322"/>
      <c r="C8" s="683" t="str">
        <f>IF(MONTH(C11)=MONTH(I11),"Semana del dia "&amp;DAY(FECHA!$C$3)&amp;" "&amp;"al "&amp;DAY(FECHA!$C$3+6)&amp;" de "&amp;VLOOKUP(MONTH(FECHA!$C$3),FECHA!$H$2:$I$13,2)&amp;" "&amp;YEAR(I11),"Semana del dia "&amp;DAY(FECHA!$C$3)&amp;" "&amp;VLOOKUP(MONTH(FECHA!$C$3),FECHA!$H$2:$I$13,2)&amp;" "&amp;"al "&amp;DAY(FECHA!$C$3+6)&amp;" de "&amp;VLOOKUP(MONTH(I11),FECHA!$H$2:$I$13,2)&amp;" "&amp;YEAR(I11))</f>
        <v>Semana del dia 8 al 14 de Sep 2025</v>
      </c>
      <c r="D8" s="684"/>
      <c r="E8" s="684"/>
      <c r="F8" s="684"/>
      <c r="G8" s="684"/>
      <c r="H8" s="684"/>
      <c r="I8" s="685"/>
    </row>
    <row r="9" spans="1:10" ht="15.75" thickBot="1" x14ac:dyDescent="0.25">
      <c r="A9" s="133"/>
      <c r="B9" s="133"/>
      <c r="C9" s="133"/>
      <c r="D9" s="133"/>
      <c r="E9" s="133"/>
      <c r="F9" s="133"/>
      <c r="G9" s="133"/>
      <c r="H9" s="133"/>
      <c r="I9" s="133"/>
    </row>
    <row r="10" spans="1:10" ht="18.75" thickTop="1" x14ac:dyDescent="0.2">
      <c r="A10" s="278"/>
      <c r="B10" s="323"/>
      <c r="C10" s="139" t="s">
        <v>26</v>
      </c>
      <c r="D10" s="139" t="s">
        <v>27</v>
      </c>
      <c r="E10" s="139" t="s">
        <v>28</v>
      </c>
      <c r="F10" s="140" t="s">
        <v>29</v>
      </c>
      <c r="G10" s="139" t="s">
        <v>30</v>
      </c>
      <c r="H10" s="139" t="s">
        <v>31</v>
      </c>
      <c r="I10" s="140" t="s">
        <v>32</v>
      </c>
    </row>
    <row r="11" spans="1:10" ht="18.75" thickBot="1" x14ac:dyDescent="0.25">
      <c r="A11" s="281" t="s">
        <v>35</v>
      </c>
      <c r="B11" s="324" t="s">
        <v>33</v>
      </c>
      <c r="C11" s="144">
        <f>DATE(YEAR(FECHA!$C$3),MONTH(FECHA!$C$3),DAY(FECHA!$C$3))</f>
        <v>45908</v>
      </c>
      <c r="D11" s="144">
        <f>C11+1</f>
        <v>45909</v>
      </c>
      <c r="E11" s="144">
        <f t="shared" ref="E11:I11" si="0">D11+1</f>
        <v>45910</v>
      </c>
      <c r="F11" s="144">
        <f t="shared" si="0"/>
        <v>45911</v>
      </c>
      <c r="G11" s="144">
        <f t="shared" si="0"/>
        <v>45912</v>
      </c>
      <c r="H11" s="144">
        <f t="shared" si="0"/>
        <v>45913</v>
      </c>
      <c r="I11" s="144">
        <f t="shared" si="0"/>
        <v>45914</v>
      </c>
      <c r="J11" s="325"/>
    </row>
    <row r="12" spans="1:10" ht="18" customHeight="1" thickTop="1" x14ac:dyDescent="0.2">
      <c r="A12" s="557">
        <v>0</v>
      </c>
      <c r="B12" s="326">
        <v>0</v>
      </c>
      <c r="C12" s="327" t="s">
        <v>204</v>
      </c>
      <c r="D12" s="328" t="s">
        <v>204</v>
      </c>
      <c r="E12" s="328" t="s">
        <v>204</v>
      </c>
      <c r="F12" s="243" t="s">
        <v>204</v>
      </c>
      <c r="G12" s="220" t="s">
        <v>204</v>
      </c>
      <c r="H12" s="328" t="s">
        <v>204</v>
      </c>
      <c r="I12" s="328" t="s">
        <v>204</v>
      </c>
    </row>
    <row r="13" spans="1:10" ht="18" customHeight="1" thickBot="1" x14ac:dyDescent="0.25">
      <c r="A13" s="558">
        <v>2561</v>
      </c>
      <c r="B13" s="329" t="s">
        <v>55</v>
      </c>
      <c r="C13" s="330" t="s">
        <v>34</v>
      </c>
      <c r="D13" s="330" t="s">
        <v>34</v>
      </c>
      <c r="E13" s="330" t="s">
        <v>76</v>
      </c>
      <c r="F13" s="330" t="s">
        <v>76</v>
      </c>
      <c r="G13" s="330" t="s">
        <v>76</v>
      </c>
      <c r="H13" s="330" t="s">
        <v>76</v>
      </c>
      <c r="I13" s="330" t="s">
        <v>76</v>
      </c>
    </row>
    <row r="14" spans="1:10" ht="18" customHeight="1" thickTop="1" x14ac:dyDescent="0.2">
      <c r="A14" s="557">
        <v>0</v>
      </c>
      <c r="B14" s="331">
        <v>0</v>
      </c>
      <c r="C14" s="220" t="s">
        <v>204</v>
      </c>
      <c r="D14" s="328" t="s">
        <v>204</v>
      </c>
      <c r="E14" s="328" t="s">
        <v>204</v>
      </c>
      <c r="F14" s="332" t="s">
        <v>204</v>
      </c>
      <c r="G14" s="328" t="s">
        <v>204</v>
      </c>
      <c r="H14" s="661" t="s">
        <v>204</v>
      </c>
      <c r="I14" s="328" t="s">
        <v>204</v>
      </c>
    </row>
    <row r="15" spans="1:10" ht="18" customHeight="1" thickBot="1" x14ac:dyDescent="0.25">
      <c r="A15" s="558">
        <v>3563</v>
      </c>
      <c r="B15" s="329" t="s">
        <v>130</v>
      </c>
      <c r="C15" s="330" t="s">
        <v>209</v>
      </c>
      <c r="D15" s="330" t="s">
        <v>225</v>
      </c>
      <c r="E15" s="330" t="s">
        <v>221</v>
      </c>
      <c r="F15" s="333" t="s">
        <v>34</v>
      </c>
      <c r="G15" s="334" t="s">
        <v>34</v>
      </c>
      <c r="H15" s="330" t="s">
        <v>209</v>
      </c>
      <c r="I15" s="330" t="s">
        <v>214</v>
      </c>
    </row>
    <row r="16" spans="1:10" ht="18" customHeight="1" thickTop="1" x14ac:dyDescent="0.2">
      <c r="A16" s="557">
        <v>0</v>
      </c>
      <c r="B16" s="331">
        <v>0</v>
      </c>
      <c r="C16" s="220" t="s">
        <v>204</v>
      </c>
      <c r="D16" s="328" t="s">
        <v>204</v>
      </c>
      <c r="E16" s="328" t="s">
        <v>204</v>
      </c>
      <c r="F16" s="332" t="s">
        <v>204</v>
      </c>
      <c r="G16" s="328" t="s">
        <v>204</v>
      </c>
      <c r="H16" s="328" t="s">
        <v>204</v>
      </c>
      <c r="I16" s="328" t="s">
        <v>204</v>
      </c>
    </row>
    <row r="17" spans="1:9" ht="18" customHeight="1" thickBot="1" x14ac:dyDescent="0.25">
      <c r="A17" s="558">
        <v>2209</v>
      </c>
      <c r="B17" s="329" t="s">
        <v>127</v>
      </c>
      <c r="C17" s="330" t="s">
        <v>76</v>
      </c>
      <c r="D17" s="330" t="s">
        <v>76</v>
      </c>
      <c r="E17" s="330" t="s">
        <v>34</v>
      </c>
      <c r="F17" s="333" t="s">
        <v>34</v>
      </c>
      <c r="G17" s="334" t="s">
        <v>76</v>
      </c>
      <c r="H17" s="330" t="s">
        <v>76</v>
      </c>
      <c r="I17" s="330" t="s">
        <v>76</v>
      </c>
    </row>
    <row r="18" spans="1:9" ht="18" customHeight="1" thickTop="1" x14ac:dyDescent="0.2">
      <c r="A18" s="557">
        <v>0</v>
      </c>
      <c r="B18" s="336">
        <v>0</v>
      </c>
      <c r="C18" s="220" t="s">
        <v>204</v>
      </c>
      <c r="D18" s="328" t="s">
        <v>204</v>
      </c>
      <c r="E18" s="328" t="s">
        <v>204</v>
      </c>
      <c r="F18" s="332" t="s">
        <v>204</v>
      </c>
      <c r="G18" s="328" t="s">
        <v>204</v>
      </c>
      <c r="H18" s="328" t="s">
        <v>204</v>
      </c>
      <c r="I18" s="328" t="s">
        <v>204</v>
      </c>
    </row>
    <row r="19" spans="1:9" ht="18" customHeight="1" thickBot="1" x14ac:dyDescent="0.25">
      <c r="A19" s="558">
        <v>1599</v>
      </c>
      <c r="B19" s="337" t="s">
        <v>235</v>
      </c>
      <c r="C19" s="330" t="s">
        <v>221</v>
      </c>
      <c r="D19" s="330" t="s">
        <v>233</v>
      </c>
      <c r="E19" s="330" t="s">
        <v>216</v>
      </c>
      <c r="F19" s="333" t="s">
        <v>215</v>
      </c>
      <c r="G19" s="334" t="s">
        <v>215</v>
      </c>
      <c r="H19" s="330" t="s">
        <v>34</v>
      </c>
      <c r="I19" s="330" t="s">
        <v>34</v>
      </c>
    </row>
    <row r="20" spans="1:9" ht="18" customHeight="1" thickTop="1" x14ac:dyDescent="0.2">
      <c r="A20" s="557">
        <v>0</v>
      </c>
      <c r="B20" s="331">
        <v>0</v>
      </c>
      <c r="C20" s="220" t="s">
        <v>204</v>
      </c>
      <c r="D20" s="284" t="s">
        <v>204</v>
      </c>
      <c r="E20" s="328" t="s">
        <v>204</v>
      </c>
      <c r="F20" s="332" t="s">
        <v>204</v>
      </c>
      <c r="G20" s="328" t="s">
        <v>204</v>
      </c>
      <c r="H20" s="661" t="s">
        <v>204</v>
      </c>
      <c r="I20" s="328" t="s">
        <v>204</v>
      </c>
    </row>
    <row r="21" spans="1:9" ht="18" customHeight="1" thickBot="1" x14ac:dyDescent="0.25">
      <c r="A21" s="558">
        <v>1508</v>
      </c>
      <c r="B21" s="329" t="s">
        <v>152</v>
      </c>
      <c r="C21" s="330" t="s">
        <v>212</v>
      </c>
      <c r="D21" s="330" t="s">
        <v>34</v>
      </c>
      <c r="E21" s="330" t="s">
        <v>34</v>
      </c>
      <c r="F21" s="333" t="s">
        <v>211</v>
      </c>
      <c r="G21" s="334" t="s">
        <v>211</v>
      </c>
      <c r="H21" s="330" t="s">
        <v>221</v>
      </c>
      <c r="I21" s="330" t="s">
        <v>232</v>
      </c>
    </row>
    <row r="22" spans="1:9" ht="18" customHeight="1" thickTop="1" x14ac:dyDescent="0.2">
      <c r="A22" s="557">
        <v>0</v>
      </c>
      <c r="B22" s="662">
        <v>0</v>
      </c>
      <c r="C22" s="442" t="s">
        <v>204</v>
      </c>
      <c r="D22" s="661" t="s">
        <v>204</v>
      </c>
      <c r="E22" s="661" t="s">
        <v>204</v>
      </c>
      <c r="F22" s="663" t="s">
        <v>204</v>
      </c>
      <c r="G22" s="661" t="s">
        <v>204</v>
      </c>
      <c r="H22" s="661" t="s">
        <v>204</v>
      </c>
      <c r="I22" s="661" t="s">
        <v>204</v>
      </c>
    </row>
    <row r="23" spans="1:9" ht="18" customHeight="1" thickBot="1" x14ac:dyDescent="0.25">
      <c r="A23" s="558">
        <v>3039</v>
      </c>
      <c r="B23" s="528" t="s">
        <v>153</v>
      </c>
      <c r="C23" s="567" t="s">
        <v>34</v>
      </c>
      <c r="D23" s="567" t="s">
        <v>77</v>
      </c>
      <c r="E23" s="567" t="s">
        <v>77</v>
      </c>
      <c r="F23" s="664" t="s">
        <v>77</v>
      </c>
      <c r="G23" s="567" t="s">
        <v>77</v>
      </c>
      <c r="H23" s="567" t="s">
        <v>34</v>
      </c>
      <c r="I23" s="567" t="s">
        <v>34</v>
      </c>
    </row>
    <row r="24" spans="1:9" ht="18" customHeight="1" thickTop="1" x14ac:dyDescent="0.2">
      <c r="A24" s="557">
        <v>0</v>
      </c>
      <c r="B24" s="331">
        <v>0</v>
      </c>
      <c r="C24" s="284" t="s">
        <v>204</v>
      </c>
      <c r="D24" s="328" t="s">
        <v>204</v>
      </c>
      <c r="E24" s="328" t="s">
        <v>204</v>
      </c>
      <c r="F24" s="332" t="s">
        <v>204</v>
      </c>
      <c r="G24" s="328" t="s">
        <v>204</v>
      </c>
      <c r="H24" s="328" t="s">
        <v>204</v>
      </c>
      <c r="I24" s="328" t="s">
        <v>204</v>
      </c>
    </row>
    <row r="25" spans="1:9" ht="18" customHeight="1" thickBot="1" x14ac:dyDescent="0.25">
      <c r="A25" s="558">
        <v>1099</v>
      </c>
      <c r="B25" s="329" t="s">
        <v>56</v>
      </c>
      <c r="C25" s="330" t="s">
        <v>207</v>
      </c>
      <c r="D25" s="330" t="s">
        <v>210</v>
      </c>
      <c r="E25" s="330" t="s">
        <v>209</v>
      </c>
      <c r="F25" s="333" t="s">
        <v>34</v>
      </c>
      <c r="G25" s="334" t="s">
        <v>34</v>
      </c>
      <c r="H25" s="330" t="s">
        <v>216</v>
      </c>
      <c r="I25" s="330" t="s">
        <v>220</v>
      </c>
    </row>
    <row r="26" spans="1:9" ht="18" customHeight="1" thickTop="1" x14ac:dyDescent="0.2">
      <c r="A26" s="557">
        <v>0</v>
      </c>
      <c r="B26" s="331">
        <v>0</v>
      </c>
      <c r="C26" s="220" t="s">
        <v>204</v>
      </c>
      <c r="D26" s="328" t="s">
        <v>204</v>
      </c>
      <c r="E26" s="328" t="s">
        <v>204</v>
      </c>
      <c r="F26" s="332" t="s">
        <v>204</v>
      </c>
      <c r="G26" s="328" t="s">
        <v>204</v>
      </c>
      <c r="H26" s="328" t="s">
        <v>204</v>
      </c>
      <c r="I26" s="328" t="s">
        <v>204</v>
      </c>
    </row>
    <row r="27" spans="1:9" ht="18" customHeight="1" thickBot="1" x14ac:dyDescent="0.25">
      <c r="A27" s="558">
        <v>3486</v>
      </c>
      <c r="B27" s="329" t="s">
        <v>154</v>
      </c>
      <c r="C27" s="330" t="s">
        <v>34</v>
      </c>
      <c r="D27" s="330" t="s">
        <v>34</v>
      </c>
      <c r="E27" s="330" t="s">
        <v>34</v>
      </c>
      <c r="F27" s="333" t="s">
        <v>34</v>
      </c>
      <c r="G27" s="334" t="s">
        <v>34</v>
      </c>
      <c r="H27" s="330" t="s">
        <v>34</v>
      </c>
      <c r="I27" s="330" t="s">
        <v>34</v>
      </c>
    </row>
    <row r="28" spans="1:9" ht="18" customHeight="1" thickTop="1" x14ac:dyDescent="0.2">
      <c r="A28" s="557">
        <v>0</v>
      </c>
      <c r="B28" s="331">
        <v>0</v>
      </c>
      <c r="C28" s="328" t="s">
        <v>204</v>
      </c>
      <c r="D28" s="328" t="s">
        <v>204</v>
      </c>
      <c r="E28" s="328" t="s">
        <v>204</v>
      </c>
      <c r="F28" s="243" t="s">
        <v>204</v>
      </c>
      <c r="G28" s="220" t="s">
        <v>204</v>
      </c>
      <c r="H28" s="328" t="s">
        <v>204</v>
      </c>
      <c r="I28" s="328" t="s">
        <v>204</v>
      </c>
    </row>
    <row r="29" spans="1:9" ht="18" customHeight="1" thickBot="1" x14ac:dyDescent="0.25">
      <c r="A29" s="558">
        <v>3423</v>
      </c>
      <c r="B29" s="329" t="s">
        <v>155</v>
      </c>
      <c r="C29" s="330" t="s">
        <v>34</v>
      </c>
      <c r="D29" s="330" t="s">
        <v>231</v>
      </c>
      <c r="E29" s="330" t="s">
        <v>216</v>
      </c>
      <c r="F29" s="330" t="s">
        <v>219</v>
      </c>
      <c r="G29" s="338" t="s">
        <v>205</v>
      </c>
      <c r="H29" s="330" t="s">
        <v>34</v>
      </c>
      <c r="I29" s="330" t="s">
        <v>34</v>
      </c>
    </row>
    <row r="30" spans="1:9" ht="18" customHeight="1" thickTop="1" x14ac:dyDescent="0.2">
      <c r="A30" s="557">
        <v>0</v>
      </c>
      <c r="B30" s="331">
        <v>0</v>
      </c>
      <c r="C30" s="220" t="s">
        <v>204</v>
      </c>
      <c r="D30" s="328" t="s">
        <v>204</v>
      </c>
      <c r="E30" s="328" t="s">
        <v>204</v>
      </c>
      <c r="F30" s="627" t="s">
        <v>204</v>
      </c>
      <c r="G30" s="328" t="s">
        <v>204</v>
      </c>
      <c r="H30" s="332" t="s">
        <v>204</v>
      </c>
      <c r="I30" s="328" t="s">
        <v>204</v>
      </c>
    </row>
    <row r="31" spans="1:9" ht="18" customHeight="1" thickBot="1" x14ac:dyDescent="0.25">
      <c r="A31" s="558">
        <v>3490</v>
      </c>
      <c r="B31" s="329" t="s">
        <v>131</v>
      </c>
      <c r="C31" s="330" t="s">
        <v>216</v>
      </c>
      <c r="D31" s="330" t="s">
        <v>217</v>
      </c>
      <c r="E31" s="330" t="s">
        <v>207</v>
      </c>
      <c r="F31" s="628" t="s">
        <v>34</v>
      </c>
      <c r="G31" s="225" t="s">
        <v>34</v>
      </c>
      <c r="H31" s="333" t="s">
        <v>212</v>
      </c>
      <c r="I31" s="330" t="s">
        <v>224</v>
      </c>
    </row>
    <row r="32" spans="1:9" ht="18" customHeight="1" thickTop="1" x14ac:dyDescent="0.2">
      <c r="A32" s="557">
        <v>0</v>
      </c>
      <c r="B32" s="331">
        <v>0</v>
      </c>
      <c r="C32" s="220" t="s">
        <v>204</v>
      </c>
      <c r="D32" s="328" t="s">
        <v>204</v>
      </c>
      <c r="E32" s="328" t="s">
        <v>204</v>
      </c>
      <c r="F32" s="332" t="s">
        <v>204</v>
      </c>
      <c r="G32" s="328" t="s">
        <v>204</v>
      </c>
      <c r="H32" s="661" t="s">
        <v>204</v>
      </c>
      <c r="I32" s="328" t="s">
        <v>204</v>
      </c>
    </row>
    <row r="33" spans="1:11" ht="18" customHeight="1" thickBot="1" x14ac:dyDescent="0.25">
      <c r="A33" s="558">
        <v>3389</v>
      </c>
      <c r="B33" s="329" t="s">
        <v>124</v>
      </c>
      <c r="C33" s="330" t="s">
        <v>34</v>
      </c>
      <c r="D33" s="330" t="s">
        <v>34</v>
      </c>
      <c r="E33" s="330" t="s">
        <v>34</v>
      </c>
      <c r="F33" s="333" t="s">
        <v>34</v>
      </c>
      <c r="G33" s="334" t="s">
        <v>34</v>
      </c>
      <c r="H33" s="330" t="s">
        <v>207</v>
      </c>
      <c r="I33" s="330" t="s">
        <v>222</v>
      </c>
    </row>
    <row r="34" spans="1:11" ht="18" customHeight="1" thickTop="1" x14ac:dyDescent="0.2">
      <c r="A34" s="557">
        <v>0</v>
      </c>
      <c r="B34" s="336">
        <v>0</v>
      </c>
      <c r="C34" s="220" t="s">
        <v>204</v>
      </c>
      <c r="D34" s="328" t="s">
        <v>204</v>
      </c>
      <c r="E34" s="328" t="s">
        <v>204</v>
      </c>
      <c r="F34" s="332" t="s">
        <v>204</v>
      </c>
      <c r="G34" s="328" t="s">
        <v>204</v>
      </c>
      <c r="H34" s="328" t="s">
        <v>204</v>
      </c>
      <c r="I34" s="328" t="s">
        <v>204</v>
      </c>
    </row>
    <row r="35" spans="1:11" ht="18" customHeight="1" thickBot="1" x14ac:dyDescent="0.25">
      <c r="A35" s="558">
        <v>3256</v>
      </c>
      <c r="B35" s="398" t="s">
        <v>156</v>
      </c>
      <c r="C35" s="330" t="s">
        <v>34</v>
      </c>
      <c r="D35" s="330" t="s">
        <v>233</v>
      </c>
      <c r="E35" s="330" t="s">
        <v>218</v>
      </c>
      <c r="F35" s="333" t="s">
        <v>208</v>
      </c>
      <c r="G35" s="334" t="s">
        <v>219</v>
      </c>
      <c r="H35" s="330" t="s">
        <v>34</v>
      </c>
      <c r="I35" s="330" t="s">
        <v>34</v>
      </c>
    </row>
    <row r="36" spans="1:11" ht="18" customHeight="1" thickTop="1" x14ac:dyDescent="0.2">
      <c r="A36" s="467">
        <v>0</v>
      </c>
      <c r="B36" s="505">
        <v>0</v>
      </c>
      <c r="C36" s="339">
        <v>0</v>
      </c>
      <c r="D36" s="338">
        <v>0</v>
      </c>
      <c r="E36" s="338">
        <v>0</v>
      </c>
      <c r="F36" s="339">
        <v>0</v>
      </c>
      <c r="G36" s="340">
        <v>0</v>
      </c>
      <c r="H36" s="338">
        <v>0</v>
      </c>
      <c r="I36" s="338">
        <v>0</v>
      </c>
    </row>
    <row r="37" spans="1:11" ht="18" customHeight="1" thickBot="1" x14ac:dyDescent="0.25">
      <c r="A37" s="433">
        <v>3554</v>
      </c>
      <c r="B37" s="398" t="s">
        <v>226</v>
      </c>
      <c r="C37" s="333" t="s">
        <v>34</v>
      </c>
      <c r="D37" s="330" t="s">
        <v>223</v>
      </c>
      <c r="E37" s="330" t="s">
        <v>212</v>
      </c>
      <c r="F37" s="333" t="s">
        <v>213</v>
      </c>
      <c r="G37" s="334" t="s">
        <v>208</v>
      </c>
      <c r="H37" s="330" t="s">
        <v>34</v>
      </c>
      <c r="I37" s="330" t="s">
        <v>34</v>
      </c>
      <c r="K37" s="366"/>
    </row>
    <row r="38" spans="1:11" ht="18" customHeight="1" thickTop="1" x14ac:dyDescent="0.2">
      <c r="A38" s="467"/>
      <c r="B38" s="468"/>
      <c r="C38" s="339">
        <v>0</v>
      </c>
      <c r="D38" s="338">
        <v>0</v>
      </c>
      <c r="E38" s="338">
        <v>0</v>
      </c>
      <c r="F38" s="339">
        <v>0</v>
      </c>
      <c r="G38" s="340">
        <v>0</v>
      </c>
      <c r="H38" s="338">
        <v>0</v>
      </c>
      <c r="I38" s="338">
        <v>0</v>
      </c>
    </row>
    <row r="39" spans="1:11" ht="18" customHeight="1" thickBot="1" x14ac:dyDescent="0.25">
      <c r="A39" s="433">
        <v>3083</v>
      </c>
      <c r="B39" s="619" t="s">
        <v>227</v>
      </c>
      <c r="C39" s="333" t="s">
        <v>218</v>
      </c>
      <c r="D39" s="330" t="s">
        <v>34</v>
      </c>
      <c r="E39" s="330" t="s">
        <v>207</v>
      </c>
      <c r="F39" s="333" t="s">
        <v>205</v>
      </c>
      <c r="G39" s="334" t="s">
        <v>213</v>
      </c>
      <c r="H39" s="330" t="s">
        <v>218</v>
      </c>
      <c r="I39" s="330" t="s">
        <v>206</v>
      </c>
    </row>
    <row r="40" spans="1:11" ht="21" thickTop="1" x14ac:dyDescent="0.25">
      <c r="A40" s="335"/>
      <c r="B40" s="618"/>
      <c r="C40" s="220">
        <v>0</v>
      </c>
      <c r="D40" s="328">
        <v>0</v>
      </c>
      <c r="E40" s="328">
        <v>0</v>
      </c>
      <c r="F40" s="332">
        <v>0</v>
      </c>
      <c r="G40" s="328">
        <v>0</v>
      </c>
      <c r="H40" s="328">
        <v>0</v>
      </c>
      <c r="I40" s="328">
        <v>0</v>
      </c>
    </row>
    <row r="41" spans="1:11" ht="18.75" thickBot="1" x14ac:dyDescent="0.25">
      <c r="A41" s="216"/>
      <c r="B41" s="398"/>
      <c r="C41" s="330"/>
      <c r="D41" s="330"/>
      <c r="E41" s="330"/>
      <c r="F41" s="333"/>
      <c r="G41" s="567"/>
      <c r="H41" s="567"/>
      <c r="I41" s="330"/>
    </row>
    <row r="42" spans="1:11" ht="18.75" thickTop="1" x14ac:dyDescent="0.2">
      <c r="A42" s="467"/>
      <c r="B42" s="468"/>
      <c r="C42" s="339">
        <v>0</v>
      </c>
      <c r="D42" s="338">
        <v>0</v>
      </c>
      <c r="E42" s="338">
        <v>0</v>
      </c>
      <c r="F42" s="339">
        <v>0</v>
      </c>
      <c r="G42" s="443">
        <v>0</v>
      </c>
      <c r="H42" s="443">
        <v>0</v>
      </c>
      <c r="I42" s="338">
        <v>0</v>
      </c>
    </row>
    <row r="43" spans="1:11" ht="18.75" thickBot="1" x14ac:dyDescent="0.25">
      <c r="A43" s="216"/>
      <c r="B43" s="398"/>
      <c r="C43" s="333">
        <v>0</v>
      </c>
      <c r="D43" s="330">
        <v>0</v>
      </c>
      <c r="E43" s="330">
        <v>0</v>
      </c>
      <c r="F43" s="333">
        <v>0</v>
      </c>
      <c r="G43" s="567">
        <v>0</v>
      </c>
      <c r="H43" s="567">
        <v>0</v>
      </c>
      <c r="I43" s="330">
        <v>0</v>
      </c>
    </row>
    <row r="44" spans="1:11" ht="18.75" thickTop="1" x14ac:dyDescent="0.2">
      <c r="A44" s="259"/>
      <c r="B44" s="260">
        <v>618617845</v>
      </c>
      <c r="C44" s="495"/>
      <c r="D44" s="198"/>
      <c r="E44" s="198"/>
      <c r="F44" s="198"/>
      <c r="G44" s="198"/>
      <c r="H44" s="198">
        <v>0</v>
      </c>
      <c r="I44" s="198">
        <v>0</v>
      </c>
    </row>
    <row r="45" spans="1:11" ht="18.75" thickBot="1" x14ac:dyDescent="0.25">
      <c r="A45" s="261">
        <v>1596</v>
      </c>
      <c r="B45" s="262" t="s">
        <v>134</v>
      </c>
      <c r="C45" s="263" t="s">
        <v>80</v>
      </c>
      <c r="D45" s="263" t="s">
        <v>117</v>
      </c>
      <c r="E45" s="263" t="s">
        <v>80</v>
      </c>
      <c r="F45" s="263" t="s">
        <v>80</v>
      </c>
      <c r="G45" s="263" t="s">
        <v>80</v>
      </c>
      <c r="H45" s="263" t="s">
        <v>34</v>
      </c>
      <c r="I45" s="263" t="s">
        <v>34</v>
      </c>
    </row>
    <row r="46" spans="1:11" ht="21" thickTop="1" x14ac:dyDescent="0.25">
      <c r="A46" s="341"/>
      <c r="B46" s="342">
        <v>619824402</v>
      </c>
      <c r="C46" s="496"/>
      <c r="D46" s="496"/>
      <c r="E46" s="198"/>
      <c r="F46" s="198"/>
      <c r="G46" s="198"/>
      <c r="H46" s="198">
        <v>0</v>
      </c>
      <c r="I46" s="198">
        <v>0</v>
      </c>
    </row>
    <row r="47" spans="1:11" ht="21" thickBot="1" x14ac:dyDescent="0.3">
      <c r="A47" s="343">
        <v>2337</v>
      </c>
      <c r="B47" s="344" t="s">
        <v>135</v>
      </c>
      <c r="C47" s="263" t="s">
        <v>76</v>
      </c>
      <c r="D47" s="263" t="s">
        <v>76</v>
      </c>
      <c r="E47" s="263" t="s">
        <v>76</v>
      </c>
      <c r="F47" s="263" t="s">
        <v>76</v>
      </c>
      <c r="G47" s="263" t="s">
        <v>76</v>
      </c>
      <c r="H47" s="263" t="s">
        <v>34</v>
      </c>
      <c r="I47" s="263" t="s">
        <v>34</v>
      </c>
    </row>
    <row r="48" spans="1:11" ht="18.75" thickTop="1" x14ac:dyDescent="0.2">
      <c r="A48" s="259"/>
      <c r="B48" s="345">
        <v>689983234</v>
      </c>
      <c r="C48" s="304"/>
      <c r="D48" s="304"/>
      <c r="E48" s="304"/>
      <c r="F48" s="304"/>
      <c r="G48" s="304"/>
      <c r="H48" s="304">
        <v>0</v>
      </c>
      <c r="I48" s="304">
        <v>0</v>
      </c>
    </row>
    <row r="49" spans="1:9" ht="18.75" thickBot="1" x14ac:dyDescent="0.25">
      <c r="A49" s="261">
        <v>2339</v>
      </c>
      <c r="B49" s="346" t="s">
        <v>151</v>
      </c>
      <c r="C49" s="263" t="s">
        <v>80</v>
      </c>
      <c r="D49" s="263" t="s">
        <v>80</v>
      </c>
      <c r="E49" s="263" t="s">
        <v>80</v>
      </c>
      <c r="F49" s="263" t="s">
        <v>80</v>
      </c>
      <c r="G49" s="263" t="s">
        <v>80</v>
      </c>
      <c r="H49" s="263" t="s">
        <v>34</v>
      </c>
      <c r="I49" s="263" t="s">
        <v>34</v>
      </c>
    </row>
    <row r="50" spans="1:9" ht="16.5" thickTop="1" thickBot="1" x14ac:dyDescent="0.25"/>
    <row r="51" spans="1:9" x14ac:dyDescent="0.2">
      <c r="C51" s="498"/>
      <c r="D51" s="499"/>
      <c r="E51" s="500"/>
    </row>
    <row r="52" spans="1:9" ht="15.75" thickBot="1" x14ac:dyDescent="0.25">
      <c r="C52" s="501"/>
      <c r="D52" s="502"/>
      <c r="E52" s="503"/>
    </row>
  </sheetData>
  <sheetProtection algorithmName="SHA-512" hashValue="o90mD3KCiXcDW7pcFicMaC0/D0Ijv3oA3sidrV9Btu8gcXd7bPgZAgSAXX1BWiu7/8NdryinbCiUTj1QwXUjdg==" saltValue="CCe4kN3eINQtze+ksQFSdg==" spinCount="100000" sheet="1" objects="1" scenarios="1"/>
  <mergeCells count="1">
    <mergeCell ref="C8:I8"/>
  </mergeCells>
  <conditionalFormatting sqref="C20 E20:I20">
    <cfRule type="cellIs" dxfId="1431" priority="70" operator="equal">
      <formula>"CU1"</formula>
    </cfRule>
  </conditionalFormatting>
  <conditionalFormatting sqref="C24">
    <cfRule type="containsText" dxfId="1430" priority="57" operator="containsText" text="CU">
      <formula>NOT(ISERROR(SEARCH("CU",C24)))</formula>
    </cfRule>
    <cfRule type="cellIs" dxfId="1429" priority="58" operator="equal">
      <formula>"jui"</formula>
    </cfRule>
    <cfRule type="cellIs" dxfId="1428" priority="59" operator="equal">
      <formula>"CU1"</formula>
    </cfRule>
  </conditionalFormatting>
  <conditionalFormatting sqref="C8:I8">
    <cfRule type="cellIs" dxfId="1427" priority="129" stopIfTrue="1" operator="equal">
      <formula>"E1"</formula>
    </cfRule>
    <cfRule type="cellIs" dxfId="1426" priority="130" stopIfTrue="1" operator="equal">
      <formula>"E2"</formula>
    </cfRule>
  </conditionalFormatting>
  <conditionalFormatting sqref="C10:I10 J11">
    <cfRule type="cellIs" dxfId="1425" priority="303" operator="equal">
      <formula>"CU2T"</formula>
    </cfRule>
    <cfRule type="cellIs" dxfId="1424" priority="304" operator="equal">
      <formula>"CU2M"</formula>
    </cfRule>
  </conditionalFormatting>
  <conditionalFormatting sqref="C14:I19">
    <cfRule type="cellIs" dxfId="1423" priority="71" operator="equal">
      <formula>"CU1"</formula>
    </cfRule>
  </conditionalFormatting>
  <conditionalFormatting sqref="C21:I23">
    <cfRule type="cellIs" dxfId="1422" priority="67" operator="equal">
      <formula>"CU1"</formula>
    </cfRule>
  </conditionalFormatting>
  <conditionalFormatting sqref="C25:I27">
    <cfRule type="cellIs" dxfId="1421" priority="63" operator="equal">
      <formula>"CU1"</formula>
    </cfRule>
  </conditionalFormatting>
  <conditionalFormatting sqref="C30:I30 C32:I37 C31:F31 H31:I31">
    <cfRule type="cellIs" dxfId="1420" priority="54" operator="equal">
      <formula>"CU1"</formula>
    </cfRule>
  </conditionalFormatting>
  <conditionalFormatting sqref="C48:I49">
    <cfRule type="cellIs" dxfId="1419" priority="46" operator="equal">
      <formula>"CU2T"</formula>
    </cfRule>
    <cfRule type="cellIs" priority="47" operator="equal">
      <formula>"CU2T"</formula>
    </cfRule>
    <cfRule type="cellIs" dxfId="1418" priority="48" operator="equal">
      <formula>"CU2M"</formula>
    </cfRule>
    <cfRule type="cellIs" dxfId="1417" priority="49" operator="equal">
      <formula>"CU1"</formula>
    </cfRule>
  </conditionalFormatting>
  <conditionalFormatting sqref="D20">
    <cfRule type="containsText" dxfId="1416" priority="60" operator="containsText" text="CU">
      <formula>NOT(ISERROR(SEARCH("CU",D20)))</formula>
    </cfRule>
    <cfRule type="cellIs" dxfId="1415" priority="61" operator="equal">
      <formula>"jui"</formula>
    </cfRule>
    <cfRule type="cellIs" dxfId="1414" priority="62" operator="equal">
      <formula>"CU1"</formula>
    </cfRule>
  </conditionalFormatting>
  <conditionalFormatting sqref="D12:I13 C13">
    <cfRule type="cellIs" dxfId="1413" priority="77" operator="equal">
      <formula>"CU1"</formula>
    </cfRule>
  </conditionalFormatting>
  <conditionalFormatting sqref="D24:I24">
    <cfRule type="cellIs" dxfId="1412" priority="66" operator="equal">
      <formula>"CU1"</formula>
    </cfRule>
  </conditionalFormatting>
  <conditionalFormatting sqref="D28:I29 C29">
    <cfRule type="cellIs" dxfId="1411" priority="81" operator="equal">
      <formula>"CU1"</formula>
    </cfRule>
  </conditionalFormatting>
  <conditionalFormatting sqref="C11:I11">
    <cfRule type="cellIs" dxfId="1410" priority="45" operator="equal">
      <formula>"CU2M"</formula>
    </cfRule>
  </conditionalFormatting>
  <conditionalFormatting sqref="C11:I11">
    <cfRule type="cellIs" dxfId="1409" priority="44" operator="equal">
      <formula>"CU2T"</formula>
    </cfRule>
  </conditionalFormatting>
  <conditionalFormatting sqref="C12:I30 C32:I37 C31:F31 H31:I31">
    <cfRule type="containsText" dxfId="1408" priority="43" operator="containsText" text="cu">
      <formula>NOT(ISERROR(SEARCH("cu",C12)))</formula>
    </cfRule>
  </conditionalFormatting>
  <conditionalFormatting sqref="C28">
    <cfRule type="cellIs" dxfId="1407" priority="42" operator="equal">
      <formula>"CU1"</formula>
    </cfRule>
  </conditionalFormatting>
  <conditionalFormatting sqref="C12:I30 C32:I35 C31:F31 H31:I31">
    <cfRule type="containsText" dxfId="1406" priority="36" operator="containsText" text="cu2">
      <formula>NOT(ISERROR(SEARCH("cu2",C12)))</formula>
    </cfRule>
  </conditionalFormatting>
  <conditionalFormatting sqref="B36">
    <cfRule type="cellIs" dxfId="1405" priority="35" stopIfTrue="1" operator="equal">
      <formula>"CU"</formula>
    </cfRule>
  </conditionalFormatting>
  <conditionalFormatting sqref="C40:I43">
    <cfRule type="cellIs" dxfId="1404" priority="34" operator="equal">
      <formula>"CU1"</formula>
    </cfRule>
  </conditionalFormatting>
  <conditionalFormatting sqref="C40:I43">
    <cfRule type="containsText" dxfId="1403" priority="33" operator="containsText" text="cu">
      <formula>NOT(ISERROR(SEARCH("cu",C40)))</formula>
    </cfRule>
  </conditionalFormatting>
  <conditionalFormatting sqref="C40:I41">
    <cfRule type="containsText" dxfId="1402" priority="32" operator="containsText" text="cu2">
      <formula>NOT(ISERROR(SEARCH("cu2",C40)))</formula>
    </cfRule>
  </conditionalFormatting>
  <conditionalFormatting sqref="B42">
    <cfRule type="cellIs" dxfId="1401" priority="31" stopIfTrue="1" operator="equal">
      <formula>"CU"</formula>
    </cfRule>
  </conditionalFormatting>
  <conditionalFormatting sqref="C38:I39">
    <cfRule type="cellIs" dxfId="1400" priority="30" operator="equal">
      <formula>"CU1"</formula>
    </cfRule>
  </conditionalFormatting>
  <conditionalFormatting sqref="C38:I39">
    <cfRule type="containsText" dxfId="1399" priority="29" operator="containsText" text="cu">
      <formula>NOT(ISERROR(SEARCH("cu",C38)))</formula>
    </cfRule>
  </conditionalFormatting>
  <conditionalFormatting sqref="B38">
    <cfRule type="cellIs" dxfId="1398" priority="28" stopIfTrue="1" operator="equal">
      <formula>"CU"</formula>
    </cfRule>
  </conditionalFormatting>
  <conditionalFormatting sqref="A13">
    <cfRule type="expression" dxfId="1397" priority="15" stopIfTrue="1">
      <formula>OR($Z13&gt;1,$AA13&gt;1,$AB13&gt;1,$AC13&gt;1,$AD13&gt;1,$AE13&gt;1,$AF13&gt;1)</formula>
    </cfRule>
  </conditionalFormatting>
  <conditionalFormatting sqref="A15">
    <cfRule type="expression" dxfId="1396" priority="26">
      <formula>OR($Z15&gt;1,$AA15&gt;1,$AB15&gt;1,$AC15&gt;1,$AD15&gt;1,$AE15&gt;1,$AF15&gt;1)</formula>
    </cfRule>
  </conditionalFormatting>
  <conditionalFormatting sqref="A17">
    <cfRule type="expression" dxfId="1395" priority="25">
      <formula>OR($Z17&gt;1,$AA17&gt;1,$AB17&gt;1,$AC17&gt;1,$AD17&gt;1,$AE17&gt;1,$AF17&gt;1)</formula>
    </cfRule>
  </conditionalFormatting>
  <conditionalFormatting sqref="A19">
    <cfRule type="expression" dxfId="1394" priority="24">
      <formula>OR($Z19&gt;1,$AA19&gt;1,$AB19&gt;1,$AC19&gt;1,$AD19&gt;1,$AE19&gt;1,$AF19&gt;1)</formula>
    </cfRule>
  </conditionalFormatting>
  <conditionalFormatting sqref="A21">
    <cfRule type="expression" dxfId="1393" priority="23">
      <formula>OR($Z21&gt;1,$AA21&gt;1,$AB21&gt;1,$AC21&gt;1,$AD21&gt;1,$AE21&gt;1,$AF21&gt;1)</formula>
    </cfRule>
  </conditionalFormatting>
  <conditionalFormatting sqref="A23">
    <cfRule type="expression" dxfId="1392" priority="22">
      <formula>OR($Z23&gt;1,$AA23&gt;1,$AB23&gt;1,$AC23&gt;1,$AD23&gt;1,$AE23&gt;1,$AF23&gt;1)</formula>
    </cfRule>
  </conditionalFormatting>
  <conditionalFormatting sqref="A25">
    <cfRule type="expression" dxfId="1391" priority="21">
      <formula>OR($Z25&gt;1,$AA25&gt;1,$AB25&gt;1,$AC25&gt;1,$AD25&gt;1,$AE25&gt;1,$AF25&gt;1)</formula>
    </cfRule>
  </conditionalFormatting>
  <conditionalFormatting sqref="A27">
    <cfRule type="expression" dxfId="1390" priority="20">
      <formula>OR($Z27&gt;1,$AA27&gt;1,$AB27&gt;1,$AC27&gt;1,$AD27&gt;1,$AE27&gt;1,$AF27&gt;1)</formula>
    </cfRule>
  </conditionalFormatting>
  <conditionalFormatting sqref="A29">
    <cfRule type="expression" dxfId="1389" priority="19">
      <formula>OR($Z29&gt;1,$AA29&gt;1,$AB29&gt;1,$AC29&gt;1,$AD29&gt;1,$AE29&gt;1,$AF29&gt;1)</formula>
    </cfRule>
  </conditionalFormatting>
  <conditionalFormatting sqref="A31">
    <cfRule type="expression" dxfId="1388" priority="18">
      <formula>OR($Z31&gt;1,$AA31&gt;1,$AB31&gt;1,$AC31&gt;1,$AD31&gt;1,$AE31&gt;1,$AF31&gt;1)</formula>
    </cfRule>
  </conditionalFormatting>
  <conditionalFormatting sqref="A33">
    <cfRule type="expression" dxfId="1387" priority="17">
      <formula>OR($Z33&gt;1,$AA33&gt;1,$AB33&gt;1,$AC33&gt;1,$AD33&gt;1,$AE33&gt;1,$AF33&gt;1)</formula>
    </cfRule>
  </conditionalFormatting>
  <conditionalFormatting sqref="A35">
    <cfRule type="expression" dxfId="1386" priority="16">
      <formula>OR($Z35&gt;1,$AA35&gt;1,$AB35&gt;1,$AC35&gt;1,$AD35&gt;1,$AE35&gt;1,$AF35&gt;1)</formula>
    </cfRule>
  </conditionalFormatting>
  <conditionalFormatting sqref="A13:A35">
    <cfRule type="expression" dxfId="1385" priority="27">
      <formula>OR(AND(AH13&lt;&gt;0,AH13&lt;sietehoras),AND(AI13&lt;&gt;0,AI13&lt;sietehoras),AND(AJ13&lt;&gt;0,AJ13&lt;sietehoras),AND(AK13&lt;&gt;0,AK13&lt;sietehoras),AND(AL13&lt;&gt;0,AL13&lt;sietehoras),AND(AM13&lt;&gt;0,AM13&lt;sietehoras),AND(AN13&lt;&gt;0,AN13&lt;sietehoras),AND(AO13&lt;&gt;0,AO13&lt;sietehoras))</formula>
    </cfRule>
  </conditionalFormatting>
  <conditionalFormatting sqref="A37 C12:I30 C32:I35 C31:F31 H31:I31">
    <cfRule type="containsText" dxfId="1384" priority="14" operator="containsText" text="CU2">
      <formula>NOT(ISERROR(SEARCH("CU2",A12)))</formula>
    </cfRule>
  </conditionalFormatting>
  <conditionalFormatting sqref="G31">
    <cfRule type="cellIs" dxfId="1383" priority="13" operator="equal">
      <formula>"CU1"</formula>
    </cfRule>
  </conditionalFormatting>
  <conditionalFormatting sqref="G31">
    <cfRule type="containsText" dxfId="1382" priority="12" operator="containsText" text="CU">
      <formula>NOT(ISERROR(SEARCH("CU",G31)))</formula>
    </cfRule>
  </conditionalFormatting>
  <conditionalFormatting sqref="G31">
    <cfRule type="containsText" dxfId="1381" priority="11" operator="containsText" text="CU2">
      <formula>NOT(ISERROR(SEARCH("CU2",G31)))</formula>
    </cfRule>
  </conditionalFormatting>
  <conditionalFormatting sqref="G31">
    <cfRule type="containsText" dxfId="1380" priority="10" operator="containsText" text="CU2">
      <formula>NOT(ISERROR(SEARCH("CU2",G31)))</formula>
    </cfRule>
  </conditionalFormatting>
  <conditionalFormatting sqref="C44:I47">
    <cfRule type="cellIs" dxfId="1379" priority="6" operator="equal">
      <formula>"CU2T"</formula>
    </cfRule>
    <cfRule type="cellIs" priority="7" operator="equal">
      <formula>"CU2T"</formula>
    </cfRule>
    <cfRule type="cellIs" dxfId="1378" priority="8" operator="equal">
      <formula>"CU2M"</formula>
    </cfRule>
    <cfRule type="cellIs" dxfId="1377" priority="9" operator="equal">
      <formula>"CU1"</formula>
    </cfRule>
  </conditionalFormatting>
  <conditionalFormatting sqref="A39">
    <cfRule type="containsText" dxfId="1376" priority="5" operator="containsText" text="CU2">
      <formula>NOT(ISERROR(SEARCH("CU2",A39)))</formula>
    </cfRule>
  </conditionalFormatting>
  <conditionalFormatting sqref="A41">
    <cfRule type="expression" dxfId="1375" priority="3">
      <formula>OR($Z41&gt;1,$AA41&gt;1,$AB41&gt;1,$AC41&gt;1,$AD41&gt;1,$AE41&gt;1,$AF41&gt;1)</formula>
    </cfRule>
  </conditionalFormatting>
  <conditionalFormatting sqref="A41">
    <cfRule type="expression" dxfId="1374" priority="4">
      <formula>OR(AND(AH41&lt;&gt;0,AH41&lt;sietehoras),AND(AI41&lt;&gt;0,AI41&lt;sietehoras),AND(AJ41&lt;&gt;0,AJ41&lt;sietehoras),AND(AK41&lt;&gt;0,AK41&lt;sietehoras),AND(AL41&lt;&gt;0,AL41&lt;sietehoras),AND(AM41&lt;&gt;0,AM41&lt;sietehoras),AND(AN41&lt;&gt;0,AN41&lt;sietehoras),AND(AO41&lt;&gt;0,AO41&lt;sietehoras))</formula>
    </cfRule>
  </conditionalFormatting>
  <conditionalFormatting sqref="A43">
    <cfRule type="expression" dxfId="1373" priority="1">
      <formula>OR($Z43&gt;1,$AA43&gt;1,$AB43&gt;1,$AC43&gt;1,$AD43&gt;1,$AE43&gt;1,$AF43&gt;1)</formula>
    </cfRule>
  </conditionalFormatting>
  <conditionalFormatting sqref="A43">
    <cfRule type="expression" dxfId="1372" priority="2">
      <formula>OR(AND(AH43&lt;&gt;0,AH43&lt;sietehoras),AND(AI43&lt;&gt;0,AI43&lt;sietehoras),AND(AJ43&lt;&gt;0,AJ43&lt;sietehoras),AND(AK43&lt;&gt;0,AK43&lt;sietehoras),AND(AL43&lt;&gt;0,AL43&lt;sietehoras),AND(AM43&lt;&gt;0,AM43&lt;sietehoras),AND(AN43&lt;&gt;0,AN43&lt;sietehoras),AND(AO43&lt;&gt;0,AO43&lt;sietehoras))</formula>
    </cfRule>
  </conditionalFormatting>
  <pageMargins left="0.70866141732283472" right="0.70866141732283472" top="0.74803149606299213" bottom="0.74803149606299213" header="0.31496062992125984" footer="0.31496062992125984"/>
  <pageSetup paperSize="9" scale="74"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84"/>
  <sheetViews>
    <sheetView showZeros="0" zoomScale="90" zoomScaleNormal="90" zoomScaleSheetLayoutView="90" workbookViewId="0">
      <selection activeCell="I28" sqref="I28"/>
    </sheetView>
  </sheetViews>
  <sheetFormatPr defaultColWidth="10.625" defaultRowHeight="15" x14ac:dyDescent="0.2"/>
  <cols>
    <col min="1" max="1" width="8.609375" style="135" customWidth="1"/>
    <col min="2" max="2" width="48.96484375" style="135" customWidth="1"/>
    <col min="3" max="9" width="9.55078125" style="135" customWidth="1"/>
    <col min="10" max="10" width="6.45703125" style="135" customWidth="1"/>
    <col min="11" max="13" width="10.625" style="135"/>
    <col min="14" max="14" width="0" style="135" hidden="1" customWidth="1"/>
    <col min="15" max="15" width="11.43359375" style="135" hidden="1" customWidth="1"/>
    <col min="16" max="16" width="0" style="135" hidden="1" customWidth="1"/>
    <col min="17" max="16384" width="10.625" style="135"/>
  </cols>
  <sheetData>
    <row r="1" spans="1:21" x14ac:dyDescent="0.2">
      <c r="A1" s="316"/>
      <c r="B1" s="316"/>
      <c r="C1" s="316"/>
      <c r="D1" s="316"/>
      <c r="E1" s="317"/>
      <c r="F1" s="316"/>
      <c r="G1" s="316"/>
      <c r="H1" s="316"/>
      <c r="I1" s="316"/>
    </row>
    <row r="2" spans="1:21" ht="22.5" customHeight="1" x14ac:dyDescent="0.2">
      <c r="A2" s="200" t="s">
        <v>43</v>
      </c>
      <c r="B2" s="315"/>
      <c r="C2" s="316"/>
      <c r="D2" s="316"/>
      <c r="E2" s="316"/>
      <c r="F2" s="317"/>
      <c r="H2" s="316"/>
      <c r="I2" s="316"/>
    </row>
    <row r="3" spans="1:21" ht="17.25" customHeight="1" x14ac:dyDescent="0.2">
      <c r="A3" s="318"/>
      <c r="B3" s="316"/>
      <c r="C3" s="316"/>
      <c r="D3" s="316"/>
      <c r="E3" s="316"/>
      <c r="F3" s="316"/>
      <c r="G3" s="316"/>
      <c r="H3" s="316"/>
      <c r="I3" s="316"/>
    </row>
    <row r="4" spans="1:21" s="318" customFormat="1" ht="22.5" customHeight="1" x14ac:dyDescent="0.2">
      <c r="A4" s="347" t="s">
        <v>64</v>
      </c>
      <c r="B4" s="348"/>
      <c r="C4" s="317"/>
      <c r="D4" s="317"/>
      <c r="E4" s="317"/>
      <c r="F4" s="317"/>
      <c r="G4" s="317"/>
      <c r="H4" s="317"/>
      <c r="I4" s="317"/>
    </row>
    <row r="5" spans="1:21" s="318" customFormat="1" ht="9.75" hidden="1" customHeight="1" x14ac:dyDescent="0.15">
      <c r="A5" s="321"/>
      <c r="B5" s="317"/>
      <c r="C5" s="317"/>
      <c r="D5" s="317"/>
      <c r="E5" s="317"/>
      <c r="F5" s="317"/>
      <c r="G5" s="317"/>
      <c r="H5" s="317"/>
      <c r="I5" s="317"/>
    </row>
    <row r="6" spans="1:21" s="318" customFormat="1" ht="9.75" customHeight="1" x14ac:dyDescent="0.15">
      <c r="A6" s="321"/>
      <c r="B6" s="317"/>
      <c r="C6" s="317"/>
      <c r="D6" s="317"/>
      <c r="E6" s="317"/>
      <c r="F6" s="317"/>
      <c r="G6" s="317"/>
      <c r="H6" s="317"/>
      <c r="I6" s="317"/>
    </row>
    <row r="7" spans="1:21" s="318" customFormat="1" ht="19.5" customHeight="1" x14ac:dyDescent="0.3">
      <c r="A7" s="321"/>
      <c r="B7" s="349" t="s">
        <v>122</v>
      </c>
      <c r="C7" s="683" t="str">
        <f>IF(MONTH(C10)=MONTH(I10),"Semana del dia "&amp;DAY(FECHA!$C$3)&amp;" "&amp;"al "&amp;DAY(FECHA!$C$3+6)&amp;" de "&amp;VLOOKUP(MONTH(FECHA!$C$3),FECHA!$H$2:$I$13,2)&amp;" "&amp;YEAR(I10),"Semana del dia "&amp;DAY(FECHA!$C$3)&amp;" "&amp;VLOOKUP(MONTH(FECHA!$C$3),FECHA!$H$2:$I$13,2)&amp;" "&amp;"al "&amp;DAY(FECHA!$C$3+6)&amp;" de "&amp;VLOOKUP(MONTH(I10),FECHA!$H$2:$I$13,2)&amp;" "&amp;YEAR(I10))</f>
        <v>Semana del dia 8 al 14 de Sep 2025</v>
      </c>
      <c r="D7" s="684"/>
      <c r="E7" s="684"/>
      <c r="F7" s="684"/>
      <c r="G7" s="684"/>
      <c r="H7" s="684"/>
      <c r="I7" s="685"/>
    </row>
    <row r="8" spans="1:21" ht="13.5" customHeight="1" thickBot="1" x14ac:dyDescent="0.25">
      <c r="A8" s="133"/>
      <c r="B8" s="133"/>
      <c r="C8" s="133"/>
      <c r="D8" s="133"/>
      <c r="E8" s="133"/>
      <c r="F8" s="133"/>
      <c r="G8" s="133"/>
      <c r="H8" s="133"/>
      <c r="I8" s="133"/>
    </row>
    <row r="9" spans="1:21" ht="19.350000000000001" customHeight="1" thickTop="1" x14ac:dyDescent="0.2">
      <c r="A9" s="278"/>
      <c r="B9" s="279"/>
      <c r="C9" s="139" t="s">
        <v>26</v>
      </c>
      <c r="D9" s="139" t="s">
        <v>27</v>
      </c>
      <c r="E9" s="139" t="s">
        <v>28</v>
      </c>
      <c r="F9" s="140" t="s">
        <v>29</v>
      </c>
      <c r="G9" s="139" t="s">
        <v>30</v>
      </c>
      <c r="H9" s="139" t="s">
        <v>31</v>
      </c>
      <c r="I9" s="140" t="s">
        <v>32</v>
      </c>
    </row>
    <row r="10" spans="1:21" ht="14.45" customHeight="1" thickBot="1" x14ac:dyDescent="0.25">
      <c r="A10" s="281" t="s">
        <v>35</v>
      </c>
      <c r="B10" s="281" t="s">
        <v>33</v>
      </c>
      <c r="C10" s="144">
        <f>DATE(YEAR(FECHA!$C$3),MONTH(FECHA!$C$3),DAY(FECHA!$C$3))</f>
        <v>45908</v>
      </c>
      <c r="D10" s="144">
        <f>C10+1</f>
        <v>45909</v>
      </c>
      <c r="E10" s="144">
        <f t="shared" ref="E10:I10" si="0">D10+1</f>
        <v>45910</v>
      </c>
      <c r="F10" s="144">
        <f t="shared" si="0"/>
        <v>45911</v>
      </c>
      <c r="G10" s="144">
        <f t="shared" si="0"/>
        <v>45912</v>
      </c>
      <c r="H10" s="144">
        <f t="shared" si="0"/>
        <v>45913</v>
      </c>
      <c r="I10" s="144">
        <f t="shared" si="0"/>
        <v>45914</v>
      </c>
    </row>
    <row r="11" spans="1:21" s="350" customFormat="1" ht="16.350000000000001" customHeight="1" thickTop="1" x14ac:dyDescent="0.2">
      <c r="A11" s="282">
        <v>0</v>
      </c>
      <c r="B11" s="526">
        <v>0</v>
      </c>
      <c r="C11" s="442">
        <v>0</v>
      </c>
      <c r="D11" s="351">
        <v>0</v>
      </c>
      <c r="E11" s="229">
        <v>0</v>
      </c>
      <c r="F11" s="229">
        <v>0</v>
      </c>
      <c r="G11" s="229">
        <v>0</v>
      </c>
      <c r="H11" s="229">
        <v>0</v>
      </c>
      <c r="I11" s="229">
        <v>0</v>
      </c>
      <c r="J11" s="135"/>
    </row>
    <row r="12" spans="1:21" ht="16.350000000000001" customHeight="1" thickBot="1" x14ac:dyDescent="0.25">
      <c r="A12" s="527">
        <v>2369</v>
      </c>
      <c r="B12" s="528" t="s">
        <v>62</v>
      </c>
      <c r="C12" s="218">
        <v>23</v>
      </c>
      <c r="D12" s="587">
        <v>25</v>
      </c>
      <c r="E12" s="218">
        <v>21</v>
      </c>
      <c r="F12" s="218" t="s">
        <v>76</v>
      </c>
      <c r="G12" s="218" t="s">
        <v>76</v>
      </c>
      <c r="H12" s="218" t="s">
        <v>76</v>
      </c>
      <c r="I12" s="218" t="s">
        <v>34</v>
      </c>
      <c r="K12" s="350"/>
      <c r="L12" s="350"/>
      <c r="M12" s="350"/>
      <c r="N12" s="350"/>
    </row>
    <row r="13" spans="1:21" ht="16.350000000000001" customHeight="1" thickTop="1" thickBot="1" x14ac:dyDescent="0.25">
      <c r="A13" s="282">
        <v>0</v>
      </c>
      <c r="B13" s="526">
        <v>0</v>
      </c>
      <c r="C13" s="229">
        <v>0</v>
      </c>
      <c r="D13" s="351">
        <v>0</v>
      </c>
      <c r="E13" s="229">
        <v>0</v>
      </c>
      <c r="F13" s="351">
        <v>0</v>
      </c>
      <c r="G13" s="229">
        <v>0</v>
      </c>
      <c r="H13" s="229">
        <v>0</v>
      </c>
      <c r="I13" s="229">
        <v>0</v>
      </c>
      <c r="J13" s="352"/>
      <c r="O13" s="353">
        <v>150</v>
      </c>
    </row>
    <row r="14" spans="1:21" ht="16.350000000000001" customHeight="1" thickBot="1" x14ac:dyDescent="0.25">
      <c r="A14" s="527">
        <v>1472</v>
      </c>
      <c r="B14" s="528" t="s">
        <v>63</v>
      </c>
      <c r="C14" s="218" t="s">
        <v>34</v>
      </c>
      <c r="D14" s="587" t="s">
        <v>34</v>
      </c>
      <c r="E14" s="218">
        <v>23</v>
      </c>
      <c r="F14" s="218">
        <v>25</v>
      </c>
      <c r="G14" s="218" t="s">
        <v>392</v>
      </c>
      <c r="H14" s="218">
        <v>22</v>
      </c>
      <c r="I14" s="218">
        <v>24</v>
      </c>
    </row>
    <row r="15" spans="1:21" ht="16.350000000000001" customHeight="1" thickTop="1" x14ac:dyDescent="0.2">
      <c r="A15" s="282">
        <v>0</v>
      </c>
      <c r="B15" s="526">
        <v>0</v>
      </c>
      <c r="C15" s="229">
        <v>0</v>
      </c>
      <c r="D15" s="351">
        <v>0</v>
      </c>
      <c r="E15" s="229">
        <v>0</v>
      </c>
      <c r="F15" s="351">
        <v>0</v>
      </c>
      <c r="G15" s="229">
        <v>0</v>
      </c>
      <c r="H15" s="229">
        <v>0</v>
      </c>
      <c r="I15" s="229">
        <v>0</v>
      </c>
      <c r="U15" s="354"/>
    </row>
    <row r="16" spans="1:21" ht="16.350000000000001" customHeight="1" thickBot="1" x14ac:dyDescent="0.25">
      <c r="A16" s="527">
        <v>597</v>
      </c>
      <c r="B16" s="528" t="s">
        <v>60</v>
      </c>
      <c r="C16" s="218" t="s">
        <v>34</v>
      </c>
      <c r="D16" s="587" t="s">
        <v>34</v>
      </c>
      <c r="E16" s="218" t="s">
        <v>34</v>
      </c>
      <c r="F16" s="218" t="s">
        <v>34</v>
      </c>
      <c r="G16" s="218" t="s">
        <v>34</v>
      </c>
      <c r="H16" s="218" t="s">
        <v>34</v>
      </c>
      <c r="I16" s="218">
        <v>23</v>
      </c>
      <c r="N16" s="354"/>
    </row>
    <row r="17" spans="1:21" ht="16.350000000000001" customHeight="1" thickTop="1" x14ac:dyDescent="0.2">
      <c r="A17" s="282">
        <v>0</v>
      </c>
      <c r="B17" s="526">
        <v>0</v>
      </c>
      <c r="C17" s="229">
        <v>0</v>
      </c>
      <c r="D17" s="351">
        <v>0</v>
      </c>
      <c r="E17" s="229">
        <v>0</v>
      </c>
      <c r="F17" s="229">
        <v>0</v>
      </c>
      <c r="G17" s="229">
        <v>0</v>
      </c>
      <c r="H17" s="229">
        <v>0</v>
      </c>
      <c r="I17" s="229">
        <v>0</v>
      </c>
      <c r="K17" s="350"/>
      <c r="L17" s="350"/>
      <c r="M17" s="350"/>
      <c r="N17" s="350"/>
      <c r="O17" s="350"/>
      <c r="P17" s="350"/>
      <c r="Q17" s="350"/>
      <c r="R17" s="350"/>
      <c r="S17" s="350"/>
      <c r="T17" s="350"/>
      <c r="U17" s="354"/>
    </row>
    <row r="18" spans="1:21" ht="16.350000000000001" customHeight="1" thickBot="1" x14ac:dyDescent="0.25">
      <c r="A18" s="527">
        <v>2082</v>
      </c>
      <c r="B18" s="528" t="s">
        <v>58</v>
      </c>
      <c r="C18" s="218">
        <v>25</v>
      </c>
      <c r="D18" s="587">
        <v>21</v>
      </c>
      <c r="E18" s="218">
        <v>22</v>
      </c>
      <c r="F18" s="218">
        <v>22</v>
      </c>
      <c r="G18" s="218">
        <v>24</v>
      </c>
      <c r="H18" s="218">
        <v>23</v>
      </c>
      <c r="I18" s="218" t="s">
        <v>34</v>
      </c>
    </row>
    <row r="19" spans="1:21" s="133" customFormat="1" ht="16.350000000000001" customHeight="1" thickTop="1" x14ac:dyDescent="0.2">
      <c r="A19" s="282">
        <v>0</v>
      </c>
      <c r="B19" s="526">
        <v>0</v>
      </c>
      <c r="C19" s="229">
        <v>0</v>
      </c>
      <c r="D19" s="351">
        <v>0</v>
      </c>
      <c r="E19" s="229">
        <v>0</v>
      </c>
      <c r="F19" s="229">
        <v>0</v>
      </c>
      <c r="G19" s="229">
        <v>0</v>
      </c>
      <c r="H19" s="229">
        <v>0</v>
      </c>
      <c r="I19" s="229">
        <v>0</v>
      </c>
      <c r="J19" s="135"/>
      <c r="K19" s="135"/>
      <c r="L19" s="135"/>
      <c r="M19" s="135"/>
      <c r="N19" s="135"/>
      <c r="O19" s="135"/>
      <c r="P19" s="135"/>
      <c r="Q19" s="135"/>
      <c r="R19" s="135"/>
      <c r="S19" s="135"/>
      <c r="T19" s="135"/>
    </row>
    <row r="20" spans="1:21" s="133" customFormat="1" ht="16.350000000000001" customHeight="1" thickBot="1" x14ac:dyDescent="0.25">
      <c r="A20" s="527">
        <v>2560</v>
      </c>
      <c r="B20" s="528" t="s">
        <v>57</v>
      </c>
      <c r="C20" s="218" t="s">
        <v>77</v>
      </c>
      <c r="D20" s="587" t="s">
        <v>34</v>
      </c>
      <c r="E20" s="218" t="s">
        <v>34</v>
      </c>
      <c r="F20" s="218" t="s">
        <v>34</v>
      </c>
      <c r="G20" s="218" t="s">
        <v>77</v>
      </c>
      <c r="H20" s="218" t="s">
        <v>77</v>
      </c>
      <c r="I20" s="218" t="s">
        <v>77</v>
      </c>
      <c r="K20" s="135"/>
      <c r="L20" s="135"/>
      <c r="M20" s="135"/>
      <c r="N20" s="135"/>
      <c r="O20" s="135"/>
      <c r="P20" s="135"/>
      <c r="Q20" s="135"/>
      <c r="R20" s="135"/>
      <c r="S20" s="135"/>
      <c r="T20" s="135"/>
    </row>
    <row r="21" spans="1:21" s="133" customFormat="1" ht="16.350000000000001" customHeight="1" thickTop="1" x14ac:dyDescent="0.2">
      <c r="A21" s="282">
        <v>0</v>
      </c>
      <c r="B21" s="526">
        <v>0</v>
      </c>
      <c r="C21" s="229">
        <v>0</v>
      </c>
      <c r="D21" s="351">
        <v>0</v>
      </c>
      <c r="E21" s="229">
        <v>0</v>
      </c>
      <c r="F21" s="351">
        <v>0</v>
      </c>
      <c r="G21" s="229">
        <v>0</v>
      </c>
      <c r="H21" s="229">
        <v>0</v>
      </c>
      <c r="I21" s="229">
        <v>0</v>
      </c>
      <c r="M21" s="135"/>
      <c r="N21" s="135"/>
      <c r="O21" s="135"/>
      <c r="P21" s="354"/>
      <c r="Q21" s="135"/>
      <c r="R21" s="135"/>
      <c r="S21" s="135"/>
      <c r="T21" s="354"/>
    </row>
    <row r="22" spans="1:21" s="133" customFormat="1" ht="16.350000000000001" customHeight="1" thickBot="1" x14ac:dyDescent="0.25">
      <c r="A22" s="527">
        <v>133</v>
      </c>
      <c r="B22" s="528" t="s">
        <v>38</v>
      </c>
      <c r="C22" s="218">
        <v>22</v>
      </c>
      <c r="D22" s="587">
        <v>24</v>
      </c>
      <c r="E22" s="218" t="s">
        <v>34</v>
      </c>
      <c r="F22" s="218" t="s">
        <v>34</v>
      </c>
      <c r="G22" s="218" t="s">
        <v>34</v>
      </c>
      <c r="H22" s="218" t="s">
        <v>34</v>
      </c>
      <c r="I22" s="218" t="s">
        <v>76</v>
      </c>
      <c r="M22" s="135"/>
      <c r="N22" s="135"/>
      <c r="O22" s="135"/>
      <c r="P22" s="135"/>
      <c r="Q22" s="135"/>
      <c r="R22" s="135"/>
      <c r="S22" s="135"/>
      <c r="T22" s="135"/>
    </row>
    <row r="23" spans="1:21" ht="16.350000000000001" customHeight="1" thickTop="1" x14ac:dyDescent="0.2">
      <c r="A23" s="282">
        <v>0</v>
      </c>
      <c r="B23" s="526">
        <v>0</v>
      </c>
      <c r="C23" s="229">
        <v>0</v>
      </c>
      <c r="D23" s="351">
        <v>0</v>
      </c>
      <c r="E23" s="229">
        <v>0</v>
      </c>
      <c r="F23" s="351">
        <v>0</v>
      </c>
      <c r="G23" s="229">
        <v>0</v>
      </c>
      <c r="H23" s="229">
        <v>0</v>
      </c>
      <c r="I23" s="229">
        <v>0</v>
      </c>
      <c r="K23" s="355"/>
      <c r="L23" s="356"/>
      <c r="P23" s="354"/>
      <c r="T23" s="354"/>
    </row>
    <row r="24" spans="1:21" ht="16.350000000000001" customHeight="1" thickBot="1" x14ac:dyDescent="0.25">
      <c r="A24" s="527">
        <v>2049</v>
      </c>
      <c r="B24" s="528" t="s">
        <v>59</v>
      </c>
      <c r="C24" s="218">
        <v>21</v>
      </c>
      <c r="D24" s="587" t="s">
        <v>34</v>
      </c>
      <c r="E24" s="218" t="s">
        <v>76</v>
      </c>
      <c r="F24" s="218">
        <v>24</v>
      </c>
      <c r="G24" s="218">
        <v>21</v>
      </c>
      <c r="H24" s="218">
        <v>21</v>
      </c>
      <c r="I24" s="218" t="s">
        <v>34</v>
      </c>
      <c r="K24" s="355"/>
      <c r="L24" s="244"/>
      <c r="Q24" s="357"/>
    </row>
    <row r="25" spans="1:21" ht="16.350000000000001" customHeight="1" thickTop="1" x14ac:dyDescent="0.2">
      <c r="A25" s="282">
        <v>0</v>
      </c>
      <c r="B25" s="526">
        <v>0</v>
      </c>
      <c r="C25" s="229">
        <v>0</v>
      </c>
      <c r="D25" s="351">
        <v>0</v>
      </c>
      <c r="E25" s="229">
        <v>0</v>
      </c>
      <c r="F25" s="351">
        <v>0</v>
      </c>
      <c r="G25" s="229">
        <v>0</v>
      </c>
      <c r="H25" s="229">
        <v>0</v>
      </c>
      <c r="I25" s="229">
        <v>0</v>
      </c>
      <c r="K25" s="355"/>
      <c r="L25" s="244"/>
      <c r="M25" s="358"/>
    </row>
    <row r="26" spans="1:21" s="350" customFormat="1" ht="16.350000000000001" customHeight="1" thickBot="1" x14ac:dyDescent="0.25">
      <c r="A26" s="527">
        <v>159</v>
      </c>
      <c r="B26" s="528" t="s">
        <v>61</v>
      </c>
      <c r="C26" s="218" t="s">
        <v>34</v>
      </c>
      <c r="D26" s="587">
        <v>23</v>
      </c>
      <c r="E26" s="218">
        <v>25</v>
      </c>
      <c r="F26" s="218" t="s">
        <v>250</v>
      </c>
      <c r="G26" s="218">
        <v>22</v>
      </c>
      <c r="H26" s="218">
        <v>24</v>
      </c>
      <c r="I26" s="218">
        <v>21</v>
      </c>
    </row>
    <row r="27" spans="1:21" ht="16.350000000000001" customHeight="1" thickTop="1" x14ac:dyDescent="0.2">
      <c r="A27" s="282">
        <v>0</v>
      </c>
      <c r="B27" s="526">
        <v>0</v>
      </c>
      <c r="C27" s="229">
        <v>0</v>
      </c>
      <c r="D27" s="351">
        <v>0</v>
      </c>
      <c r="E27" s="229">
        <v>0</v>
      </c>
      <c r="F27" s="351">
        <v>0</v>
      </c>
      <c r="G27" s="229">
        <v>0</v>
      </c>
      <c r="H27" s="229">
        <v>0</v>
      </c>
      <c r="I27" s="229">
        <v>0</v>
      </c>
    </row>
    <row r="28" spans="1:21" s="350" customFormat="1" ht="16.350000000000001" customHeight="1" thickBot="1" x14ac:dyDescent="0.25">
      <c r="A28" s="527">
        <v>1204</v>
      </c>
      <c r="B28" s="528" t="s">
        <v>37</v>
      </c>
      <c r="C28" s="218" t="s">
        <v>34</v>
      </c>
      <c r="D28" s="587" t="s">
        <v>34</v>
      </c>
      <c r="E28" s="218" t="s">
        <v>34</v>
      </c>
      <c r="F28" s="218">
        <v>23</v>
      </c>
      <c r="G28" s="218">
        <v>25</v>
      </c>
      <c r="H28" s="218">
        <v>25</v>
      </c>
      <c r="I28" s="218">
        <v>22</v>
      </c>
      <c r="L28" s="359"/>
    </row>
    <row r="29" spans="1:21" ht="16.350000000000001" customHeight="1" thickTop="1" x14ac:dyDescent="0.2">
      <c r="A29" s="282">
        <v>0</v>
      </c>
      <c r="B29" s="526">
        <v>0</v>
      </c>
      <c r="C29" s="229">
        <v>0</v>
      </c>
      <c r="D29" s="351">
        <v>0</v>
      </c>
      <c r="E29" s="229">
        <v>0</v>
      </c>
      <c r="F29" s="351">
        <v>0</v>
      </c>
      <c r="G29" s="229">
        <v>0</v>
      </c>
      <c r="H29" s="229">
        <v>0</v>
      </c>
      <c r="I29" s="229">
        <v>0</v>
      </c>
    </row>
    <row r="30" spans="1:21" s="350" customFormat="1" ht="16.350000000000001" customHeight="1" thickBot="1" x14ac:dyDescent="0.25">
      <c r="A30" s="527">
        <v>2805</v>
      </c>
      <c r="B30" s="528" t="s">
        <v>114</v>
      </c>
      <c r="C30" s="218">
        <v>24</v>
      </c>
      <c r="D30" s="587" t="s">
        <v>251</v>
      </c>
      <c r="E30" s="218" t="s">
        <v>34</v>
      </c>
      <c r="F30" s="218" t="s">
        <v>34</v>
      </c>
      <c r="G30" s="218" t="s">
        <v>34</v>
      </c>
      <c r="H30" s="218" t="s">
        <v>34</v>
      </c>
      <c r="I30" s="218">
        <v>25</v>
      </c>
    </row>
    <row r="31" spans="1:21" ht="16.350000000000001" customHeight="1" thickTop="1" x14ac:dyDescent="0.25">
      <c r="A31" s="529">
        <v>0</v>
      </c>
      <c r="B31" s="526">
        <v>0</v>
      </c>
      <c r="C31" s="229">
        <v>0</v>
      </c>
      <c r="D31" s="351">
        <v>0</v>
      </c>
      <c r="E31" s="229">
        <v>0</v>
      </c>
      <c r="F31" s="351">
        <v>0</v>
      </c>
      <c r="G31" s="229">
        <v>0</v>
      </c>
      <c r="H31" s="229">
        <v>0</v>
      </c>
      <c r="I31" s="229">
        <v>0</v>
      </c>
      <c r="S31" s="350"/>
    </row>
    <row r="32" spans="1:21" ht="16.350000000000001" customHeight="1" thickBot="1" x14ac:dyDescent="0.25">
      <c r="A32" s="527">
        <v>3027</v>
      </c>
      <c r="B32" s="528" t="s">
        <v>148</v>
      </c>
      <c r="C32" s="218" t="s">
        <v>250</v>
      </c>
      <c r="D32" s="587">
        <v>22</v>
      </c>
      <c r="E32" s="218">
        <v>24</v>
      </c>
      <c r="F32" s="218">
        <v>21</v>
      </c>
      <c r="G32" s="218" t="s">
        <v>34</v>
      </c>
      <c r="H32" s="218" t="s">
        <v>34</v>
      </c>
      <c r="I32" s="218" t="s">
        <v>34</v>
      </c>
      <c r="S32" s="350"/>
    </row>
    <row r="33" spans="1:19" ht="16.350000000000001" customHeight="1" thickTop="1" x14ac:dyDescent="0.2">
      <c r="A33" s="657"/>
      <c r="B33" s="526"/>
      <c r="C33" s="229"/>
      <c r="D33" s="351"/>
      <c r="E33" s="229"/>
      <c r="F33" s="351"/>
      <c r="G33" s="229"/>
      <c r="H33" s="229"/>
      <c r="I33" s="229"/>
      <c r="S33" s="350"/>
    </row>
    <row r="34" spans="1:19" ht="16.350000000000001" customHeight="1" thickBot="1" x14ac:dyDescent="0.25">
      <c r="A34" s="216"/>
      <c r="B34" s="528"/>
      <c r="C34" s="218"/>
      <c r="D34" s="587"/>
      <c r="E34" s="218"/>
      <c r="F34" s="218"/>
      <c r="G34" s="218"/>
      <c r="H34" s="218"/>
      <c r="I34" s="218"/>
      <c r="S34" s="350"/>
    </row>
    <row r="35" spans="1:19" ht="16.350000000000001" customHeight="1" thickTop="1" x14ac:dyDescent="0.2">
      <c r="A35" s="657"/>
      <c r="B35" s="526"/>
      <c r="C35" s="229"/>
      <c r="D35" s="351"/>
      <c r="E35" s="229"/>
      <c r="F35" s="351"/>
      <c r="G35" s="229"/>
      <c r="H35" s="229"/>
      <c r="I35" s="229"/>
      <c r="S35" s="350"/>
    </row>
    <row r="36" spans="1:19" s="350" customFormat="1" ht="16.350000000000001" customHeight="1" thickBot="1" x14ac:dyDescent="0.25">
      <c r="A36" s="216"/>
      <c r="B36" s="528"/>
      <c r="C36" s="218"/>
      <c r="D36" s="587"/>
      <c r="E36" s="218"/>
      <c r="F36" s="218"/>
      <c r="G36" s="218"/>
      <c r="H36" s="218"/>
      <c r="I36" s="218"/>
    </row>
    <row r="37" spans="1:19" ht="16.350000000000001" customHeight="1" thickTop="1" x14ac:dyDescent="0.2">
      <c r="A37" s="282"/>
      <c r="B37" s="526"/>
      <c r="C37" s="229"/>
      <c r="D37" s="351"/>
      <c r="E37" s="229"/>
      <c r="F37" s="351"/>
      <c r="G37" s="229"/>
      <c r="H37" s="229"/>
      <c r="I37" s="229"/>
      <c r="S37" s="350"/>
    </row>
    <row r="38" spans="1:19" ht="16.350000000000001" customHeight="1" thickBot="1" x14ac:dyDescent="0.25">
      <c r="A38" s="527"/>
      <c r="B38" s="528"/>
      <c r="C38" s="218"/>
      <c r="D38" s="587"/>
      <c r="E38" s="218"/>
      <c r="F38" s="218"/>
      <c r="G38" s="218"/>
      <c r="H38" s="218"/>
      <c r="I38" s="218"/>
    </row>
    <row r="39" spans="1:19" ht="16.350000000000001" customHeight="1" thickTop="1" x14ac:dyDescent="0.2">
      <c r="A39" s="282"/>
      <c r="B39" s="526"/>
      <c r="C39" s="229"/>
      <c r="D39" s="351"/>
      <c r="E39" s="229"/>
      <c r="F39" s="351"/>
      <c r="G39" s="229"/>
      <c r="H39" s="229"/>
      <c r="I39" s="229"/>
    </row>
    <row r="40" spans="1:19" ht="16.350000000000001" customHeight="1" thickBot="1" x14ac:dyDescent="0.25">
      <c r="A40" s="527"/>
      <c r="B40" s="528"/>
      <c r="C40" s="218"/>
      <c r="D40" s="587"/>
      <c r="E40" s="218"/>
      <c r="F40" s="218"/>
      <c r="G40" s="218"/>
      <c r="H40" s="218"/>
      <c r="I40" s="218"/>
    </row>
    <row r="41" spans="1:19" ht="16.350000000000001" customHeight="1" thickTop="1" x14ac:dyDescent="0.2">
      <c r="A41" s="282"/>
      <c r="B41" s="526"/>
      <c r="C41" s="229"/>
      <c r="D41" s="351"/>
      <c r="E41" s="229"/>
      <c r="F41" s="351"/>
      <c r="G41" s="229"/>
      <c r="H41" s="229"/>
      <c r="I41" s="229"/>
    </row>
    <row r="42" spans="1:19" ht="16.350000000000001" customHeight="1" thickBot="1" x14ac:dyDescent="0.25">
      <c r="A42" s="527"/>
      <c r="B42" s="528"/>
      <c r="C42" s="218"/>
      <c r="D42" s="587"/>
      <c r="E42" s="218"/>
      <c r="F42" s="218"/>
      <c r="G42" s="218"/>
      <c r="H42" s="218"/>
      <c r="I42" s="218"/>
    </row>
    <row r="43" spans="1:19" ht="16.350000000000001" customHeight="1" thickTop="1" x14ac:dyDescent="0.2">
      <c r="A43" s="282"/>
      <c r="B43" s="526"/>
      <c r="C43" s="229"/>
      <c r="D43" s="351"/>
      <c r="E43" s="229"/>
      <c r="F43" s="351"/>
      <c r="G43" s="229"/>
      <c r="H43" s="229"/>
      <c r="I43" s="229"/>
    </row>
    <row r="44" spans="1:19" ht="16.350000000000001" customHeight="1" thickBot="1" x14ac:dyDescent="0.25">
      <c r="A44" s="527"/>
      <c r="B44" s="528"/>
      <c r="C44" s="218"/>
      <c r="D44" s="587"/>
      <c r="E44" s="218"/>
      <c r="F44" s="218"/>
      <c r="G44" s="218"/>
      <c r="H44" s="218"/>
      <c r="I44" s="218"/>
    </row>
    <row r="45" spans="1:19" ht="16.350000000000001" customHeight="1" thickTop="1" x14ac:dyDescent="0.2">
      <c r="A45" s="282"/>
      <c r="B45" s="526"/>
      <c r="C45" s="229"/>
      <c r="D45" s="351"/>
      <c r="E45" s="229"/>
      <c r="F45" s="351"/>
      <c r="G45" s="229"/>
      <c r="H45" s="229"/>
      <c r="I45" s="229"/>
    </row>
    <row r="46" spans="1:19" ht="16.350000000000001" customHeight="1" thickBot="1" x14ac:dyDescent="0.25">
      <c r="A46" s="527"/>
      <c r="B46" s="528"/>
      <c r="C46" s="218"/>
      <c r="D46" s="587"/>
      <c r="E46" s="218"/>
      <c r="F46" s="218"/>
      <c r="G46" s="218"/>
      <c r="H46" s="218"/>
      <c r="I46" s="218"/>
    </row>
    <row r="47" spans="1:19" ht="16.350000000000001" customHeight="1" thickTop="1" x14ac:dyDescent="0.2">
      <c r="A47" s="282"/>
      <c r="B47" s="526"/>
      <c r="C47" s="229"/>
      <c r="D47" s="351"/>
      <c r="E47" s="229"/>
      <c r="F47" s="351"/>
      <c r="G47" s="229"/>
      <c r="H47" s="229"/>
      <c r="I47" s="229"/>
    </row>
    <row r="48" spans="1:19" ht="16.350000000000001" customHeight="1" thickBot="1" x14ac:dyDescent="0.25">
      <c r="A48" s="527"/>
      <c r="B48" s="528"/>
      <c r="C48" s="218"/>
      <c r="D48" s="587"/>
      <c r="E48" s="218"/>
      <c r="F48" s="218"/>
      <c r="G48" s="218"/>
      <c r="H48" s="218"/>
      <c r="I48" s="218"/>
    </row>
    <row r="49" spans="1:20" ht="16.350000000000001" customHeight="1" thickTop="1" x14ac:dyDescent="0.2">
      <c r="A49" s="530"/>
      <c r="B49" s="526"/>
      <c r="C49" s="229"/>
      <c r="D49" s="351"/>
      <c r="E49" s="229"/>
      <c r="F49" s="351"/>
      <c r="G49" s="229"/>
      <c r="H49" s="229"/>
      <c r="I49" s="229"/>
    </row>
    <row r="50" spans="1:20" ht="16.350000000000001" customHeight="1" thickBot="1" x14ac:dyDescent="0.25">
      <c r="A50" s="531"/>
      <c r="B50" s="528"/>
      <c r="C50" s="218"/>
      <c r="D50" s="587"/>
      <c r="E50" s="218"/>
      <c r="F50" s="218"/>
      <c r="G50" s="218"/>
      <c r="H50" s="218"/>
      <c r="I50" s="218"/>
    </row>
    <row r="51" spans="1:20" ht="16.350000000000001" customHeight="1" thickTop="1" x14ac:dyDescent="0.2">
      <c r="A51" s="530"/>
      <c r="B51" s="526"/>
      <c r="C51" s="229"/>
      <c r="D51" s="351"/>
      <c r="E51" s="229"/>
      <c r="F51" s="351"/>
      <c r="G51" s="229"/>
      <c r="H51" s="229"/>
      <c r="I51" s="229"/>
    </row>
    <row r="52" spans="1:20" ht="16.350000000000001" customHeight="1" thickBot="1" x14ac:dyDescent="0.25">
      <c r="A52" s="531"/>
      <c r="B52" s="528"/>
      <c r="C52" s="218"/>
      <c r="D52" s="587"/>
      <c r="E52" s="218"/>
      <c r="F52" s="218"/>
      <c r="G52" s="218"/>
      <c r="H52" s="218"/>
      <c r="I52" s="218"/>
    </row>
    <row r="53" spans="1:20" ht="16.350000000000001" customHeight="1" thickTop="1" x14ac:dyDescent="0.2">
      <c r="A53" s="282"/>
      <c r="B53" s="526"/>
      <c r="C53" s="229"/>
      <c r="D53" s="351"/>
      <c r="E53" s="229"/>
      <c r="F53" s="351"/>
      <c r="G53" s="229"/>
      <c r="H53" s="229"/>
      <c r="I53" s="229"/>
      <c r="S53"/>
      <c r="T53"/>
    </row>
    <row r="54" spans="1:20" ht="16.350000000000001" customHeight="1" thickBot="1" x14ac:dyDescent="0.25">
      <c r="A54" s="527"/>
      <c r="B54" s="528"/>
      <c r="C54" s="218"/>
      <c r="D54" s="587"/>
      <c r="E54" s="218"/>
      <c r="F54" s="218"/>
      <c r="G54" s="218"/>
      <c r="H54" s="218"/>
      <c r="I54" s="218"/>
      <c r="S54"/>
      <c r="T54"/>
    </row>
    <row r="55" spans="1:20" ht="16.350000000000001" customHeight="1" thickTop="1" x14ac:dyDescent="0.2">
      <c r="A55" s="282"/>
      <c r="B55" s="526"/>
      <c r="C55" s="229"/>
      <c r="D55" s="351"/>
      <c r="E55" s="581"/>
      <c r="F55" s="526"/>
      <c r="G55" s="229"/>
      <c r="H55" s="229"/>
      <c r="I55" s="229"/>
      <c r="S55"/>
      <c r="T55"/>
    </row>
    <row r="56" spans="1:20" ht="16.350000000000001" customHeight="1" thickBot="1" x14ac:dyDescent="0.25">
      <c r="A56" s="527"/>
      <c r="B56" s="528"/>
      <c r="C56" s="218"/>
      <c r="D56" s="587"/>
      <c r="E56" s="607"/>
      <c r="F56" s="218"/>
      <c r="G56" s="218"/>
      <c r="H56" s="218"/>
      <c r="I56" s="218"/>
      <c r="S56"/>
      <c r="T56"/>
    </row>
    <row r="57" spans="1:20" ht="16.350000000000001" customHeight="1" thickTop="1" x14ac:dyDescent="0.2">
      <c r="A57" s="282"/>
      <c r="B57" s="526"/>
      <c r="C57" s="229"/>
      <c r="D57" s="351"/>
      <c r="E57" s="282"/>
      <c r="F57" s="526"/>
      <c r="G57" s="229"/>
      <c r="H57" s="229"/>
      <c r="I57" s="229"/>
    </row>
    <row r="58" spans="1:20" ht="16.350000000000001" customHeight="1" thickBot="1" x14ac:dyDescent="0.25">
      <c r="A58" s="527"/>
      <c r="B58" s="608"/>
      <c r="C58" s="218"/>
      <c r="D58" s="587"/>
      <c r="E58" s="607"/>
      <c r="F58" s="218"/>
      <c r="G58" s="218"/>
      <c r="H58" s="218"/>
      <c r="I58" s="218"/>
    </row>
    <row r="59" spans="1:20" ht="16.350000000000001" customHeight="1" thickTop="1" thickBot="1" x14ac:dyDescent="0.25">
      <c r="A59" s="218"/>
      <c r="B59" s="620"/>
      <c r="C59" s="229"/>
      <c r="D59" s="351"/>
      <c r="E59" s="229"/>
      <c r="F59" s="351"/>
      <c r="G59" s="229"/>
      <c r="H59" s="229"/>
      <c r="I59" s="229"/>
    </row>
    <row r="60" spans="1:20" ht="16.350000000000001" customHeight="1" thickTop="1" thickBot="1" x14ac:dyDescent="0.25">
      <c r="A60" s="218"/>
      <c r="B60" s="641"/>
      <c r="C60" s="218"/>
      <c r="D60" s="587"/>
      <c r="E60" s="218"/>
      <c r="F60" s="218"/>
      <c r="G60" s="218"/>
      <c r="H60" s="218"/>
      <c r="I60" s="218"/>
    </row>
    <row r="61" spans="1:20" s="350" customFormat="1" ht="16.350000000000001" customHeight="1" thickTop="1" thickBot="1" x14ac:dyDescent="0.25">
      <c r="A61" s="259">
        <v>0</v>
      </c>
      <c r="B61" s="452">
        <v>650218040</v>
      </c>
      <c r="C61" s="198"/>
      <c r="D61" s="606"/>
      <c r="E61" s="198"/>
      <c r="F61" s="198"/>
      <c r="G61" s="198"/>
      <c r="H61" s="198"/>
      <c r="I61" s="198"/>
    </row>
    <row r="62" spans="1:20" s="350" customFormat="1" ht="16.350000000000001" customHeight="1" thickBot="1" x14ac:dyDescent="0.25">
      <c r="A62" s="261"/>
      <c r="B62" s="453" t="s">
        <v>136</v>
      </c>
      <c r="C62" s="263" t="s">
        <v>117</v>
      </c>
      <c r="D62" s="603" t="s">
        <v>117</v>
      </c>
      <c r="E62" s="263" t="s">
        <v>80</v>
      </c>
      <c r="F62" s="263" t="s">
        <v>80</v>
      </c>
      <c r="G62" s="263" t="s">
        <v>80</v>
      </c>
      <c r="H62" s="263" t="s">
        <v>34</v>
      </c>
      <c r="I62" s="263" t="s">
        <v>34</v>
      </c>
      <c r="N62" s="362">
        <v>51</v>
      </c>
    </row>
    <row r="63" spans="1:20" s="350" customFormat="1" ht="16.350000000000001" customHeight="1" thickTop="1" x14ac:dyDescent="0.2">
      <c r="A63" s="135"/>
      <c r="B63" s="135"/>
      <c r="C63" s="135"/>
      <c r="D63" s="135"/>
      <c r="E63" s="135"/>
      <c r="F63" s="135"/>
      <c r="G63" s="135"/>
      <c r="H63" s="135"/>
      <c r="I63" s="135"/>
    </row>
    <row r="64" spans="1:20" s="350" customFormat="1" ht="16.350000000000001" customHeight="1" x14ac:dyDescent="0.2">
      <c r="A64" s="135"/>
      <c r="B64" s="135"/>
      <c r="C64" s="135"/>
      <c r="D64" s="135"/>
      <c r="E64" s="135"/>
      <c r="F64" s="135"/>
      <c r="G64" s="135"/>
      <c r="H64" s="135"/>
      <c r="I64" s="135"/>
    </row>
    <row r="65" spans="1:14" s="350" customFormat="1" ht="16.350000000000001" customHeight="1" x14ac:dyDescent="0.2">
      <c r="A65" s="135"/>
      <c r="B65" s="135"/>
      <c r="C65" s="135"/>
      <c r="D65" s="135"/>
      <c r="E65" s="135"/>
      <c r="F65" s="135"/>
      <c r="G65" s="135"/>
      <c r="H65" s="135"/>
      <c r="I65" s="135"/>
      <c r="K65" s="135"/>
      <c r="L65" s="363"/>
      <c r="M65" s="200"/>
      <c r="N65" s="200"/>
    </row>
    <row r="66" spans="1:14" s="350" customFormat="1" ht="16.350000000000001" customHeight="1" x14ac:dyDescent="0.2">
      <c r="A66" s="364"/>
      <c r="B66" s="182"/>
      <c r="C66" s="148"/>
      <c r="D66" s="364"/>
      <c r="E66" s="135"/>
      <c r="F66" s="364"/>
      <c r="G66" s="148"/>
      <c r="H66" s="148"/>
      <c r="I66" s="148"/>
    </row>
    <row r="67" spans="1:14" s="350" customFormat="1" ht="16.350000000000001" customHeight="1" x14ac:dyDescent="0.2"/>
    <row r="68" spans="1:14" s="350" customFormat="1" ht="16.350000000000001" customHeight="1" x14ac:dyDescent="0.2"/>
    <row r="69" spans="1:14" s="350" customFormat="1" ht="16.350000000000001" customHeight="1" x14ac:dyDescent="0.15">
      <c r="J69" s="148"/>
    </row>
    <row r="70" spans="1:14" s="350" customFormat="1" ht="16.350000000000001" customHeight="1" x14ac:dyDescent="0.2"/>
    <row r="71" spans="1:14" s="350" customFormat="1" ht="16.350000000000001" customHeight="1" x14ac:dyDescent="0.2"/>
    <row r="72" spans="1:14" s="350" customFormat="1" ht="16.350000000000001" customHeight="1" x14ac:dyDescent="0.2"/>
    <row r="73" spans="1:14" s="350" customFormat="1" ht="16.350000000000001" customHeight="1" x14ac:dyDescent="0.2"/>
    <row r="74" spans="1:14" s="133" customFormat="1" ht="16.350000000000001" customHeight="1" x14ac:dyDescent="0.15">
      <c r="A74" s="350"/>
      <c r="B74" s="350"/>
      <c r="C74" s="350"/>
      <c r="D74" s="350"/>
      <c r="E74" s="350"/>
      <c r="F74" s="350"/>
      <c r="G74" s="350"/>
      <c r="H74" s="350"/>
      <c r="I74" s="350"/>
    </row>
    <row r="75" spans="1:14" s="133" customFormat="1" ht="16.350000000000001" customHeight="1" x14ac:dyDescent="0.15">
      <c r="A75" s="350"/>
      <c r="B75" s="350"/>
      <c r="C75" s="350"/>
      <c r="D75" s="350"/>
      <c r="E75" s="350"/>
      <c r="F75" s="350"/>
      <c r="G75" s="350"/>
      <c r="H75" s="350"/>
      <c r="I75" s="350"/>
    </row>
    <row r="76" spans="1:14" s="133" customFormat="1" ht="16.350000000000001" customHeight="1" x14ac:dyDescent="0.15"/>
    <row r="77" spans="1:14" s="133" customFormat="1" ht="16.350000000000001" customHeight="1" x14ac:dyDescent="0.15"/>
    <row r="78" spans="1:14" s="133" customFormat="1" ht="16.350000000000001" customHeight="1" x14ac:dyDescent="0.15"/>
    <row r="79" spans="1:14" s="133" customFormat="1" ht="15.75" customHeight="1" x14ac:dyDescent="0.15"/>
    <row r="80" spans="1:14" ht="15.75" hidden="1" customHeight="1" thickTop="1" x14ac:dyDescent="0.2">
      <c r="A80" s="133"/>
      <c r="B80" s="133"/>
      <c r="C80" s="133"/>
      <c r="D80" s="133"/>
      <c r="E80" s="133"/>
      <c r="F80" s="133"/>
      <c r="G80" s="133"/>
      <c r="H80" s="133"/>
      <c r="I80" s="133"/>
    </row>
    <row r="81" spans="1:10" ht="15.75" customHeight="1" x14ac:dyDescent="0.2">
      <c r="A81" s="133"/>
      <c r="B81" s="133"/>
      <c r="C81" s="133"/>
      <c r="D81" s="133"/>
      <c r="E81" s="133"/>
      <c r="F81" s="133"/>
      <c r="G81" s="133"/>
      <c r="H81" s="133"/>
      <c r="I81" s="133"/>
      <c r="J81" s="365"/>
    </row>
    <row r="82" spans="1:10" s="366" customFormat="1" ht="15.75" customHeight="1" x14ac:dyDescent="0.2">
      <c r="A82" s="135"/>
      <c r="B82" s="135"/>
      <c r="C82" s="135"/>
      <c r="D82" s="135"/>
      <c r="E82" s="135"/>
      <c r="F82" s="135"/>
      <c r="G82" s="135"/>
      <c r="H82" s="135"/>
      <c r="I82" s="135"/>
    </row>
    <row r="83" spans="1:10" ht="15.75" customHeight="1" x14ac:dyDescent="0.2"/>
    <row r="84" spans="1:10" x14ac:dyDescent="0.2">
      <c r="A84" s="366"/>
      <c r="B84" s="366"/>
      <c r="C84" s="366"/>
      <c r="D84" s="366"/>
      <c r="E84" s="366"/>
      <c r="F84" s="366"/>
      <c r="G84" s="366"/>
      <c r="H84" s="366"/>
      <c r="I84" s="366"/>
    </row>
  </sheetData>
  <mergeCells count="1">
    <mergeCell ref="C7:I7"/>
  </mergeCells>
  <conditionalFormatting sqref="C7:I7">
    <cfRule type="cellIs" dxfId="1371" priority="280" stopIfTrue="1" operator="equal">
      <formula>"E1"</formula>
    </cfRule>
    <cfRule type="cellIs" dxfId="1370" priority="281" stopIfTrue="1" operator="equal">
      <formula>"E2"</formula>
    </cfRule>
  </conditionalFormatting>
  <conditionalFormatting sqref="C9:I9">
    <cfRule type="cellIs" dxfId="1369" priority="2201" operator="equal">
      <formula>"CU2T"</formula>
    </cfRule>
    <cfRule type="cellIs" dxfId="1368" priority="2202" operator="equal">
      <formula>"CU2M"</formula>
    </cfRule>
  </conditionalFormatting>
  <conditionalFormatting sqref="C35:I40 C45:I52">
    <cfRule type="containsText" dxfId="1367" priority="145" operator="containsText" text="TR">
      <formula>NOT(ISERROR(SEARCH("TR",C35)))</formula>
    </cfRule>
  </conditionalFormatting>
  <conditionalFormatting sqref="C35:I36">
    <cfRule type="containsText" dxfId="1366" priority="655" operator="containsText" text="CU">
      <formula>NOT(ISERROR(SEARCH("CU",C35)))</formula>
    </cfRule>
    <cfRule type="containsText" dxfId="1365" priority="656" operator="containsText" text="TR">
      <formula>NOT(ISERROR(SEARCH("TR",C35)))</formula>
    </cfRule>
    <cfRule type="cellIs" dxfId="1364" priority="657" operator="equal">
      <formula>"CU2"</formula>
    </cfRule>
  </conditionalFormatting>
  <conditionalFormatting sqref="C36:I36">
    <cfRule type="containsText" dxfId="1363" priority="654" operator="containsText" text="CU2">
      <formula>NOT(ISERROR(SEARCH("CU2",C36)))</formula>
    </cfRule>
  </conditionalFormatting>
  <conditionalFormatting sqref="C37:I38">
    <cfRule type="containsText" dxfId="1362" priority="400" operator="containsText" text="CU">
      <formula>NOT(ISERROR(SEARCH("CU",C37)))</formula>
    </cfRule>
    <cfRule type="containsText" dxfId="1361" priority="401" operator="containsText" text="TR">
      <formula>NOT(ISERROR(SEARCH("TR",C37)))</formula>
    </cfRule>
    <cfRule type="cellIs" dxfId="1360" priority="402" operator="equal">
      <formula>"CU2"</formula>
    </cfRule>
  </conditionalFormatting>
  <conditionalFormatting sqref="C38:I38">
    <cfRule type="containsText" dxfId="1359" priority="399" operator="containsText" text="CU2">
      <formula>NOT(ISERROR(SEARCH("CU2",C38)))</formula>
    </cfRule>
  </conditionalFormatting>
  <conditionalFormatting sqref="C39:I40">
    <cfRule type="containsText" dxfId="1358" priority="387" operator="containsText" text="CU">
      <formula>NOT(ISERROR(SEARCH("CU",C39)))</formula>
    </cfRule>
    <cfRule type="containsText" dxfId="1357" priority="388" operator="containsText" text="TR">
      <formula>NOT(ISERROR(SEARCH("TR",C39)))</formula>
    </cfRule>
    <cfRule type="cellIs" dxfId="1356" priority="389" operator="equal">
      <formula>"CU2"</formula>
    </cfRule>
  </conditionalFormatting>
  <conditionalFormatting sqref="C40:I40">
    <cfRule type="containsText" dxfId="1355" priority="386" operator="containsText" text="CU2">
      <formula>NOT(ISERROR(SEARCH("CU2",C40)))</formula>
    </cfRule>
  </conditionalFormatting>
  <conditionalFormatting sqref="C45:I46">
    <cfRule type="containsText" dxfId="1354" priority="374" operator="containsText" text="CU">
      <formula>NOT(ISERROR(SEARCH("CU",C45)))</formula>
    </cfRule>
    <cfRule type="containsText" dxfId="1353" priority="375" operator="containsText" text="TR">
      <formula>NOT(ISERROR(SEARCH("TR",C45)))</formula>
    </cfRule>
    <cfRule type="cellIs" dxfId="1352" priority="376" operator="equal">
      <formula>"CU2"</formula>
    </cfRule>
  </conditionalFormatting>
  <conditionalFormatting sqref="C46:I46">
    <cfRule type="containsText" dxfId="1351" priority="373" operator="containsText" text="CU2">
      <formula>NOT(ISERROR(SEARCH("CU2",C46)))</formula>
    </cfRule>
  </conditionalFormatting>
  <conditionalFormatting sqref="C47:I48">
    <cfRule type="containsText" dxfId="1350" priority="322" operator="containsText" text="CU">
      <formula>NOT(ISERROR(SEARCH("CU",C47)))</formula>
    </cfRule>
    <cfRule type="containsText" dxfId="1349" priority="323" operator="containsText" text="TR">
      <formula>NOT(ISERROR(SEARCH("TR",C47)))</formula>
    </cfRule>
    <cfRule type="cellIs" dxfId="1348" priority="324" operator="equal">
      <formula>"CU2"</formula>
    </cfRule>
  </conditionalFormatting>
  <conditionalFormatting sqref="C48:I48">
    <cfRule type="containsText" dxfId="1347" priority="321" operator="containsText" text="CU2">
      <formula>NOT(ISERROR(SEARCH("CU2",C48)))</formula>
    </cfRule>
  </conditionalFormatting>
  <conditionalFormatting sqref="C49:I50">
    <cfRule type="containsText" dxfId="1346" priority="309" operator="containsText" text="CU">
      <formula>NOT(ISERROR(SEARCH("CU",C49)))</formula>
    </cfRule>
    <cfRule type="containsText" dxfId="1345" priority="310" operator="containsText" text="TR">
      <formula>NOT(ISERROR(SEARCH("TR",C49)))</formula>
    </cfRule>
    <cfRule type="cellIs" dxfId="1344" priority="311" operator="equal">
      <formula>"CU2"</formula>
    </cfRule>
  </conditionalFormatting>
  <conditionalFormatting sqref="C50:I50">
    <cfRule type="containsText" dxfId="1343" priority="308" operator="containsText" text="CU2">
      <formula>NOT(ISERROR(SEARCH("CU2",C50)))</formula>
    </cfRule>
  </conditionalFormatting>
  <conditionalFormatting sqref="C51:I52">
    <cfRule type="containsText" dxfId="1342" priority="296" operator="containsText" text="CU">
      <formula>NOT(ISERROR(SEARCH("CU",C51)))</formula>
    </cfRule>
    <cfRule type="containsText" dxfId="1341" priority="297" operator="containsText" text="TR">
      <formula>NOT(ISERROR(SEARCH("TR",C51)))</formula>
    </cfRule>
    <cfRule type="cellIs" dxfId="1340" priority="298" operator="equal">
      <formula>"CU2"</formula>
    </cfRule>
  </conditionalFormatting>
  <conditionalFormatting sqref="C52:I52">
    <cfRule type="containsText" dxfId="1339" priority="295" operator="containsText" text="CU2">
      <formula>NOT(ISERROR(SEARCH("CU2",C52)))</formula>
    </cfRule>
  </conditionalFormatting>
  <conditionalFormatting sqref="C53:I54">
    <cfRule type="containsText" dxfId="1338" priority="283" operator="containsText" text="CU">
      <formula>NOT(ISERROR(SEARCH("CU",C53)))</formula>
    </cfRule>
    <cfRule type="containsText" dxfId="1337" priority="284" operator="containsText" text="TR">
      <formula>NOT(ISERROR(SEARCH("TR",C53)))</formula>
    </cfRule>
    <cfRule type="cellIs" dxfId="1336" priority="285" operator="equal">
      <formula>"CU2"</formula>
    </cfRule>
  </conditionalFormatting>
  <conditionalFormatting sqref="C54:I54">
    <cfRule type="containsText" dxfId="1335" priority="282" operator="containsText" text="CU2">
      <formula>NOT(ISERROR(SEARCH("CU2",C54)))</formula>
    </cfRule>
  </conditionalFormatting>
  <conditionalFormatting sqref="C57:D58 G57:I58">
    <cfRule type="containsText" dxfId="1334" priority="268" operator="containsText" text="CU">
      <formula>NOT(ISERROR(SEARCH("CU",C57)))</formula>
    </cfRule>
    <cfRule type="containsText" dxfId="1333" priority="269" operator="containsText" text="TR">
      <formula>NOT(ISERROR(SEARCH("TR",C57)))</formula>
    </cfRule>
  </conditionalFormatting>
  <conditionalFormatting sqref="C58:D58 G58:I58">
    <cfRule type="containsText" dxfId="1332" priority="267" operator="containsText" text="CU2">
      <formula>NOT(ISERROR(SEARCH("CU2",C58)))</formula>
    </cfRule>
  </conditionalFormatting>
  <conditionalFormatting sqref="C61:I62">
    <cfRule type="cellIs" dxfId="1331" priority="412" operator="equal">
      <formula>"CU2T"</formula>
    </cfRule>
    <cfRule type="cellIs" priority="413" operator="equal">
      <formula>"CU2T"</formula>
    </cfRule>
    <cfRule type="cellIs" dxfId="1330" priority="414" operator="equal">
      <formula>"CU2M"</formula>
    </cfRule>
    <cfRule type="cellIs" dxfId="1329" priority="415" operator="equal">
      <formula>"CU1"</formula>
    </cfRule>
  </conditionalFormatting>
  <conditionalFormatting sqref="F66">
    <cfRule type="cellIs" dxfId="1328" priority="2256" stopIfTrue="1" operator="equal">
      <formula>"E1"</formula>
    </cfRule>
    <cfRule type="cellIs" dxfId="1327" priority="2257" stopIfTrue="1" operator="equal">
      <formula>"E2"</formula>
    </cfRule>
  </conditionalFormatting>
  <conditionalFormatting sqref="C10:I10">
    <cfRule type="cellIs" dxfId="1326" priority="140" operator="equal">
      <formula>"CU2M"</formula>
    </cfRule>
  </conditionalFormatting>
  <conditionalFormatting sqref="C10:I10">
    <cfRule type="cellIs" dxfId="1325" priority="139" operator="equal">
      <formula>"CU2T"</formula>
    </cfRule>
  </conditionalFormatting>
  <conditionalFormatting sqref="C45:I54 C11:I40">
    <cfRule type="containsText" dxfId="1324" priority="131" operator="containsText" text="CU1">
      <formula>NOT(ISERROR(SEARCH("CU1",C11)))</formula>
    </cfRule>
    <cfRule type="containsText" dxfId="1323" priority="132" operator="containsText" text="PSIC">
      <formula>NOT(ISERROR(SEARCH("PSIC",C11)))</formula>
    </cfRule>
    <cfRule type="containsText" dxfId="1322" priority="134" operator="containsText" text="REC">
      <formula>NOT(ISERROR(SEARCH("REC",C11)))</formula>
    </cfRule>
    <cfRule type="containsText" dxfId="1321" priority="135" operator="containsText" text="TR">
      <formula>NOT(ISERROR(SEARCH("TR",C11)))</formula>
    </cfRule>
    <cfRule type="containsText" dxfId="1320" priority="137" operator="containsText" text="BE">
      <formula>NOT(ISERROR(SEARCH("BE",C11)))</formula>
    </cfRule>
    <cfRule type="containsText" dxfId="1319" priority="138" operator="containsText" text="CU2">
      <formula>NOT(ISERROR(SEARCH("CU2",C11)))</formula>
    </cfRule>
  </conditionalFormatting>
  <conditionalFormatting sqref="L52">
    <cfRule type="containsText" dxfId="1318" priority="136" operator="containsText" text="TR">
      <formula>NOT(ISERROR(SEARCH("TR",L52)))</formula>
    </cfRule>
  </conditionalFormatting>
  <conditionalFormatting sqref="C55:D56 G55:I56">
    <cfRule type="containsText" dxfId="1317" priority="126" operator="containsText" text="SP2">
      <formula>NOT(ISERROR(SEARCH("SP2",C55)))</formula>
    </cfRule>
  </conditionalFormatting>
  <conditionalFormatting sqref="C55:D56 G55:I56">
    <cfRule type="containsText" dxfId="1316" priority="128" operator="containsText" text="CU">
      <formula>NOT(ISERROR(SEARCH("CU",C55)))</formula>
    </cfRule>
    <cfRule type="containsText" dxfId="1315" priority="129" operator="containsText" text="TR">
      <formula>NOT(ISERROR(SEARCH("TR",C55)))</formula>
    </cfRule>
    <cfRule type="cellIs" dxfId="1314" priority="130" operator="equal">
      <formula>"CU2"</formula>
    </cfRule>
  </conditionalFormatting>
  <conditionalFormatting sqref="C56:D56 G56:I56">
    <cfRule type="containsText" dxfId="1313" priority="127" operator="containsText" text="CU2">
      <formula>NOT(ISERROR(SEARCH("CU2",C56)))</formula>
    </cfRule>
  </conditionalFormatting>
  <conditionalFormatting sqref="C55:D56 G55:I56">
    <cfRule type="containsText" dxfId="1312" priority="119" operator="containsText" text="CU1">
      <formula>NOT(ISERROR(SEARCH("CU1",C55)))</formula>
    </cfRule>
    <cfRule type="containsText" dxfId="1311" priority="120" operator="containsText" text="PSIC">
      <formula>NOT(ISERROR(SEARCH("PSIC",C55)))</formula>
    </cfRule>
    <cfRule type="containsText" dxfId="1310" priority="121" operator="containsText" text="REC">
      <formula>NOT(ISERROR(SEARCH("REC",C55)))</formula>
    </cfRule>
    <cfRule type="containsText" dxfId="1309" priority="125" operator="containsText" text="CU">
      <formula>NOT(ISERROR(SEARCH("CU",C55)))</formula>
    </cfRule>
  </conditionalFormatting>
  <conditionalFormatting sqref="C55:D56 G55:I56">
    <cfRule type="containsText" dxfId="1308" priority="122" operator="containsText" text="REC">
      <formula>NOT(ISERROR(SEARCH("REC",C55)))</formula>
    </cfRule>
    <cfRule type="containsText" dxfId="1307" priority="123" operator="containsText" text="TR">
      <formula>NOT(ISERROR(SEARCH("TR",C55)))</formula>
    </cfRule>
    <cfRule type="containsText" dxfId="1306" priority="124" operator="containsText" text="BE">
      <formula>NOT(ISERROR(SEARCH("BE",C55)))</formula>
    </cfRule>
  </conditionalFormatting>
  <conditionalFormatting sqref="C43:I44">
    <cfRule type="containsText" dxfId="1305" priority="113" operator="containsText" text="TR">
      <formula>NOT(ISERROR(SEARCH("TR",C43)))</formula>
    </cfRule>
  </conditionalFormatting>
  <conditionalFormatting sqref="C43:I44">
    <cfRule type="containsText" dxfId="1304" priority="114" operator="containsText" text="SP2">
      <formula>NOT(ISERROR(SEARCH("SP2",C43)))</formula>
    </cfRule>
  </conditionalFormatting>
  <conditionalFormatting sqref="C43:I44">
    <cfRule type="containsText" dxfId="1303" priority="116" operator="containsText" text="CU">
      <formula>NOT(ISERROR(SEARCH("CU",C43)))</formula>
    </cfRule>
    <cfRule type="containsText" dxfId="1302" priority="117" operator="containsText" text="TR">
      <formula>NOT(ISERROR(SEARCH("TR",C43)))</formula>
    </cfRule>
    <cfRule type="cellIs" dxfId="1301" priority="118" operator="equal">
      <formula>"CU2"</formula>
    </cfRule>
  </conditionalFormatting>
  <conditionalFormatting sqref="C44:I44">
    <cfRule type="containsText" dxfId="1300" priority="115" operator="containsText" text="CU2">
      <formula>NOT(ISERROR(SEARCH("CU2",C44)))</formula>
    </cfRule>
  </conditionalFormatting>
  <conditionalFormatting sqref="C43:I44">
    <cfRule type="containsText" dxfId="1299" priority="107" operator="containsText" text="CU1">
      <formula>NOT(ISERROR(SEARCH("CU1",C43)))</formula>
    </cfRule>
    <cfRule type="containsText" dxfId="1298" priority="108" operator="containsText" text="PSIC">
      <formula>NOT(ISERROR(SEARCH("PSIC",C43)))</formula>
    </cfRule>
    <cfRule type="containsText" dxfId="1297" priority="109" operator="containsText" text="REC">
      <formula>NOT(ISERROR(SEARCH("REC",C43)))</formula>
    </cfRule>
    <cfRule type="containsText" dxfId="1296" priority="110" operator="containsText" text="TR">
      <formula>NOT(ISERROR(SEARCH("TR",C43)))</formula>
    </cfRule>
    <cfRule type="containsText" dxfId="1295" priority="111" operator="containsText" text="BE">
      <formula>NOT(ISERROR(SEARCH("BE",C43)))</formula>
    </cfRule>
    <cfRule type="containsText" dxfId="1294" priority="112" operator="containsText" text="CU2">
      <formula>NOT(ISERROR(SEARCH("CU2",C43)))</formula>
    </cfRule>
  </conditionalFormatting>
  <conditionalFormatting sqref="C41:I42">
    <cfRule type="containsText" dxfId="1293" priority="101" operator="containsText" text="TR">
      <formula>NOT(ISERROR(SEARCH("TR",C41)))</formula>
    </cfRule>
  </conditionalFormatting>
  <conditionalFormatting sqref="C41:I42">
    <cfRule type="containsText" dxfId="1292" priority="102" operator="containsText" text="SP2">
      <formula>NOT(ISERROR(SEARCH("SP2",C41)))</formula>
    </cfRule>
  </conditionalFormatting>
  <conditionalFormatting sqref="C41:I42">
    <cfRule type="containsText" dxfId="1291" priority="104" operator="containsText" text="CU">
      <formula>NOT(ISERROR(SEARCH("CU",C41)))</formula>
    </cfRule>
    <cfRule type="containsText" dxfId="1290" priority="105" operator="containsText" text="TR">
      <formula>NOT(ISERROR(SEARCH("TR",C41)))</formula>
    </cfRule>
    <cfRule type="cellIs" dxfId="1289" priority="106" operator="equal">
      <formula>"CU2"</formula>
    </cfRule>
  </conditionalFormatting>
  <conditionalFormatting sqref="C42:I42">
    <cfRule type="containsText" dxfId="1288" priority="103" operator="containsText" text="CU2">
      <formula>NOT(ISERROR(SEARCH("CU2",C42)))</formula>
    </cfRule>
  </conditionalFormatting>
  <conditionalFormatting sqref="C41:I42">
    <cfRule type="containsText" dxfId="1287" priority="95" operator="containsText" text="CU1">
      <formula>NOT(ISERROR(SEARCH("CU1",C41)))</formula>
    </cfRule>
    <cfRule type="containsText" dxfId="1286" priority="96" operator="containsText" text="PSIC">
      <formula>NOT(ISERROR(SEARCH("PSIC",C41)))</formula>
    </cfRule>
    <cfRule type="containsText" dxfId="1285" priority="97" operator="containsText" text="REC">
      <formula>NOT(ISERROR(SEARCH("REC",C41)))</formula>
    </cfRule>
    <cfRule type="containsText" dxfId="1284" priority="98" operator="containsText" text="TR">
      <formula>NOT(ISERROR(SEARCH("TR",C41)))</formula>
    </cfRule>
    <cfRule type="containsText" dxfId="1283" priority="99" operator="containsText" text="BE">
      <formula>NOT(ISERROR(SEARCH("BE",C41)))</formula>
    </cfRule>
    <cfRule type="containsText" dxfId="1282" priority="100" operator="containsText" text="CU2">
      <formula>NOT(ISERROR(SEARCH("CU2",C41)))</formula>
    </cfRule>
  </conditionalFormatting>
  <conditionalFormatting sqref="C59:I60">
    <cfRule type="containsText" dxfId="1281" priority="91" operator="containsText" text="SP2">
      <formula>NOT(ISERROR(SEARCH("SP2",C59)))</formula>
    </cfRule>
  </conditionalFormatting>
  <conditionalFormatting sqref="C59:I60">
    <cfRule type="containsText" dxfId="1280" priority="93" operator="containsText" text="CU">
      <formula>NOT(ISERROR(SEARCH("CU",C59)))</formula>
    </cfRule>
    <cfRule type="containsText" dxfId="1279" priority="94" operator="containsText" text="TR">
      <formula>NOT(ISERROR(SEARCH("TR",C59)))</formula>
    </cfRule>
  </conditionalFormatting>
  <conditionalFormatting sqref="C60:I60">
    <cfRule type="containsText" dxfId="1278" priority="92" operator="containsText" text="CU2">
      <formula>NOT(ISERROR(SEARCH("CU2",C60)))</formula>
    </cfRule>
  </conditionalFormatting>
  <conditionalFormatting sqref="F56">
    <cfRule type="containsText" dxfId="1277" priority="86" operator="containsText" text="SP2">
      <formula>NOT(ISERROR(SEARCH("SP2",F56)))</formula>
    </cfRule>
  </conditionalFormatting>
  <conditionalFormatting sqref="F56">
    <cfRule type="containsText" dxfId="1276" priority="88" operator="containsText" text="CU">
      <formula>NOT(ISERROR(SEARCH("CU",F56)))</formula>
    </cfRule>
    <cfRule type="containsText" dxfId="1275" priority="89" operator="containsText" text="TR">
      <formula>NOT(ISERROR(SEARCH("TR",F56)))</formula>
    </cfRule>
    <cfRule type="cellIs" dxfId="1274" priority="90" operator="equal">
      <formula>"CU2"</formula>
    </cfRule>
  </conditionalFormatting>
  <conditionalFormatting sqref="F56">
    <cfRule type="containsText" dxfId="1273" priority="87" operator="containsText" text="CU2">
      <formula>NOT(ISERROR(SEARCH("CU2",F56)))</formula>
    </cfRule>
  </conditionalFormatting>
  <conditionalFormatting sqref="F56">
    <cfRule type="containsText" dxfId="1272" priority="79" operator="containsText" text="CU1">
      <formula>NOT(ISERROR(SEARCH("CU1",F56)))</formula>
    </cfRule>
    <cfRule type="containsText" dxfId="1271" priority="80" operator="containsText" text="PSIC">
      <formula>NOT(ISERROR(SEARCH("PSIC",F56)))</formula>
    </cfRule>
    <cfRule type="containsText" dxfId="1270" priority="81" operator="containsText" text="REC">
      <formula>NOT(ISERROR(SEARCH("REC",F56)))</formula>
    </cfRule>
    <cfRule type="containsText" dxfId="1269" priority="85" operator="containsText" text="CU">
      <formula>NOT(ISERROR(SEARCH("CU",F56)))</formula>
    </cfRule>
  </conditionalFormatting>
  <conditionalFormatting sqref="F56">
    <cfRule type="containsText" dxfId="1268" priority="82" operator="containsText" text="REC">
      <formula>NOT(ISERROR(SEARCH("REC",F56)))</formula>
    </cfRule>
    <cfRule type="containsText" dxfId="1267" priority="83" operator="containsText" text="TR">
      <formula>NOT(ISERROR(SEARCH("TR",F56)))</formula>
    </cfRule>
    <cfRule type="containsText" dxfId="1266" priority="84" operator="containsText" text="BE">
      <formula>NOT(ISERROR(SEARCH("BE",F56)))</formula>
    </cfRule>
  </conditionalFormatting>
  <conditionalFormatting sqref="F58">
    <cfRule type="containsText" dxfId="1265" priority="74" operator="containsText" text="SP2">
      <formula>NOT(ISERROR(SEARCH("SP2",F58)))</formula>
    </cfRule>
  </conditionalFormatting>
  <conditionalFormatting sqref="F58">
    <cfRule type="containsText" dxfId="1264" priority="76" operator="containsText" text="CU">
      <formula>NOT(ISERROR(SEARCH("CU",F58)))</formula>
    </cfRule>
    <cfRule type="containsText" dxfId="1263" priority="77" operator="containsText" text="TR">
      <formula>NOT(ISERROR(SEARCH("TR",F58)))</formula>
    </cfRule>
    <cfRule type="cellIs" dxfId="1262" priority="78" operator="equal">
      <formula>"CU2"</formula>
    </cfRule>
  </conditionalFormatting>
  <conditionalFormatting sqref="F58">
    <cfRule type="containsText" dxfId="1261" priority="75" operator="containsText" text="CU2">
      <formula>NOT(ISERROR(SEARCH("CU2",F58)))</formula>
    </cfRule>
  </conditionalFormatting>
  <conditionalFormatting sqref="F58">
    <cfRule type="containsText" dxfId="1260" priority="68" operator="containsText" text="CU1">
      <formula>NOT(ISERROR(SEARCH("CU1",F58)))</formula>
    </cfRule>
    <cfRule type="containsText" dxfId="1259" priority="69" operator="containsText" text="PSIC">
      <formula>NOT(ISERROR(SEARCH("PSIC",F58)))</formula>
    </cfRule>
    <cfRule type="containsText" dxfId="1258" priority="70" operator="containsText" text="REC">
      <formula>NOT(ISERROR(SEARCH("REC",F58)))</formula>
    </cfRule>
    <cfRule type="containsText" dxfId="1257" priority="71" operator="containsText" text="TR">
      <formula>NOT(ISERROR(SEARCH("TR",F58)))</formula>
    </cfRule>
    <cfRule type="containsText" dxfId="1256" priority="72" operator="containsText" text="BE">
      <formula>NOT(ISERROR(SEARCH("BE",F58)))</formula>
    </cfRule>
    <cfRule type="containsText" dxfId="1255" priority="73" operator="containsText" text="CU2">
      <formula>NOT(ISERROR(SEARCH("CU2",F58)))</formula>
    </cfRule>
  </conditionalFormatting>
  <conditionalFormatting sqref="C11:I60">
    <cfRule type="containsText" dxfId="1254" priority="66" operator="containsText" text="CUT">
      <formula>NOT(ISERROR(SEARCH("CUT",C11)))</formula>
    </cfRule>
    <cfRule type="containsText" dxfId="1253" priority="67" operator="containsText" text="CUM">
      <formula>NOT(ISERROR(SEARCH("CUM",C11)))</formula>
    </cfRule>
  </conditionalFormatting>
  <conditionalFormatting sqref="A60">
    <cfRule type="containsText" dxfId="1252" priority="20" operator="containsText" text="CI">
      <formula>NOT(ISERROR(SEARCH("CI",A60)))</formula>
    </cfRule>
  </conditionalFormatting>
  <conditionalFormatting sqref="A60">
    <cfRule type="containsText" dxfId="1251" priority="18" operator="containsText" text="CUM">
      <formula>NOT(ISERROR(SEARCH("CUM",A60)))</formula>
    </cfRule>
    <cfRule type="containsText" dxfId="1250" priority="19" operator="containsText" text="CUT">
      <formula>NOT(ISERROR(SEARCH("CUT",A60)))</formula>
    </cfRule>
  </conditionalFormatting>
  <conditionalFormatting sqref="A60">
    <cfRule type="containsText" dxfId="1249" priority="21" operator="containsText" text="TR">
      <formula>NOT(ISERROR(SEARCH("TR",A60)))</formula>
    </cfRule>
    <cfRule type="cellIs" dxfId="1248" priority="22" operator="equal">
      <formula>"CU2"</formula>
    </cfRule>
    <cfRule type="cellIs" dxfId="1247" priority="23" operator="equal">
      <formula>"CU1"</formula>
    </cfRule>
  </conditionalFormatting>
  <conditionalFormatting sqref="A60">
    <cfRule type="containsText" dxfId="1246" priority="17" operator="containsText" text="REC">
      <formula>NOT(ISERROR(SEARCH("REC",A60)))</formula>
    </cfRule>
  </conditionalFormatting>
  <conditionalFormatting sqref="A60">
    <cfRule type="containsText" dxfId="1245" priority="15" operator="containsText" text="PSIC">
      <formula>NOT(ISERROR(SEARCH("PSIC",A60)))</formula>
    </cfRule>
    <cfRule type="expression" dxfId="1244" priority="16">
      <formula>OR(A60=21,A60=22,A60=23,A60=24,A60=25,A60=26,A60=27)</formula>
    </cfRule>
  </conditionalFormatting>
  <conditionalFormatting sqref="A59">
    <cfRule type="containsText" dxfId="1243" priority="11" operator="containsText" text="CI">
      <formula>NOT(ISERROR(SEARCH("CI",A59)))</formula>
    </cfRule>
  </conditionalFormatting>
  <conditionalFormatting sqref="A59">
    <cfRule type="containsText" dxfId="1242" priority="9" operator="containsText" text="CUM">
      <formula>NOT(ISERROR(SEARCH("CUM",A59)))</formula>
    </cfRule>
    <cfRule type="containsText" dxfId="1241" priority="10" operator="containsText" text="CUT">
      <formula>NOT(ISERROR(SEARCH("CUT",A59)))</formula>
    </cfRule>
  </conditionalFormatting>
  <conditionalFormatting sqref="A59">
    <cfRule type="containsText" dxfId="1240" priority="12" operator="containsText" text="TR">
      <formula>NOT(ISERROR(SEARCH("TR",A59)))</formula>
    </cfRule>
    <cfRule type="cellIs" dxfId="1239" priority="13" operator="equal">
      <formula>"CU2"</formula>
    </cfRule>
    <cfRule type="cellIs" dxfId="1238" priority="14" operator="equal">
      <formula>"CU1"</formula>
    </cfRule>
  </conditionalFormatting>
  <conditionalFormatting sqref="A59">
    <cfRule type="containsText" dxfId="1237" priority="8" operator="containsText" text="REC">
      <formula>NOT(ISERROR(SEARCH("REC",A59)))</formula>
    </cfRule>
  </conditionalFormatting>
  <conditionalFormatting sqref="A59">
    <cfRule type="containsText" dxfId="1236" priority="6" operator="containsText" text="PSIC">
      <formula>NOT(ISERROR(SEARCH("PSIC",A59)))</formula>
    </cfRule>
    <cfRule type="expression" dxfId="1235" priority="7">
      <formula>OR(A59=21,A59=22,A59=23,A59=24,A59=25,A59=26,A59=27)</formula>
    </cfRule>
  </conditionalFormatting>
  <conditionalFormatting sqref="A34">
    <cfRule type="expression" dxfId="1234" priority="2">
      <formula>OR($AF34&gt;1,$AG34&gt;1,$AH34&gt;1,$AI34&gt;1,$AJ34&gt;1,$AK34&gt;1,$AL34&gt;1)</formula>
    </cfRule>
  </conditionalFormatting>
  <conditionalFormatting sqref="A36">
    <cfRule type="expression" dxfId="1233" priority="1">
      <formula>OR($AF36&gt;1,$AG36&gt;1,$AH36&gt;1,$AI36&gt;1,$AJ36&gt;1,$AK36&gt;1,$AL36&gt;1)</formula>
    </cfRule>
  </conditionalFormatting>
  <conditionalFormatting sqref="A34 A36">
    <cfRule type="expression" dxfId="1232" priority="3" stopIfTrue="1">
      <formula>OR($AF34&gt;1,$AG34&gt;1,$AH34&gt;1,$AI34&gt;1,$AJ34&gt;1,$AK34&gt;1,$AL34&gt;1)</formula>
    </cfRule>
    <cfRule type="expression" dxfId="1231" priority="4" stopIfTrue="1">
      <formula>OR($AV34&gt;1,$AW34&gt;1,$AX34&gt;1,$AY34&gt;1,$AZ34&gt;1,$BA34&gt;1,$BB34&gt;1)</formula>
    </cfRule>
    <cfRule type="expression" dxfId="1230" priority="5" stopIfTrue="1">
      <formula>OR(AND(BD34&lt;&gt;0,BD34&lt;sietehoras),AND(BE34&lt;&gt;0,BE34&lt;sietehoras),AND(BF34&lt;&gt;0,BF34&lt;sietehoras),AND(BG34&lt;&gt;0,BG34&lt;sietehoras),AND(BH34&lt;&gt;0,BH34&lt;sietehoras),AND(BI34&lt;&gt;0,BI34&lt;sietehoras),AND(BJ34&lt;&gt;0,BJ34&lt;sietehoras),AND(BK34&lt;&gt;0,BK34&lt;sietehoras))</formula>
    </cfRule>
  </conditionalFormatting>
  <pageMargins left="0.70866141732283472" right="0.70866141732283472" top="0.35433070866141736" bottom="0.15748031496062992" header="0.31496062992125984" footer="0"/>
  <pageSetup paperSize="9" scale="70"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P47"/>
  <sheetViews>
    <sheetView showZeros="0" topLeftCell="A22" zoomScaleNormal="100" workbookViewId="0">
      <selection activeCell="N43" sqref="N43"/>
    </sheetView>
  </sheetViews>
  <sheetFormatPr defaultColWidth="10.625" defaultRowHeight="15" x14ac:dyDescent="0.2"/>
  <cols>
    <col min="1" max="1" width="8.47265625" style="135" customWidth="1"/>
    <col min="2" max="2" width="47.484375" style="135" customWidth="1"/>
    <col min="3" max="9" width="7.3984375" style="135" customWidth="1"/>
    <col min="10" max="16384" width="10.625" style="135"/>
  </cols>
  <sheetData>
    <row r="2" spans="1:10" x14ac:dyDescent="0.2">
      <c r="A2" s="316"/>
      <c r="B2" s="316"/>
      <c r="C2" s="316"/>
      <c r="D2" s="316"/>
      <c r="E2" s="317"/>
      <c r="F2" s="316"/>
      <c r="G2" s="316"/>
      <c r="H2" s="316"/>
      <c r="I2" s="316"/>
    </row>
    <row r="3" spans="1:10" x14ac:dyDescent="0.2">
      <c r="A3" s="200" t="s">
        <v>43</v>
      </c>
      <c r="B3" s="315"/>
      <c r="C3" s="316"/>
      <c r="D3" s="316"/>
      <c r="E3" s="316"/>
      <c r="F3" s="317"/>
      <c r="H3" s="316"/>
      <c r="I3" s="316"/>
    </row>
    <row r="4" spans="1:10" x14ac:dyDescent="0.2">
      <c r="A4" s="318"/>
      <c r="B4" s="316"/>
      <c r="C4" s="316"/>
      <c r="D4" s="316"/>
      <c r="E4" s="316"/>
      <c r="F4" s="316"/>
      <c r="G4" s="316"/>
      <c r="H4" s="316"/>
      <c r="I4" s="316"/>
    </row>
    <row r="5" spans="1:10" ht="18.75" x14ac:dyDescent="0.2">
      <c r="A5" s="347" t="s">
        <v>64</v>
      </c>
      <c r="B5" s="348"/>
      <c r="C5" s="348"/>
      <c r="D5" s="317"/>
      <c r="E5" s="317"/>
      <c r="F5" s="317"/>
      <c r="G5" s="317"/>
      <c r="H5" s="317"/>
      <c r="I5" s="317"/>
    </row>
    <row r="6" spans="1:10" x14ac:dyDescent="0.2">
      <c r="A6" s="321"/>
      <c r="B6" s="317"/>
      <c r="C6" s="317"/>
      <c r="D6" s="317"/>
      <c r="E6" s="317"/>
      <c r="F6" s="317"/>
      <c r="G6" s="317"/>
      <c r="H6" s="317"/>
      <c r="I6" s="317"/>
    </row>
    <row r="7" spans="1:10" x14ac:dyDescent="0.2">
      <c r="A7" s="321"/>
      <c r="B7" s="317"/>
      <c r="C7" s="317"/>
      <c r="D7" s="317"/>
      <c r="E7" s="317"/>
      <c r="F7" s="317"/>
      <c r="G7" s="317"/>
      <c r="H7" s="317"/>
      <c r="I7" s="317"/>
    </row>
    <row r="8" spans="1:10" x14ac:dyDescent="0.2">
      <c r="A8" s="321"/>
      <c r="B8" s="317"/>
      <c r="C8" s="317"/>
      <c r="D8" s="317"/>
      <c r="E8" s="317"/>
      <c r="F8" s="317"/>
      <c r="G8" s="317"/>
      <c r="H8" s="317"/>
      <c r="I8" s="317"/>
    </row>
    <row r="9" spans="1:10" ht="18" x14ac:dyDescent="0.2">
      <c r="A9" s="313" t="s">
        <v>54</v>
      </c>
      <c r="B9" s="367"/>
      <c r="C9" s="683" t="str">
        <f>IF(MONTH(C12)=MONTH(I12),"Semana del dia "&amp;DAY(FECHA!$C$3)&amp;" "&amp;"al "&amp;DAY(FECHA!$C$3+6)&amp;" de "&amp;VLOOKUP(MONTH(FECHA!$C$3),FECHA!$H$2:$I$13,2)&amp;" "&amp;YEAR(I12),"Semana del dia "&amp;DAY(FECHA!$C$3)&amp;" "&amp;VLOOKUP(MONTH(FECHA!$C$3),FECHA!$H$2:$I$13,2)&amp;" "&amp;"al "&amp;DAY(FECHA!$C$3+6)&amp;" de "&amp;VLOOKUP(MONTH(I12),FECHA!$H$2:$I$13,2)&amp;" "&amp;YEAR(I12))</f>
        <v>Semana del dia 8 al 14 de Sep 2025</v>
      </c>
      <c r="D9" s="684"/>
      <c r="E9" s="684"/>
      <c r="F9" s="684"/>
      <c r="G9" s="684"/>
      <c r="H9" s="684"/>
      <c r="I9" s="685"/>
      <c r="J9" s="368"/>
    </row>
    <row r="10" spans="1:10" ht="15.75" thickBot="1" x14ac:dyDescent="0.25">
      <c r="A10" s="133"/>
      <c r="B10" s="133"/>
      <c r="C10" s="133"/>
      <c r="D10" s="133"/>
      <c r="E10" s="133"/>
      <c r="F10" s="133"/>
      <c r="G10" s="133"/>
      <c r="H10" s="133"/>
      <c r="I10" s="133"/>
    </row>
    <row r="11" spans="1:10" ht="18.75" thickTop="1" x14ac:dyDescent="0.2">
      <c r="A11" s="278"/>
      <c r="B11" s="323"/>
      <c r="C11" s="139" t="s">
        <v>26</v>
      </c>
      <c r="D11" s="139" t="s">
        <v>27</v>
      </c>
      <c r="E11" s="139" t="s">
        <v>28</v>
      </c>
      <c r="F11" s="140" t="s">
        <v>29</v>
      </c>
      <c r="G11" s="139" t="s">
        <v>30</v>
      </c>
      <c r="H11" s="139" t="s">
        <v>31</v>
      </c>
      <c r="I11" s="140" t="s">
        <v>32</v>
      </c>
    </row>
    <row r="12" spans="1:10" ht="18.75" thickBot="1" x14ac:dyDescent="0.25">
      <c r="A12" s="281" t="s">
        <v>35</v>
      </c>
      <c r="B12" s="324" t="s">
        <v>33</v>
      </c>
      <c r="C12" s="144">
        <f>DATE(YEAR(FECHA!$C$3),MONTH(FECHA!$C$3),DAY(FECHA!$C$3))</f>
        <v>45908</v>
      </c>
      <c r="D12" s="144">
        <f>C12+1</f>
        <v>45909</v>
      </c>
      <c r="E12" s="144">
        <f t="shared" ref="E12:I12" si="0">D12+1</f>
        <v>45910</v>
      </c>
      <c r="F12" s="144">
        <f t="shared" si="0"/>
        <v>45911</v>
      </c>
      <c r="G12" s="144">
        <f t="shared" si="0"/>
        <v>45912</v>
      </c>
      <c r="H12" s="144">
        <f t="shared" si="0"/>
        <v>45913</v>
      </c>
      <c r="I12" s="144">
        <f t="shared" si="0"/>
        <v>45914</v>
      </c>
    </row>
    <row r="13" spans="1:10" ht="18.75" thickTop="1" x14ac:dyDescent="0.2">
      <c r="A13" s="226">
        <v>0</v>
      </c>
      <c r="B13" s="331">
        <v>0</v>
      </c>
      <c r="C13" s="327" t="s">
        <v>204</v>
      </c>
      <c r="D13" s="328" t="s">
        <v>204</v>
      </c>
      <c r="E13" s="328" t="s">
        <v>204</v>
      </c>
      <c r="F13" s="243" t="s">
        <v>204</v>
      </c>
      <c r="G13" s="220" t="s">
        <v>204</v>
      </c>
      <c r="H13" s="328" t="s">
        <v>204</v>
      </c>
      <c r="I13" s="328" t="s">
        <v>204</v>
      </c>
    </row>
    <row r="14" spans="1:10" ht="18.75" thickBot="1" x14ac:dyDescent="0.25">
      <c r="A14" s="222">
        <v>1374</v>
      </c>
      <c r="B14" s="369" t="s">
        <v>67</v>
      </c>
      <c r="C14" s="330" t="s">
        <v>34</v>
      </c>
      <c r="D14" s="330" t="s">
        <v>34</v>
      </c>
      <c r="E14" s="330" t="s">
        <v>76</v>
      </c>
      <c r="F14" s="338" t="s">
        <v>76</v>
      </c>
      <c r="G14" s="338" t="s">
        <v>76</v>
      </c>
      <c r="H14" s="330" t="s">
        <v>76</v>
      </c>
      <c r="I14" s="330" t="s">
        <v>76</v>
      </c>
    </row>
    <row r="15" spans="1:10" ht="18.75" thickTop="1" x14ac:dyDescent="0.2">
      <c r="A15" s="226">
        <v>0</v>
      </c>
      <c r="B15" s="370">
        <v>0</v>
      </c>
      <c r="C15" s="220" t="s">
        <v>204</v>
      </c>
      <c r="D15" s="220" t="s">
        <v>204</v>
      </c>
      <c r="E15" s="633" t="s">
        <v>204</v>
      </c>
      <c r="F15" s="220" t="s">
        <v>204</v>
      </c>
      <c r="G15" s="220" t="s">
        <v>204</v>
      </c>
      <c r="H15" s="239" t="s">
        <v>204</v>
      </c>
      <c r="I15" s="228" t="s">
        <v>204</v>
      </c>
    </row>
    <row r="16" spans="1:10" ht="18.75" thickBot="1" x14ac:dyDescent="0.25">
      <c r="A16" s="371">
        <v>362</v>
      </c>
      <c r="B16" s="372" t="s">
        <v>66</v>
      </c>
      <c r="C16" s="330" t="s">
        <v>218</v>
      </c>
      <c r="D16" s="334" t="s">
        <v>34</v>
      </c>
      <c r="E16" s="630" t="s">
        <v>209</v>
      </c>
      <c r="F16" s="225" t="s">
        <v>208</v>
      </c>
      <c r="G16" s="225" t="s">
        <v>208</v>
      </c>
      <c r="H16" s="333" t="s">
        <v>209</v>
      </c>
      <c r="I16" s="330" t="s">
        <v>222</v>
      </c>
    </row>
    <row r="17" spans="1:16" ht="18.75" thickTop="1" x14ac:dyDescent="0.2">
      <c r="A17" s="226">
        <v>0</v>
      </c>
      <c r="B17" s="331">
        <v>0</v>
      </c>
      <c r="C17" s="220" t="s">
        <v>204</v>
      </c>
      <c r="D17" s="328" t="s">
        <v>204</v>
      </c>
      <c r="E17" s="328" t="s">
        <v>204</v>
      </c>
      <c r="F17" s="632" t="s">
        <v>204</v>
      </c>
      <c r="G17" s="440" t="s">
        <v>204</v>
      </c>
      <c r="H17" s="328" t="s">
        <v>204</v>
      </c>
      <c r="I17" s="328" t="s">
        <v>204</v>
      </c>
    </row>
    <row r="18" spans="1:16" ht="18.75" thickBot="1" x14ac:dyDescent="0.25">
      <c r="A18" s="222">
        <v>3073</v>
      </c>
      <c r="B18" s="369" t="s">
        <v>125</v>
      </c>
      <c r="C18" s="330" t="s">
        <v>209</v>
      </c>
      <c r="D18" s="330" t="s">
        <v>210</v>
      </c>
      <c r="E18" s="330" t="s">
        <v>34</v>
      </c>
      <c r="F18" s="333" t="s">
        <v>34</v>
      </c>
      <c r="G18" s="334" t="s">
        <v>219</v>
      </c>
      <c r="H18" s="330" t="s">
        <v>221</v>
      </c>
      <c r="I18" s="330" t="s">
        <v>214</v>
      </c>
    </row>
    <row r="19" spans="1:16" ht="18.75" thickTop="1" x14ac:dyDescent="0.2">
      <c r="A19" s="237">
        <v>0</v>
      </c>
      <c r="B19" s="336">
        <v>0</v>
      </c>
      <c r="C19" s="220" t="s">
        <v>204</v>
      </c>
      <c r="D19" s="328" t="s">
        <v>204</v>
      </c>
      <c r="E19" s="328" t="s">
        <v>204</v>
      </c>
      <c r="F19" s="332" t="s">
        <v>204</v>
      </c>
      <c r="G19" s="328" t="s">
        <v>204</v>
      </c>
      <c r="H19" s="328" t="s">
        <v>204</v>
      </c>
      <c r="I19" s="328" t="s">
        <v>204</v>
      </c>
    </row>
    <row r="20" spans="1:16" ht="18.75" thickBot="1" x14ac:dyDescent="0.25">
      <c r="A20" s="235">
        <v>296</v>
      </c>
      <c r="B20" s="460" t="s">
        <v>139</v>
      </c>
      <c r="C20" s="330" t="s">
        <v>34</v>
      </c>
      <c r="D20" s="330" t="s">
        <v>34</v>
      </c>
      <c r="E20" s="338" t="s">
        <v>212</v>
      </c>
      <c r="F20" s="339" t="s">
        <v>211</v>
      </c>
      <c r="G20" s="334" t="s">
        <v>211</v>
      </c>
      <c r="H20" s="330" t="s">
        <v>218</v>
      </c>
      <c r="I20" s="330" t="s">
        <v>232</v>
      </c>
    </row>
    <row r="21" spans="1:16" ht="18.75" thickTop="1" x14ac:dyDescent="0.2">
      <c r="A21" s="237">
        <v>0</v>
      </c>
      <c r="B21" s="336">
        <v>0</v>
      </c>
      <c r="C21" s="220" t="s">
        <v>204</v>
      </c>
      <c r="D21" s="629" t="s">
        <v>204</v>
      </c>
      <c r="E21" s="220" t="s">
        <v>204</v>
      </c>
      <c r="F21" s="220" t="s">
        <v>204</v>
      </c>
      <c r="G21" s="332" t="s">
        <v>204</v>
      </c>
      <c r="H21" s="661" t="s">
        <v>204</v>
      </c>
      <c r="I21" s="328" t="s">
        <v>204</v>
      </c>
    </row>
    <row r="22" spans="1:16" ht="18.75" thickBot="1" x14ac:dyDescent="0.25">
      <c r="A22" s="235">
        <v>3550</v>
      </c>
      <c r="B22" s="373" t="s">
        <v>243</v>
      </c>
      <c r="C22" s="330" t="s">
        <v>34</v>
      </c>
      <c r="D22" s="630" t="s">
        <v>217</v>
      </c>
      <c r="E22" s="225" t="s">
        <v>34</v>
      </c>
      <c r="F22" s="225" t="s">
        <v>34</v>
      </c>
      <c r="G22" s="631" t="s">
        <v>34</v>
      </c>
      <c r="H22" s="330" t="s">
        <v>216</v>
      </c>
      <c r="I22" s="330" t="s">
        <v>220</v>
      </c>
    </row>
    <row r="23" spans="1:16" ht="18.75" thickTop="1" x14ac:dyDescent="0.2">
      <c r="A23" s="374">
        <v>0</v>
      </c>
      <c r="B23" s="326">
        <v>0</v>
      </c>
      <c r="C23" s="220" t="s">
        <v>204</v>
      </c>
      <c r="D23" s="328" t="s">
        <v>204</v>
      </c>
      <c r="E23" s="328" t="s">
        <v>204</v>
      </c>
      <c r="F23" s="332" t="s">
        <v>204</v>
      </c>
      <c r="G23" s="328" t="s">
        <v>204</v>
      </c>
      <c r="H23" s="328" t="s">
        <v>204</v>
      </c>
      <c r="I23" s="328" t="s">
        <v>204</v>
      </c>
    </row>
    <row r="24" spans="1:16" ht="18.75" thickBot="1" x14ac:dyDescent="0.25">
      <c r="A24" s="375">
        <v>467</v>
      </c>
      <c r="B24" s="376" t="s">
        <v>65</v>
      </c>
      <c r="C24" s="330" t="s">
        <v>447</v>
      </c>
      <c r="D24" s="330" t="s">
        <v>231</v>
      </c>
      <c r="E24" s="330" t="s">
        <v>221</v>
      </c>
      <c r="F24" s="333" t="s">
        <v>213</v>
      </c>
      <c r="G24" s="334" t="s">
        <v>213</v>
      </c>
      <c r="H24" s="330" t="s">
        <v>34</v>
      </c>
      <c r="I24" s="330" t="s">
        <v>34</v>
      </c>
    </row>
    <row r="25" spans="1:16" ht="18.75" thickTop="1" x14ac:dyDescent="0.2">
      <c r="A25" s="226">
        <v>0</v>
      </c>
      <c r="B25" s="331">
        <v>0</v>
      </c>
      <c r="C25" s="220" t="s">
        <v>204</v>
      </c>
      <c r="D25" s="328" t="s">
        <v>204</v>
      </c>
      <c r="E25" s="328" t="s">
        <v>204</v>
      </c>
      <c r="F25" s="332" t="s">
        <v>204</v>
      </c>
      <c r="G25" s="328" t="s">
        <v>204</v>
      </c>
      <c r="H25" s="661" t="s">
        <v>204</v>
      </c>
      <c r="I25" s="328" t="s">
        <v>204</v>
      </c>
    </row>
    <row r="26" spans="1:16" ht="18.75" thickBot="1" x14ac:dyDescent="0.25">
      <c r="A26" s="222">
        <v>3355</v>
      </c>
      <c r="B26" s="369" t="s">
        <v>126</v>
      </c>
      <c r="C26" s="330" t="s">
        <v>34</v>
      </c>
      <c r="D26" s="330" t="s">
        <v>34</v>
      </c>
      <c r="E26" s="330" t="s">
        <v>76</v>
      </c>
      <c r="F26" s="333" t="s">
        <v>76</v>
      </c>
      <c r="G26" s="334" t="s">
        <v>76</v>
      </c>
      <c r="H26" s="330" t="s">
        <v>76</v>
      </c>
      <c r="I26" s="330" t="s">
        <v>76</v>
      </c>
    </row>
    <row r="27" spans="1:16" ht="18.75" thickTop="1" x14ac:dyDescent="0.2">
      <c r="A27" s="621">
        <v>0</v>
      </c>
      <c r="B27" s="622">
        <v>0</v>
      </c>
      <c r="C27" s="634" t="s">
        <v>204</v>
      </c>
      <c r="D27" s="635" t="s">
        <v>204</v>
      </c>
      <c r="E27" s="635" t="s">
        <v>204</v>
      </c>
      <c r="F27" s="636" t="s">
        <v>204</v>
      </c>
      <c r="G27" s="635" t="s">
        <v>204</v>
      </c>
      <c r="H27" s="635" t="s">
        <v>204</v>
      </c>
      <c r="I27" s="635" t="s">
        <v>204</v>
      </c>
    </row>
    <row r="28" spans="1:16" ht="18.75" thickBot="1" x14ac:dyDescent="0.25">
      <c r="A28" s="623"/>
      <c r="B28" s="624"/>
      <c r="C28" s="637">
        <v>0</v>
      </c>
      <c r="D28" s="637">
        <v>0</v>
      </c>
      <c r="E28" s="637">
        <v>0</v>
      </c>
      <c r="F28" s="638">
        <v>0</v>
      </c>
      <c r="G28" s="639">
        <v>0</v>
      </c>
      <c r="H28" s="637">
        <v>0</v>
      </c>
      <c r="I28" s="637">
        <v>0</v>
      </c>
    </row>
    <row r="29" spans="1:16" ht="18.75" thickTop="1" x14ac:dyDescent="0.2">
      <c r="A29" s="237"/>
      <c r="B29" s="336"/>
      <c r="C29" s="220" t="s">
        <v>204</v>
      </c>
      <c r="D29" s="328" t="s">
        <v>204</v>
      </c>
      <c r="E29" s="328" t="s">
        <v>204</v>
      </c>
      <c r="F29" s="332" t="s">
        <v>204</v>
      </c>
      <c r="G29" s="328" t="s">
        <v>204</v>
      </c>
      <c r="H29" s="328">
        <v>0</v>
      </c>
      <c r="I29" s="328" t="s">
        <v>204</v>
      </c>
      <c r="P29" s="377"/>
    </row>
    <row r="30" spans="1:16" ht="18.75" thickBot="1" x14ac:dyDescent="0.25">
      <c r="A30" s="235">
        <v>3467</v>
      </c>
      <c r="B30" s="373" t="s">
        <v>244</v>
      </c>
      <c r="C30" s="330" t="s">
        <v>221</v>
      </c>
      <c r="D30" s="330" t="s">
        <v>233</v>
      </c>
      <c r="E30" s="330" t="s">
        <v>218</v>
      </c>
      <c r="F30" s="333" t="s">
        <v>215</v>
      </c>
      <c r="G30" s="334" t="s">
        <v>215</v>
      </c>
      <c r="H30" s="330" t="s">
        <v>34</v>
      </c>
      <c r="I30" s="330" t="s">
        <v>224</v>
      </c>
    </row>
    <row r="31" spans="1:16" ht="18.75" thickTop="1" x14ac:dyDescent="0.2">
      <c r="A31" s="237">
        <v>0</v>
      </c>
      <c r="B31" s="336">
        <v>0</v>
      </c>
      <c r="C31" s="220" t="s">
        <v>448</v>
      </c>
      <c r="D31" s="328" t="s">
        <v>204</v>
      </c>
      <c r="E31" s="328" t="s">
        <v>204</v>
      </c>
      <c r="F31" s="332" t="s">
        <v>204</v>
      </c>
      <c r="G31" s="328" t="s">
        <v>204</v>
      </c>
      <c r="H31" s="328" t="s">
        <v>204</v>
      </c>
      <c r="I31" s="328" t="s">
        <v>204</v>
      </c>
    </row>
    <row r="32" spans="1:16" ht="18.75" thickBot="1" x14ac:dyDescent="0.25">
      <c r="A32" s="235">
        <v>3703</v>
      </c>
      <c r="B32" s="373" t="s">
        <v>245</v>
      </c>
      <c r="C32" s="330" t="s">
        <v>34</v>
      </c>
      <c r="D32" s="330" t="s">
        <v>34</v>
      </c>
      <c r="E32" s="338" t="s">
        <v>77</v>
      </c>
      <c r="F32" s="333" t="s">
        <v>77</v>
      </c>
      <c r="G32" s="334" t="s">
        <v>77</v>
      </c>
      <c r="H32" s="330" t="s">
        <v>77</v>
      </c>
      <c r="I32" s="330" t="s">
        <v>77</v>
      </c>
    </row>
    <row r="33" spans="1:9" ht="18.75" thickTop="1" x14ac:dyDescent="0.2">
      <c r="A33" s="226">
        <v>0</v>
      </c>
      <c r="B33" s="331">
        <v>0</v>
      </c>
      <c r="C33" s="220" t="s">
        <v>448</v>
      </c>
      <c r="D33" s="629" t="s">
        <v>204</v>
      </c>
      <c r="E33" s="220" t="s">
        <v>204</v>
      </c>
      <c r="F33" s="328" t="s">
        <v>204</v>
      </c>
      <c r="G33" s="328" t="s">
        <v>204</v>
      </c>
      <c r="H33" s="328" t="s">
        <v>204</v>
      </c>
      <c r="I33" s="328" t="s">
        <v>204</v>
      </c>
    </row>
    <row r="34" spans="1:9" ht="18.75" thickBot="1" x14ac:dyDescent="0.25">
      <c r="A34" s="222">
        <v>3487</v>
      </c>
      <c r="B34" s="369" t="s">
        <v>129</v>
      </c>
      <c r="C34" s="330" t="s">
        <v>212</v>
      </c>
      <c r="D34" s="630" t="s">
        <v>223</v>
      </c>
      <c r="E34" s="225" t="s">
        <v>34</v>
      </c>
      <c r="F34" s="330" t="s">
        <v>205</v>
      </c>
      <c r="G34" s="334" t="s">
        <v>34</v>
      </c>
      <c r="H34" s="330" t="s">
        <v>207</v>
      </c>
      <c r="I34" s="330" t="s">
        <v>206</v>
      </c>
    </row>
    <row r="35" spans="1:9" ht="18.75" thickTop="1" x14ac:dyDescent="0.2">
      <c r="A35" s="226">
        <v>0</v>
      </c>
      <c r="B35" s="331">
        <v>0</v>
      </c>
      <c r="C35" s="220" t="s">
        <v>204</v>
      </c>
      <c r="D35" s="629" t="s">
        <v>204</v>
      </c>
      <c r="E35" s="220" t="s">
        <v>204</v>
      </c>
      <c r="F35" s="220" t="s">
        <v>204</v>
      </c>
      <c r="G35" s="332" t="s">
        <v>204</v>
      </c>
      <c r="H35" s="328" t="s">
        <v>204</v>
      </c>
      <c r="I35" s="328" t="s">
        <v>204</v>
      </c>
    </row>
    <row r="36" spans="1:9" ht="18.75" thickBot="1" x14ac:dyDescent="0.25">
      <c r="A36" s="222">
        <v>3078</v>
      </c>
      <c r="B36" s="369" t="s">
        <v>128</v>
      </c>
      <c r="C36" s="330" t="s">
        <v>77</v>
      </c>
      <c r="D36" s="630" t="s">
        <v>77</v>
      </c>
      <c r="E36" s="225" t="s">
        <v>77</v>
      </c>
      <c r="F36" s="225" t="s">
        <v>77</v>
      </c>
      <c r="G36" s="631" t="s">
        <v>77</v>
      </c>
      <c r="H36" s="330" t="s">
        <v>34</v>
      </c>
      <c r="I36" s="330" t="s">
        <v>34</v>
      </c>
    </row>
    <row r="37" spans="1:9" ht="18.75" thickTop="1" x14ac:dyDescent="0.2">
      <c r="A37" s="609">
        <v>0</v>
      </c>
      <c r="B37" s="505">
        <v>0</v>
      </c>
      <c r="C37" s="220" t="s">
        <v>204</v>
      </c>
      <c r="D37" s="220" t="s">
        <v>204</v>
      </c>
      <c r="E37" s="440" t="s">
        <v>204</v>
      </c>
      <c r="F37" s="632">
        <v>0</v>
      </c>
      <c r="G37" s="328" t="s">
        <v>204</v>
      </c>
      <c r="H37" s="328" t="s">
        <v>204</v>
      </c>
      <c r="I37" s="328" t="s">
        <v>204</v>
      </c>
    </row>
    <row r="38" spans="1:9" ht="18.75" thickBot="1" x14ac:dyDescent="0.25">
      <c r="A38" s="258">
        <v>3731</v>
      </c>
      <c r="B38" s="610" t="s">
        <v>165</v>
      </c>
      <c r="C38" s="330" t="s">
        <v>207</v>
      </c>
      <c r="D38" s="330" t="s">
        <v>225</v>
      </c>
      <c r="E38" s="330" t="s">
        <v>216</v>
      </c>
      <c r="F38" s="333" t="s">
        <v>219</v>
      </c>
      <c r="G38" s="334" t="s">
        <v>205</v>
      </c>
      <c r="H38" s="330" t="s">
        <v>34</v>
      </c>
      <c r="I38" s="330" t="s">
        <v>34</v>
      </c>
    </row>
    <row r="39" spans="1:9" ht="18.75" thickTop="1" x14ac:dyDescent="0.2">
      <c r="A39" s="259"/>
      <c r="B39" s="260">
        <v>618617845</v>
      </c>
      <c r="C39" s="495"/>
      <c r="D39" s="198"/>
      <c r="E39" s="198"/>
      <c r="F39" s="198"/>
      <c r="G39" s="198"/>
      <c r="H39" s="198">
        <v>0</v>
      </c>
      <c r="I39" s="198">
        <v>0</v>
      </c>
    </row>
    <row r="40" spans="1:9" ht="18.75" thickBot="1" x14ac:dyDescent="0.25">
      <c r="A40" s="261">
        <v>1596</v>
      </c>
      <c r="B40" s="262" t="s">
        <v>134</v>
      </c>
      <c r="C40" s="263" t="s">
        <v>80</v>
      </c>
      <c r="D40" s="263" t="s">
        <v>117</v>
      </c>
      <c r="E40" s="263" t="s">
        <v>80</v>
      </c>
      <c r="F40" s="263" t="s">
        <v>80</v>
      </c>
      <c r="G40" s="263" t="s">
        <v>80</v>
      </c>
      <c r="H40" s="263" t="s">
        <v>34</v>
      </c>
      <c r="I40" s="263" t="s">
        <v>34</v>
      </c>
    </row>
    <row r="41" spans="1:9" ht="21" thickTop="1" x14ac:dyDescent="0.25">
      <c r="A41" s="341"/>
      <c r="B41" s="342">
        <v>619824402</v>
      </c>
      <c r="C41" s="496"/>
      <c r="D41" s="496"/>
      <c r="E41" s="198"/>
      <c r="F41" s="198"/>
      <c r="G41" s="198"/>
      <c r="H41" s="198">
        <v>0</v>
      </c>
      <c r="I41" s="198">
        <v>0</v>
      </c>
    </row>
    <row r="42" spans="1:9" ht="21" thickBot="1" x14ac:dyDescent="0.3">
      <c r="A42" s="343">
        <v>2337</v>
      </c>
      <c r="B42" s="344" t="s">
        <v>135</v>
      </c>
      <c r="C42" s="263" t="s">
        <v>76</v>
      </c>
      <c r="D42" s="263" t="s">
        <v>76</v>
      </c>
      <c r="E42" s="263" t="s">
        <v>76</v>
      </c>
      <c r="F42" s="263" t="s">
        <v>76</v>
      </c>
      <c r="G42" s="263" t="s">
        <v>76</v>
      </c>
      <c r="H42" s="263" t="s">
        <v>34</v>
      </c>
      <c r="I42" s="263" t="s">
        <v>34</v>
      </c>
    </row>
    <row r="43" spans="1:9" ht="18.75" thickTop="1" x14ac:dyDescent="0.2">
      <c r="A43" s="259"/>
      <c r="B43" s="361">
        <v>689983234</v>
      </c>
      <c r="C43" s="304"/>
      <c r="D43" s="304"/>
      <c r="E43" s="304"/>
      <c r="F43" s="304"/>
      <c r="G43" s="304"/>
      <c r="H43" s="304">
        <v>0</v>
      </c>
      <c r="I43" s="304">
        <v>0</v>
      </c>
    </row>
    <row r="44" spans="1:9" ht="18.75" thickBot="1" x14ac:dyDescent="0.25">
      <c r="A44" s="261">
        <v>2339</v>
      </c>
      <c r="B44" s="262" t="s">
        <v>151</v>
      </c>
      <c r="C44" s="263" t="s">
        <v>80</v>
      </c>
      <c r="D44" s="263" t="s">
        <v>80</v>
      </c>
      <c r="E44" s="263" t="s">
        <v>80</v>
      </c>
      <c r="F44" s="263" t="s">
        <v>80</v>
      </c>
      <c r="G44" s="263" t="s">
        <v>80</v>
      </c>
      <c r="H44" s="263" t="s">
        <v>34</v>
      </c>
      <c r="I44" s="263" t="s">
        <v>34</v>
      </c>
    </row>
    <row r="45" spans="1:9" ht="15.75" thickTop="1" x14ac:dyDescent="0.2">
      <c r="A45" s="464"/>
      <c r="B45" s="465"/>
    </row>
    <row r="46" spans="1:9" x14ac:dyDescent="0.2">
      <c r="C46" s="497"/>
    </row>
    <row r="47" spans="1:9" x14ac:dyDescent="0.2">
      <c r="C47" s="497"/>
    </row>
  </sheetData>
  <sheetProtection algorithmName="SHA-512" hashValue="w41IMKGf2/nIWNb2oB8qpNbQ975earSXMNDR2VS5u/cQ3qfjQp9+1aNH3IgoZHl2JFO/psT4xSft6kDtCNtxiQ==" saltValue="2Bf4ehTBhCrmsTwl77YuPQ==" spinCount="100000" sheet="1" objects="1" scenarios="1"/>
  <mergeCells count="1">
    <mergeCell ref="C9:I9"/>
  </mergeCells>
  <conditionalFormatting sqref="C9:I9">
    <cfRule type="cellIs" dxfId="1229" priority="82" stopIfTrue="1" operator="equal">
      <formula>"E1"</formula>
    </cfRule>
    <cfRule type="cellIs" dxfId="1228" priority="83" stopIfTrue="1" operator="equal">
      <formula>"E2"</formula>
    </cfRule>
  </conditionalFormatting>
  <conditionalFormatting sqref="C11:I11">
    <cfRule type="cellIs" dxfId="1227" priority="229" operator="equal">
      <formula>"CU2T"</formula>
    </cfRule>
    <cfRule type="cellIs" dxfId="1226" priority="230" operator="equal">
      <formula>"CU2M"</formula>
    </cfRule>
  </conditionalFormatting>
  <conditionalFormatting sqref="C15:I36">
    <cfRule type="cellIs" dxfId="1225" priority="28" operator="equal">
      <formula>"CU1"</formula>
    </cfRule>
  </conditionalFormatting>
  <conditionalFormatting sqref="C43:I44">
    <cfRule type="cellIs" dxfId="1224" priority="20" operator="equal">
      <formula>"CU2T"</formula>
    </cfRule>
    <cfRule type="cellIs" priority="21" operator="equal">
      <formula>"CU2T"</formula>
    </cfRule>
    <cfRule type="cellIs" dxfId="1223" priority="22" operator="equal">
      <formula>"CU2M"</formula>
    </cfRule>
    <cfRule type="cellIs" dxfId="1222" priority="23" operator="equal">
      <formula>"CU1"</formula>
    </cfRule>
  </conditionalFormatting>
  <conditionalFormatting sqref="D13:I14 C14">
    <cfRule type="cellIs" dxfId="1221" priority="48" operator="equal">
      <formula>"CU1"</formula>
    </cfRule>
  </conditionalFormatting>
  <conditionalFormatting sqref="C12:I12">
    <cfRule type="cellIs" dxfId="1220" priority="19" operator="equal">
      <formula>"CU2M"</formula>
    </cfRule>
  </conditionalFormatting>
  <conditionalFormatting sqref="C12:I12">
    <cfRule type="cellIs" dxfId="1219" priority="18" operator="equal">
      <formula>"CU2T"</formula>
    </cfRule>
  </conditionalFormatting>
  <conditionalFormatting sqref="L32">
    <cfRule type="containsText" dxfId="1218" priority="17" operator="containsText" text="CU">
      <formula>NOT(ISERROR(SEARCH("CU",L32)))</formula>
    </cfRule>
  </conditionalFormatting>
  <conditionalFormatting sqref="C13:I36">
    <cfRule type="containsText" dxfId="1217" priority="16" operator="containsText" text="CU">
      <formula>NOT(ISERROR(SEARCH("CU",C13)))</formula>
    </cfRule>
  </conditionalFormatting>
  <conditionalFormatting sqref="H39:I42">
    <cfRule type="cellIs" dxfId="1216" priority="12" operator="equal">
      <formula>"CU2T"</formula>
    </cfRule>
    <cfRule type="cellIs" priority="13" operator="equal">
      <formula>"CU2T"</formula>
    </cfRule>
    <cfRule type="cellIs" dxfId="1215" priority="14" operator="equal">
      <formula>"CU2M"</formula>
    </cfRule>
    <cfRule type="cellIs" dxfId="1214" priority="15" operator="equal">
      <formula>"CU1"</formula>
    </cfRule>
  </conditionalFormatting>
  <conditionalFormatting sqref="C37:I38">
    <cfRule type="cellIs" dxfId="1213" priority="10" operator="equal">
      <formula>"CU1"</formula>
    </cfRule>
  </conditionalFormatting>
  <conditionalFormatting sqref="C37:I38">
    <cfRule type="containsText" dxfId="1212" priority="9" operator="containsText" text="CU">
      <formula>NOT(ISERROR(SEARCH("CU",C37)))</formula>
    </cfRule>
  </conditionalFormatting>
  <conditionalFormatting sqref="B45">
    <cfRule type="cellIs" dxfId="1211" priority="8" stopIfTrue="1" operator="equal">
      <formula>"CU"</formula>
    </cfRule>
  </conditionalFormatting>
  <conditionalFormatting sqref="C13:I38">
    <cfRule type="containsText" dxfId="1210" priority="7" operator="containsText" text="CU2">
      <formula>NOT(ISERROR(SEARCH("CU2",C13)))</formula>
    </cfRule>
  </conditionalFormatting>
  <conditionalFormatting sqref="B37">
    <cfRule type="cellIs" dxfId="1209" priority="6" stopIfTrue="1" operator="equal">
      <formula>"CU"</formula>
    </cfRule>
  </conditionalFormatting>
  <conditionalFormatting sqref="A38 C13:I36">
    <cfRule type="containsText" dxfId="1208" priority="5" operator="containsText" text="CU2">
      <formula>NOT(ISERROR(SEARCH("CU2",A13)))</formula>
    </cfRule>
  </conditionalFormatting>
  <conditionalFormatting sqref="C39:G42">
    <cfRule type="cellIs" dxfId="1207" priority="1" operator="equal">
      <formula>"CU2T"</formula>
    </cfRule>
    <cfRule type="cellIs" priority="2" operator="equal">
      <formula>"CU2T"</formula>
    </cfRule>
    <cfRule type="cellIs" dxfId="1206" priority="3" operator="equal">
      <formula>"CU2M"</formula>
    </cfRule>
    <cfRule type="cellIs" dxfId="1205" priority="4" operator="equal">
      <formula>"CU1"</formula>
    </cfRule>
  </conditionalFormatting>
  <pageMargins left="0.62992125984251968" right="0.23622047244094491" top="0.74803149606299213" bottom="0.74803149606299213" header="0.31496062992125984" footer="0.31496062992125984"/>
  <pageSetup paperSize="9" scale="75"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62"/>
  <sheetViews>
    <sheetView showZeros="0" zoomScaleNormal="100" workbookViewId="0">
      <selection activeCell="U11" sqref="U11"/>
    </sheetView>
  </sheetViews>
  <sheetFormatPr defaultColWidth="10.625" defaultRowHeight="13.5" customHeight="1" x14ac:dyDescent="0.2"/>
  <cols>
    <col min="1" max="1" width="2.5546875" style="135" customWidth="1"/>
    <col min="2" max="2" width="7.80078125" style="135" customWidth="1"/>
    <col min="3" max="3" width="43.046875" style="135" bestFit="1" customWidth="1"/>
    <col min="4" max="10" width="9.01171875" style="135" customWidth="1"/>
    <col min="11" max="14" width="10.625" style="135"/>
    <col min="15" max="15" width="10.625" style="135" customWidth="1"/>
    <col min="16" max="20" width="10.625" style="135" hidden="1" customWidth="1"/>
    <col min="21" max="21" width="10.625" style="135" customWidth="1"/>
    <col min="22" max="16384" width="10.625" style="135"/>
  </cols>
  <sheetData>
    <row r="1" spans="1:11" ht="13.5" customHeight="1" x14ac:dyDescent="0.2">
      <c r="B1" s="316"/>
      <c r="C1" s="316"/>
      <c r="D1" s="316"/>
      <c r="E1" s="316"/>
      <c r="F1" s="317"/>
      <c r="G1" s="316"/>
      <c r="H1" s="316"/>
      <c r="I1" s="316"/>
      <c r="J1" s="316"/>
    </row>
    <row r="2" spans="1:11" ht="13.5" customHeight="1" x14ac:dyDescent="0.2">
      <c r="B2" s="200" t="s">
        <v>43</v>
      </c>
      <c r="C2" s="315"/>
      <c r="D2" s="316"/>
      <c r="E2" s="316"/>
      <c r="F2" s="316"/>
      <c r="G2" s="317"/>
      <c r="I2" s="316"/>
      <c r="J2" s="316"/>
    </row>
    <row r="3" spans="1:11" ht="13.5" customHeight="1" x14ac:dyDescent="0.2">
      <c r="B3" s="318"/>
      <c r="C3" s="316"/>
      <c r="D3" s="316"/>
      <c r="E3" s="316"/>
      <c r="F3" s="316"/>
      <c r="G3" s="316"/>
      <c r="H3" s="316"/>
      <c r="I3" s="316"/>
      <c r="J3" s="316"/>
    </row>
    <row r="4" spans="1:11" s="318" customFormat="1" ht="15.95" customHeight="1" x14ac:dyDescent="0.2">
      <c r="B4" s="456" t="s">
        <v>68</v>
      </c>
      <c r="C4" s="457"/>
      <c r="D4" s="457"/>
      <c r="E4" s="457"/>
      <c r="F4" s="457"/>
      <c r="G4" s="457"/>
      <c r="H4" s="457"/>
      <c r="I4" s="317"/>
      <c r="J4" s="317"/>
    </row>
    <row r="5" spans="1:11" s="318" customFormat="1" ht="13.5" customHeight="1" x14ac:dyDescent="0.15">
      <c r="B5" s="321"/>
      <c r="C5" s="317"/>
      <c r="D5" s="317"/>
      <c r="E5" s="317"/>
      <c r="F5" s="317"/>
      <c r="G5" s="317"/>
      <c r="H5" s="317"/>
      <c r="I5" s="317"/>
      <c r="J5" s="317"/>
    </row>
    <row r="6" spans="1:11" ht="18.600000000000001" customHeight="1" x14ac:dyDescent="0.2">
      <c r="B6" s="379"/>
      <c r="C6" s="380"/>
      <c r="D6" s="683" t="str">
        <f>IF(MONTH(D9)=MONTH(J9),"Semana del dia "&amp;DAY(FECHA!$C$3)&amp;" "&amp;"al "&amp;DAY(FECHA!$C$3+6)&amp;" de "&amp;VLOOKUP(MONTH(FECHA!$C$3),FECHA!$H$2:$I$13,2)&amp;" "&amp;YEAR(J9),"Semana del dia "&amp;DAY(FECHA!$C$3)&amp;" "&amp;VLOOKUP(MONTH(FECHA!$C$3),FECHA!$H$2:$I$13,2)&amp;" "&amp;"al "&amp;DAY(FECHA!$C$3+6)&amp;" de "&amp;VLOOKUP(MONTH(J9),FECHA!$H$2:$I$13,2)&amp;" "&amp;YEAR(J9))</f>
        <v>Semana del dia 8 al 14 de Sep 2025</v>
      </c>
      <c r="E6" s="684"/>
      <c r="F6" s="684"/>
      <c r="G6" s="684"/>
      <c r="H6" s="684"/>
      <c r="I6" s="684"/>
      <c r="J6" s="685"/>
      <c r="K6" s="354"/>
    </row>
    <row r="7" spans="1:11" ht="13.5" customHeight="1" thickBot="1" x14ac:dyDescent="0.25">
      <c r="B7" s="316"/>
      <c r="C7" s="316"/>
      <c r="D7" s="316"/>
      <c r="E7" s="316"/>
      <c r="F7" s="316"/>
      <c r="G7" s="316"/>
      <c r="H7" s="316"/>
      <c r="I7" s="316"/>
      <c r="J7" s="316"/>
    </row>
    <row r="8" spans="1:11" ht="13.5" customHeight="1" thickTop="1" x14ac:dyDescent="0.2">
      <c r="B8" s="137"/>
      <c r="C8" s="138"/>
      <c r="D8" s="139" t="s">
        <v>26</v>
      </c>
      <c r="E8" s="139" t="s">
        <v>27</v>
      </c>
      <c r="F8" s="139" t="s">
        <v>28</v>
      </c>
      <c r="G8" s="139" t="s">
        <v>29</v>
      </c>
      <c r="H8" s="139" t="s">
        <v>30</v>
      </c>
      <c r="I8" s="139" t="s">
        <v>31</v>
      </c>
      <c r="J8" s="140" t="s">
        <v>32</v>
      </c>
    </row>
    <row r="9" spans="1:11" ht="13.5" customHeight="1" thickBot="1" x14ac:dyDescent="0.25">
      <c r="B9" s="141" t="s">
        <v>69</v>
      </c>
      <c r="C9" s="143" t="s">
        <v>33</v>
      </c>
      <c r="D9" s="144">
        <f>DATE(YEAR(FECHA!$C$3),MONTH(FECHA!$C$3),DAY(FECHA!$C$3))</f>
        <v>45908</v>
      </c>
      <c r="E9" s="144">
        <f>D9+1</f>
        <v>45909</v>
      </c>
      <c r="F9" s="144">
        <f t="shared" ref="F9:J9" si="0">E9+1</f>
        <v>45910</v>
      </c>
      <c r="G9" s="144">
        <f t="shared" si="0"/>
        <v>45911</v>
      </c>
      <c r="H9" s="144">
        <f t="shared" si="0"/>
        <v>45912</v>
      </c>
      <c r="I9" s="144">
        <f t="shared" si="0"/>
        <v>45913</v>
      </c>
      <c r="J9" s="144">
        <f t="shared" si="0"/>
        <v>45914</v>
      </c>
    </row>
    <row r="10" spans="1:11" s="350" customFormat="1" ht="14.25" customHeight="1" thickTop="1" x14ac:dyDescent="0.15">
      <c r="B10" s="381">
        <v>0</v>
      </c>
      <c r="C10" s="382">
        <v>0</v>
      </c>
      <c r="D10" s="383">
        <v>0</v>
      </c>
      <c r="E10" s="383">
        <v>0</v>
      </c>
      <c r="F10" s="383">
        <v>0</v>
      </c>
      <c r="G10" s="383">
        <v>0</v>
      </c>
      <c r="H10" s="392">
        <v>0</v>
      </c>
      <c r="I10" s="383">
        <v>0</v>
      </c>
      <c r="J10" s="384">
        <v>0</v>
      </c>
    </row>
    <row r="11" spans="1:11" ht="14.25" customHeight="1" thickBot="1" x14ac:dyDescent="0.25">
      <c r="B11" s="385">
        <v>2530</v>
      </c>
      <c r="C11" s="386" t="s">
        <v>166</v>
      </c>
      <c r="D11" s="387">
        <v>8</v>
      </c>
      <c r="E11" s="451">
        <v>8</v>
      </c>
      <c r="F11" s="387">
        <v>8</v>
      </c>
      <c r="G11" s="388" t="s">
        <v>34</v>
      </c>
      <c r="H11" s="389" t="s">
        <v>34</v>
      </c>
      <c r="I11" s="388" t="s">
        <v>34</v>
      </c>
      <c r="J11" s="388" t="s">
        <v>34</v>
      </c>
      <c r="K11" s="390"/>
    </row>
    <row r="12" spans="1:11" s="350" customFormat="1" ht="14.25" customHeight="1" thickTop="1" x14ac:dyDescent="0.15">
      <c r="B12" s="430">
        <v>0</v>
      </c>
      <c r="C12" s="458">
        <v>0</v>
      </c>
      <c r="D12" s="392">
        <v>0</v>
      </c>
      <c r="E12" s="392">
        <v>0</v>
      </c>
      <c r="F12" s="392">
        <v>0</v>
      </c>
      <c r="G12" s="392">
        <v>0</v>
      </c>
      <c r="H12" s="392">
        <v>0</v>
      </c>
      <c r="I12" s="392">
        <v>0</v>
      </c>
      <c r="J12" s="392">
        <v>0</v>
      </c>
    </row>
    <row r="13" spans="1:11" ht="14.25" customHeight="1" thickBot="1" x14ac:dyDescent="0.25">
      <c r="B13" s="385">
        <v>2091</v>
      </c>
      <c r="C13" s="337" t="s">
        <v>167</v>
      </c>
      <c r="D13" s="387">
        <v>7</v>
      </c>
      <c r="E13" s="395">
        <v>7</v>
      </c>
      <c r="F13" s="395">
        <v>7</v>
      </c>
      <c r="G13" s="395">
        <v>8</v>
      </c>
      <c r="H13" s="395" t="s">
        <v>34</v>
      </c>
      <c r="I13" s="400" t="s">
        <v>34</v>
      </c>
      <c r="J13" s="400" t="s">
        <v>34</v>
      </c>
      <c r="K13" s="350"/>
    </row>
    <row r="14" spans="1:11" s="350" customFormat="1" ht="14.25" customHeight="1" thickTop="1" x14ac:dyDescent="0.15">
      <c r="B14" s="430">
        <v>0</v>
      </c>
      <c r="C14" s="458">
        <v>0</v>
      </c>
      <c r="D14" s="384">
        <v>0</v>
      </c>
      <c r="E14" s="384">
        <v>0</v>
      </c>
      <c r="F14" s="384">
        <v>0</v>
      </c>
      <c r="G14" s="383">
        <v>0</v>
      </c>
      <c r="H14" s="384">
        <v>0</v>
      </c>
      <c r="I14" s="384">
        <v>0</v>
      </c>
      <c r="J14" s="384">
        <v>0</v>
      </c>
    </row>
    <row r="15" spans="1:11" ht="14.25" customHeight="1" thickBot="1" x14ac:dyDescent="0.25">
      <c r="A15" s="393"/>
      <c r="B15" s="385">
        <v>2097</v>
      </c>
      <c r="C15" s="386" t="s">
        <v>168</v>
      </c>
      <c r="D15" s="387">
        <v>9</v>
      </c>
      <c r="E15" s="388">
        <v>2</v>
      </c>
      <c r="F15" s="388" t="s">
        <v>34</v>
      </c>
      <c r="G15" s="395" t="s">
        <v>34</v>
      </c>
      <c r="H15" s="396">
        <v>9</v>
      </c>
      <c r="I15" s="396">
        <v>9</v>
      </c>
      <c r="J15" s="388">
        <v>9</v>
      </c>
      <c r="K15" s="350"/>
    </row>
    <row r="16" spans="1:11" ht="14.25" customHeight="1" thickTop="1" x14ac:dyDescent="0.2">
      <c r="A16" s="393"/>
      <c r="B16" s="592">
        <v>0</v>
      </c>
      <c r="C16" s="593">
        <v>0</v>
      </c>
      <c r="D16" s="594">
        <v>0</v>
      </c>
      <c r="E16" s="594">
        <v>0</v>
      </c>
      <c r="F16" s="594">
        <v>0</v>
      </c>
      <c r="G16" s="595">
        <v>0</v>
      </c>
      <c r="H16" s="594">
        <v>0</v>
      </c>
      <c r="I16" s="594">
        <v>0</v>
      </c>
      <c r="J16" s="594">
        <v>0</v>
      </c>
      <c r="K16" s="350"/>
    </row>
    <row r="17" spans="1:12" ht="14.25" customHeight="1" thickBot="1" x14ac:dyDescent="0.25">
      <c r="A17" s="393"/>
      <c r="B17" s="596"/>
      <c r="C17" s="597"/>
      <c r="D17" s="598">
        <v>0</v>
      </c>
      <c r="E17" s="598">
        <v>0</v>
      </c>
      <c r="F17" s="598">
        <v>0</v>
      </c>
      <c r="G17" s="598">
        <v>0</v>
      </c>
      <c r="H17" s="598">
        <v>0</v>
      </c>
      <c r="I17" s="598">
        <v>0</v>
      </c>
      <c r="J17" s="598">
        <v>0</v>
      </c>
      <c r="K17" s="350"/>
    </row>
    <row r="18" spans="1:12" ht="14.25" customHeight="1" thickTop="1" x14ac:dyDescent="0.2">
      <c r="B18" s="397">
        <v>0</v>
      </c>
      <c r="C18" s="398">
        <v>0</v>
      </c>
      <c r="D18" s="384">
        <v>0</v>
      </c>
      <c r="E18" s="449">
        <v>0</v>
      </c>
      <c r="F18" s="384">
        <v>0</v>
      </c>
      <c r="G18" s="384">
        <v>0</v>
      </c>
      <c r="H18" s="384">
        <v>0</v>
      </c>
      <c r="I18" s="384">
        <v>0</v>
      </c>
      <c r="J18" s="384">
        <v>0</v>
      </c>
    </row>
    <row r="19" spans="1:12" ht="14.25" customHeight="1" thickBot="1" x14ac:dyDescent="0.25">
      <c r="A19" s="393"/>
      <c r="B19" s="385">
        <v>2147</v>
      </c>
      <c r="C19" s="386" t="s">
        <v>169</v>
      </c>
      <c r="D19" s="387" t="s">
        <v>34</v>
      </c>
      <c r="E19" s="387">
        <v>3</v>
      </c>
      <c r="F19" s="400">
        <v>4</v>
      </c>
      <c r="G19" s="401">
        <v>5</v>
      </c>
      <c r="H19" s="401">
        <v>8</v>
      </c>
      <c r="I19" s="400">
        <v>8</v>
      </c>
      <c r="J19" s="387">
        <v>8</v>
      </c>
      <c r="K19" s="390"/>
    </row>
    <row r="20" spans="1:12" ht="14.25" customHeight="1" thickTop="1" x14ac:dyDescent="0.2">
      <c r="A20" s="393"/>
      <c r="B20" s="402">
        <v>0</v>
      </c>
      <c r="C20" s="403">
        <v>0</v>
      </c>
      <c r="D20" s="406">
        <v>0</v>
      </c>
      <c r="E20" s="383">
        <v>0</v>
      </c>
      <c r="F20" s="450">
        <v>0</v>
      </c>
      <c r="G20" s="450">
        <v>0</v>
      </c>
      <c r="H20" s="405">
        <v>0</v>
      </c>
      <c r="I20" s="450">
        <v>0</v>
      </c>
      <c r="J20" s="450">
        <v>0</v>
      </c>
    </row>
    <row r="21" spans="1:12" ht="14.25" customHeight="1" thickBot="1" x14ac:dyDescent="0.25">
      <c r="A21" s="393"/>
      <c r="B21" s="385">
        <v>1499</v>
      </c>
      <c r="C21" s="386" t="s">
        <v>170</v>
      </c>
      <c r="D21" s="387" t="s">
        <v>34</v>
      </c>
      <c r="E21" s="387" t="s">
        <v>34</v>
      </c>
      <c r="F21" s="387" t="s">
        <v>34</v>
      </c>
      <c r="G21" s="404" t="s">
        <v>77</v>
      </c>
      <c r="H21" s="387" t="s">
        <v>77</v>
      </c>
      <c r="I21" s="387" t="s">
        <v>77</v>
      </c>
      <c r="J21" s="387" t="s">
        <v>77</v>
      </c>
      <c r="K21" s="390"/>
    </row>
    <row r="22" spans="1:12" ht="14.25" customHeight="1" thickTop="1" x14ac:dyDescent="0.2">
      <c r="A22" s="393"/>
      <c r="B22" s="397">
        <v>0</v>
      </c>
      <c r="C22" s="398">
        <v>0</v>
      </c>
      <c r="D22" s="450">
        <v>0</v>
      </c>
      <c r="E22" s="449">
        <v>0</v>
      </c>
      <c r="F22" s="449">
        <v>0</v>
      </c>
      <c r="G22" s="406">
        <v>0</v>
      </c>
      <c r="H22" s="406">
        <v>0</v>
      </c>
      <c r="I22" s="659">
        <v>0</v>
      </c>
      <c r="J22" s="449">
        <v>0</v>
      </c>
    </row>
    <row r="23" spans="1:12" ht="14.25" customHeight="1" thickBot="1" x14ac:dyDescent="0.25">
      <c r="A23" s="393"/>
      <c r="B23" s="385">
        <v>2372</v>
      </c>
      <c r="C23" s="407" t="s">
        <v>171</v>
      </c>
      <c r="D23" s="387" t="s">
        <v>251</v>
      </c>
      <c r="E23" s="387" t="s">
        <v>251</v>
      </c>
      <c r="F23" s="387" t="s">
        <v>34</v>
      </c>
      <c r="G23" s="387" t="s">
        <v>34</v>
      </c>
      <c r="H23" s="401" t="s">
        <v>34</v>
      </c>
      <c r="I23" s="401">
        <v>3</v>
      </c>
      <c r="J23" s="387">
        <v>1</v>
      </c>
      <c r="K23" s="408"/>
    </row>
    <row r="24" spans="1:12" ht="14.25" customHeight="1" thickTop="1" x14ac:dyDescent="0.2">
      <c r="B24" s="397">
        <v>0</v>
      </c>
      <c r="C24" s="399">
        <v>0</v>
      </c>
      <c r="D24" s="384">
        <v>0</v>
      </c>
      <c r="E24" s="384">
        <v>0</v>
      </c>
      <c r="F24" s="384">
        <v>0</v>
      </c>
      <c r="G24" s="406">
        <v>0</v>
      </c>
      <c r="H24" s="392">
        <v>0</v>
      </c>
      <c r="I24" s="384">
        <v>0</v>
      </c>
      <c r="J24" s="384">
        <v>0</v>
      </c>
      <c r="K24" s="409"/>
    </row>
    <row r="25" spans="1:12" ht="14.25" customHeight="1" thickBot="1" x14ac:dyDescent="0.25">
      <c r="A25" s="393"/>
      <c r="B25" s="385">
        <v>2004</v>
      </c>
      <c r="C25" s="410" t="s">
        <v>172</v>
      </c>
      <c r="D25" s="387">
        <v>5</v>
      </c>
      <c r="E25" s="387">
        <v>4</v>
      </c>
      <c r="F25" s="387">
        <v>5</v>
      </c>
      <c r="G25" s="400">
        <v>6</v>
      </c>
      <c r="H25" s="413" t="s">
        <v>34</v>
      </c>
      <c r="I25" s="387" t="s">
        <v>34</v>
      </c>
      <c r="J25" s="387" t="s">
        <v>34</v>
      </c>
      <c r="K25" s="390"/>
    </row>
    <row r="26" spans="1:12" ht="14.25" customHeight="1" thickTop="1" x14ac:dyDescent="0.2">
      <c r="A26" s="393"/>
      <c r="B26" s="437">
        <v>0</v>
      </c>
      <c r="C26" s="398">
        <v>0</v>
      </c>
      <c r="D26" s="450">
        <v>0</v>
      </c>
      <c r="E26" s="450">
        <v>0</v>
      </c>
      <c r="F26" s="450">
        <v>0</v>
      </c>
      <c r="G26" s="450">
        <v>0</v>
      </c>
      <c r="H26" s="449">
        <v>0</v>
      </c>
      <c r="I26" s="392">
        <v>0</v>
      </c>
      <c r="J26" s="450">
        <v>0</v>
      </c>
    </row>
    <row r="27" spans="1:12" ht="14.25" customHeight="1" thickBot="1" x14ac:dyDescent="0.25">
      <c r="A27" s="393"/>
      <c r="B27" s="385">
        <v>2381</v>
      </c>
      <c r="C27" s="407" t="s">
        <v>173</v>
      </c>
      <c r="D27" s="396">
        <v>1</v>
      </c>
      <c r="E27" s="396" t="s">
        <v>34</v>
      </c>
      <c r="F27" s="404">
        <v>1</v>
      </c>
      <c r="G27" s="404">
        <v>2</v>
      </c>
      <c r="H27" s="396">
        <v>6</v>
      </c>
      <c r="I27" s="396">
        <v>4</v>
      </c>
      <c r="J27" s="396">
        <v>5</v>
      </c>
      <c r="L27" s="355"/>
    </row>
    <row r="28" spans="1:12" ht="14.25" customHeight="1" thickTop="1" x14ac:dyDescent="0.2">
      <c r="A28" s="393"/>
      <c r="B28" s="402">
        <v>0</v>
      </c>
      <c r="C28" s="411">
        <v>0</v>
      </c>
      <c r="D28" s="384">
        <v>0</v>
      </c>
      <c r="E28" s="384">
        <v>0</v>
      </c>
      <c r="F28" s="384">
        <v>0</v>
      </c>
      <c r="G28" s="392">
        <v>0</v>
      </c>
      <c r="H28" s="383">
        <v>0</v>
      </c>
      <c r="I28" s="412">
        <v>0</v>
      </c>
      <c r="J28" s="384">
        <v>0</v>
      </c>
    </row>
    <row r="29" spans="1:12" ht="14.25" customHeight="1" thickBot="1" x14ac:dyDescent="0.25">
      <c r="A29" s="393"/>
      <c r="B29" s="385">
        <v>2417</v>
      </c>
      <c r="C29" s="386" t="s">
        <v>174</v>
      </c>
      <c r="D29" s="396">
        <v>6</v>
      </c>
      <c r="E29" s="396" t="s">
        <v>76</v>
      </c>
      <c r="F29" s="396" t="s">
        <v>34</v>
      </c>
      <c r="G29" s="404" t="s">
        <v>34</v>
      </c>
      <c r="H29" s="396" t="s">
        <v>34</v>
      </c>
      <c r="I29" s="413" t="s">
        <v>76</v>
      </c>
      <c r="J29" s="404" t="s">
        <v>76</v>
      </c>
      <c r="K29" s="408"/>
    </row>
    <row r="30" spans="1:12" ht="14.25" customHeight="1" thickTop="1" x14ac:dyDescent="0.2">
      <c r="B30" s="397">
        <v>0</v>
      </c>
      <c r="C30" s="398">
        <v>0</v>
      </c>
      <c r="D30" s="384">
        <v>0</v>
      </c>
      <c r="E30" s="384">
        <v>0</v>
      </c>
      <c r="F30" s="384">
        <v>0</v>
      </c>
      <c r="G30" s="392">
        <v>0</v>
      </c>
      <c r="H30" s="384">
        <v>0</v>
      </c>
      <c r="I30" s="384">
        <v>0</v>
      </c>
      <c r="J30" s="384">
        <v>0</v>
      </c>
    </row>
    <row r="31" spans="1:12" ht="14.25" customHeight="1" thickBot="1" x14ac:dyDescent="0.25">
      <c r="A31" s="393"/>
      <c r="B31" s="385">
        <v>1948</v>
      </c>
      <c r="C31" s="407" t="s">
        <v>175</v>
      </c>
      <c r="D31" s="396" t="s">
        <v>34</v>
      </c>
      <c r="E31" s="387" t="s">
        <v>76</v>
      </c>
      <c r="F31" s="387" t="s">
        <v>76</v>
      </c>
      <c r="G31" s="451" t="s">
        <v>76</v>
      </c>
      <c r="H31" s="451" t="s">
        <v>34</v>
      </c>
      <c r="I31" s="400" t="s">
        <v>34</v>
      </c>
      <c r="J31" s="387" t="s">
        <v>34</v>
      </c>
      <c r="K31" s="414"/>
    </row>
    <row r="32" spans="1:12" ht="14.25" customHeight="1" thickTop="1" x14ac:dyDescent="0.2">
      <c r="A32" s="393"/>
      <c r="B32" s="402">
        <v>0</v>
      </c>
      <c r="C32" s="360">
        <v>0</v>
      </c>
      <c r="D32" s="384">
        <v>0</v>
      </c>
      <c r="E32" s="396">
        <v>0</v>
      </c>
      <c r="F32" s="396">
        <v>0</v>
      </c>
      <c r="G32" s="396">
        <v>0</v>
      </c>
      <c r="H32" s="396">
        <v>0</v>
      </c>
      <c r="I32" s="396">
        <v>0</v>
      </c>
      <c r="J32" s="396">
        <v>0</v>
      </c>
    </row>
    <row r="33" spans="1:20" ht="14.25" customHeight="1" thickBot="1" x14ac:dyDescent="0.25">
      <c r="A33" s="393"/>
      <c r="B33" s="397">
        <v>1954</v>
      </c>
      <c r="C33" s="415" t="s">
        <v>176</v>
      </c>
      <c r="D33" s="387" t="s">
        <v>34</v>
      </c>
      <c r="E33" s="387" t="s">
        <v>34</v>
      </c>
      <c r="F33" s="451" t="s">
        <v>77</v>
      </c>
      <c r="G33" s="387" t="s">
        <v>77</v>
      </c>
      <c r="H33" s="387" t="s">
        <v>77</v>
      </c>
      <c r="I33" s="451" t="s">
        <v>77</v>
      </c>
      <c r="J33" s="387" t="s">
        <v>77</v>
      </c>
      <c r="K33" s="390"/>
      <c r="P33" s="135">
        <v>1</v>
      </c>
      <c r="Q33" s="135">
        <v>1</v>
      </c>
      <c r="R33" s="135">
        <v>1</v>
      </c>
      <c r="S33" s="135">
        <v>1</v>
      </c>
      <c r="T33" s="135">
        <v>1</v>
      </c>
    </row>
    <row r="34" spans="1:20" ht="14.25" customHeight="1" thickTop="1" x14ac:dyDescent="0.2">
      <c r="B34" s="441">
        <v>0</v>
      </c>
      <c r="C34" s="411">
        <v>0</v>
      </c>
      <c r="D34" s="396">
        <v>0</v>
      </c>
      <c r="E34" s="396">
        <v>0</v>
      </c>
      <c r="F34" s="396">
        <v>0</v>
      </c>
      <c r="G34" s="396">
        <v>0</v>
      </c>
      <c r="H34" s="476">
        <v>0</v>
      </c>
      <c r="I34" s="396">
        <v>0</v>
      </c>
      <c r="J34" s="396">
        <v>0</v>
      </c>
      <c r="P34" s="135">
        <v>2</v>
      </c>
      <c r="Q34" s="135">
        <v>2</v>
      </c>
      <c r="R34" s="135">
        <v>2</v>
      </c>
      <c r="S34" s="135">
        <v>2</v>
      </c>
      <c r="T34" s="135">
        <v>2</v>
      </c>
    </row>
    <row r="35" spans="1:20" ht="14.25" customHeight="1" thickBot="1" x14ac:dyDescent="0.25">
      <c r="A35" s="417"/>
      <c r="B35" s="385">
        <v>2215</v>
      </c>
      <c r="C35" s="386" t="s">
        <v>177</v>
      </c>
      <c r="D35" s="387">
        <v>3</v>
      </c>
      <c r="E35" s="387" t="s">
        <v>34</v>
      </c>
      <c r="F35" s="387" t="s">
        <v>34</v>
      </c>
      <c r="G35" s="387" t="s">
        <v>34</v>
      </c>
      <c r="H35" s="387">
        <v>1</v>
      </c>
      <c r="I35" s="400">
        <v>2</v>
      </c>
      <c r="J35" s="387">
        <v>3</v>
      </c>
      <c r="P35" s="135">
        <v>3</v>
      </c>
      <c r="Q35" s="135">
        <v>3</v>
      </c>
      <c r="R35" s="135">
        <v>3</v>
      </c>
      <c r="S35" s="135">
        <v>3</v>
      </c>
      <c r="T35" s="135">
        <v>3</v>
      </c>
    </row>
    <row r="36" spans="1:20" ht="14.25" customHeight="1" thickTop="1" x14ac:dyDescent="0.2">
      <c r="A36" s="417"/>
      <c r="B36" s="402">
        <v>0</v>
      </c>
      <c r="C36" s="403">
        <v>0</v>
      </c>
      <c r="D36" s="383">
        <v>0</v>
      </c>
      <c r="E36" s="396">
        <v>0</v>
      </c>
      <c r="F36" s="396">
        <v>0</v>
      </c>
      <c r="G36" s="396">
        <v>0</v>
      </c>
      <c r="H36" s="396">
        <v>0</v>
      </c>
      <c r="I36" s="404">
        <v>0</v>
      </c>
      <c r="J36" s="396">
        <v>0</v>
      </c>
      <c r="P36" s="135">
        <v>4</v>
      </c>
      <c r="Q36" s="135">
        <v>4</v>
      </c>
      <c r="R36" s="135">
        <v>4</v>
      </c>
      <c r="S36" s="135">
        <v>4</v>
      </c>
      <c r="T36" s="135">
        <v>4</v>
      </c>
    </row>
    <row r="37" spans="1:20" ht="14.25" customHeight="1" thickBot="1" x14ac:dyDescent="0.25">
      <c r="A37" s="417"/>
      <c r="B37" s="418">
        <v>1973</v>
      </c>
      <c r="C37" s="419" t="s">
        <v>178</v>
      </c>
      <c r="D37" s="387" t="s">
        <v>76</v>
      </c>
      <c r="E37" s="387">
        <v>5</v>
      </c>
      <c r="F37" s="387">
        <v>6</v>
      </c>
      <c r="G37" s="387" t="s">
        <v>34</v>
      </c>
      <c r="H37" s="387" t="s">
        <v>34</v>
      </c>
      <c r="I37" s="401" t="s">
        <v>34</v>
      </c>
      <c r="J37" s="387" t="s">
        <v>34</v>
      </c>
      <c r="P37" s="135">
        <v>5</v>
      </c>
      <c r="Q37" s="135">
        <v>5</v>
      </c>
      <c r="R37" s="135">
        <v>5</v>
      </c>
      <c r="S37" s="135">
        <v>5</v>
      </c>
      <c r="T37" s="135">
        <v>5</v>
      </c>
    </row>
    <row r="38" spans="1:20" ht="14.25" customHeight="1" thickTop="1" x14ac:dyDescent="0.2">
      <c r="A38" s="417"/>
      <c r="B38" s="462">
        <v>0</v>
      </c>
      <c r="C38" s="463">
        <v>0</v>
      </c>
      <c r="D38" s="476">
        <v>0</v>
      </c>
      <c r="E38" s="476">
        <v>0</v>
      </c>
      <c r="F38" s="476">
        <v>0</v>
      </c>
      <c r="G38" s="476">
        <v>0</v>
      </c>
      <c r="H38" s="640">
        <v>0</v>
      </c>
      <c r="I38" s="658">
        <v>0</v>
      </c>
      <c r="J38" s="476">
        <v>0</v>
      </c>
      <c r="K38" s="390"/>
      <c r="P38" s="135">
        <v>6</v>
      </c>
      <c r="Q38" s="135">
        <v>6</v>
      </c>
      <c r="R38" s="135">
        <v>6</v>
      </c>
      <c r="S38" s="135">
        <v>6</v>
      </c>
      <c r="T38" s="135">
        <v>6</v>
      </c>
    </row>
    <row r="39" spans="1:20" ht="14.25" customHeight="1" thickBot="1" x14ac:dyDescent="0.25">
      <c r="A39" s="420"/>
      <c r="B39" s="436">
        <v>2574</v>
      </c>
      <c r="C39" s="469" t="s">
        <v>179</v>
      </c>
      <c r="D39" s="451" t="s">
        <v>393</v>
      </c>
      <c r="E39" s="451" t="s">
        <v>393</v>
      </c>
      <c r="F39" s="560">
        <v>3</v>
      </c>
      <c r="G39" s="451">
        <v>4</v>
      </c>
      <c r="H39" s="560">
        <v>5</v>
      </c>
      <c r="I39" s="560" t="s">
        <v>34</v>
      </c>
      <c r="J39" s="451" t="s">
        <v>34</v>
      </c>
      <c r="P39" s="135">
        <v>7</v>
      </c>
      <c r="Q39" s="135">
        <v>7</v>
      </c>
      <c r="R39" s="135">
        <v>7</v>
      </c>
      <c r="S39" s="135">
        <v>7</v>
      </c>
      <c r="T39" s="135">
        <v>7</v>
      </c>
    </row>
    <row r="40" spans="1:20" ht="14.25" customHeight="1" thickTop="1" x14ac:dyDescent="0.2">
      <c r="A40" s="420"/>
      <c r="B40" s="402">
        <v>0</v>
      </c>
      <c r="C40" s="411">
        <v>0</v>
      </c>
      <c r="D40" s="396">
        <v>0</v>
      </c>
      <c r="E40" s="396">
        <v>0</v>
      </c>
      <c r="F40" s="383">
        <v>0</v>
      </c>
      <c r="G40" s="396">
        <v>0</v>
      </c>
      <c r="H40" s="404">
        <v>0</v>
      </c>
      <c r="I40" s="396">
        <v>0</v>
      </c>
      <c r="J40" s="396">
        <v>0</v>
      </c>
      <c r="P40" s="135">
        <v>8</v>
      </c>
      <c r="Q40" s="135">
        <v>8</v>
      </c>
      <c r="R40" s="135">
        <v>8</v>
      </c>
      <c r="S40" s="135">
        <v>8</v>
      </c>
      <c r="T40" s="421"/>
    </row>
    <row r="41" spans="1:20" ht="14.25" customHeight="1" thickBot="1" x14ac:dyDescent="0.25">
      <c r="A41" s="420"/>
      <c r="B41" s="385">
        <v>1974</v>
      </c>
      <c r="C41" s="386" t="s">
        <v>180</v>
      </c>
      <c r="D41" s="387" t="s">
        <v>34</v>
      </c>
      <c r="E41" s="387">
        <v>1</v>
      </c>
      <c r="F41" s="387">
        <v>2</v>
      </c>
      <c r="G41" s="387">
        <v>7</v>
      </c>
      <c r="H41" s="400">
        <v>7</v>
      </c>
      <c r="I41" s="400">
        <v>7</v>
      </c>
      <c r="J41" s="387">
        <v>7</v>
      </c>
      <c r="Q41" s="422">
        <v>9</v>
      </c>
      <c r="S41" s="422">
        <v>9</v>
      </c>
    </row>
    <row r="42" spans="1:20" ht="14.25" customHeight="1" thickTop="1" x14ac:dyDescent="0.2">
      <c r="A42" s="420"/>
      <c r="B42" s="462">
        <v>0</v>
      </c>
      <c r="C42" s="463">
        <v>0</v>
      </c>
      <c r="D42" s="476">
        <v>0</v>
      </c>
      <c r="E42" s="476">
        <v>0</v>
      </c>
      <c r="F42" s="476">
        <v>0</v>
      </c>
      <c r="G42" s="476">
        <v>0</v>
      </c>
      <c r="H42" s="476">
        <v>0</v>
      </c>
      <c r="I42" s="396">
        <v>0</v>
      </c>
      <c r="J42" s="396">
        <v>0</v>
      </c>
      <c r="Q42" s="422">
        <v>10</v>
      </c>
      <c r="R42" s="422">
        <v>10</v>
      </c>
    </row>
    <row r="43" spans="1:20" ht="14.25" customHeight="1" thickBot="1" x14ac:dyDescent="0.25">
      <c r="A43" s="420"/>
      <c r="B43" s="436">
        <v>2380</v>
      </c>
      <c r="C43" s="469" t="s">
        <v>181</v>
      </c>
      <c r="D43" s="451" t="s">
        <v>34</v>
      </c>
      <c r="E43" s="451" t="s">
        <v>34</v>
      </c>
      <c r="F43" s="451" t="s">
        <v>34</v>
      </c>
      <c r="G43" s="451">
        <v>1</v>
      </c>
      <c r="H43" s="451">
        <v>2</v>
      </c>
      <c r="I43" s="387">
        <v>6</v>
      </c>
      <c r="J43" s="387">
        <v>4</v>
      </c>
      <c r="P43" s="422">
        <f>SUM(P33:P40)</f>
        <v>36</v>
      </c>
      <c r="Q43" s="422">
        <f>SUM(Q33:Q42)</f>
        <v>55</v>
      </c>
      <c r="R43" s="422">
        <f>SUM(R33:R42)</f>
        <v>46</v>
      </c>
      <c r="S43" s="422">
        <f>SUM(S33:S42)</f>
        <v>45</v>
      </c>
      <c r="T43" s="422">
        <f>SUM(T33:T40)</f>
        <v>28</v>
      </c>
    </row>
    <row r="44" spans="1:20" ht="14.25" customHeight="1" thickTop="1" x14ac:dyDescent="0.2">
      <c r="A44" s="420"/>
      <c r="B44" s="397">
        <v>0</v>
      </c>
      <c r="C44" s="398">
        <v>0</v>
      </c>
      <c r="D44" s="396">
        <v>0</v>
      </c>
      <c r="E44" s="396">
        <v>0</v>
      </c>
      <c r="F44" s="396">
        <v>0</v>
      </c>
      <c r="G44" s="396">
        <v>0</v>
      </c>
      <c r="H44" s="396">
        <v>0</v>
      </c>
      <c r="I44" s="396">
        <v>0</v>
      </c>
      <c r="J44" s="396">
        <v>0</v>
      </c>
    </row>
    <row r="45" spans="1:20" ht="14.25" customHeight="1" thickBot="1" x14ac:dyDescent="0.25">
      <c r="A45" s="420"/>
      <c r="B45" s="385">
        <v>3175</v>
      </c>
      <c r="C45" s="407" t="s">
        <v>182</v>
      </c>
      <c r="D45" s="387">
        <v>2</v>
      </c>
      <c r="E45" s="387" t="s">
        <v>34</v>
      </c>
      <c r="F45" s="387" t="s">
        <v>34</v>
      </c>
      <c r="G45" s="387" t="s">
        <v>34</v>
      </c>
      <c r="H45" s="387">
        <v>3</v>
      </c>
      <c r="I45" s="387">
        <v>1</v>
      </c>
      <c r="J45" s="451">
        <v>2</v>
      </c>
    </row>
    <row r="46" spans="1:20" ht="14.25" customHeight="1" thickTop="1" x14ac:dyDescent="0.2">
      <c r="A46" s="420"/>
      <c r="B46" s="402">
        <v>0</v>
      </c>
      <c r="C46" s="411">
        <v>0</v>
      </c>
      <c r="D46" s="396">
        <v>0</v>
      </c>
      <c r="E46" s="396">
        <v>0</v>
      </c>
      <c r="F46" s="396">
        <v>0</v>
      </c>
      <c r="G46" s="396">
        <v>0</v>
      </c>
      <c r="H46" s="396">
        <v>0</v>
      </c>
      <c r="I46" s="396">
        <v>0</v>
      </c>
      <c r="J46" s="396">
        <v>0</v>
      </c>
    </row>
    <row r="47" spans="1:20" ht="14.25" customHeight="1" thickBot="1" x14ac:dyDescent="0.25">
      <c r="A47" s="420"/>
      <c r="B47" s="385">
        <v>3763</v>
      </c>
      <c r="C47" s="386" t="s">
        <v>183</v>
      </c>
      <c r="D47" s="387" t="s">
        <v>34</v>
      </c>
      <c r="E47" s="387" t="s">
        <v>34</v>
      </c>
      <c r="F47" s="387" t="s">
        <v>76</v>
      </c>
      <c r="G47" s="387" t="s">
        <v>76</v>
      </c>
      <c r="H47" s="387" t="s">
        <v>76</v>
      </c>
      <c r="I47" s="451" t="s">
        <v>76</v>
      </c>
      <c r="J47" s="387" t="s">
        <v>76</v>
      </c>
    </row>
    <row r="48" spans="1:20" ht="14.25" customHeight="1" thickTop="1" x14ac:dyDescent="0.2">
      <c r="A48" s="420"/>
      <c r="B48" s="402">
        <v>0</v>
      </c>
      <c r="C48" s="398">
        <v>0</v>
      </c>
      <c r="D48" s="396">
        <v>0</v>
      </c>
      <c r="E48" s="396">
        <v>0</v>
      </c>
      <c r="F48" s="396">
        <v>0</v>
      </c>
      <c r="G48" s="396">
        <v>0</v>
      </c>
      <c r="H48" s="396">
        <v>0</v>
      </c>
      <c r="I48" s="396">
        <v>0</v>
      </c>
      <c r="J48" s="396">
        <v>0</v>
      </c>
    </row>
    <row r="49" spans="1:12" ht="14.25" customHeight="1" thickBot="1" x14ac:dyDescent="0.25">
      <c r="A49" s="420"/>
      <c r="B49" s="418">
        <v>3762</v>
      </c>
      <c r="C49" s="386" t="s">
        <v>184</v>
      </c>
      <c r="D49" s="387" t="s">
        <v>34</v>
      </c>
      <c r="E49" s="387" t="s">
        <v>34</v>
      </c>
      <c r="F49" s="387" t="s">
        <v>34</v>
      </c>
      <c r="G49" s="387" t="s">
        <v>34</v>
      </c>
      <c r="H49" s="387" t="s">
        <v>34</v>
      </c>
      <c r="I49" s="387" t="s">
        <v>34</v>
      </c>
      <c r="J49" s="387" t="s">
        <v>34</v>
      </c>
    </row>
    <row r="50" spans="1:12" ht="14.25" customHeight="1" thickTop="1" x14ac:dyDescent="0.2">
      <c r="A50" s="420"/>
      <c r="B50" s="402">
        <v>0</v>
      </c>
      <c r="C50" s="590">
        <v>0</v>
      </c>
      <c r="D50" s="396">
        <v>0</v>
      </c>
      <c r="E50" s="396">
        <v>0</v>
      </c>
      <c r="F50" s="396">
        <v>0</v>
      </c>
      <c r="G50" s="396">
        <v>0</v>
      </c>
      <c r="H50" s="396">
        <v>0</v>
      </c>
      <c r="I50" s="396">
        <v>0</v>
      </c>
      <c r="J50" s="396">
        <v>0</v>
      </c>
    </row>
    <row r="51" spans="1:12" ht="14.25" customHeight="1" thickBot="1" x14ac:dyDescent="0.25">
      <c r="A51" s="420"/>
      <c r="B51" s="418">
        <v>3764</v>
      </c>
      <c r="C51" s="591" t="s">
        <v>185</v>
      </c>
      <c r="D51" s="387">
        <v>4</v>
      </c>
      <c r="E51" s="387">
        <v>6</v>
      </c>
      <c r="F51" s="387">
        <v>10</v>
      </c>
      <c r="G51" s="387">
        <v>10</v>
      </c>
      <c r="H51" s="387" t="s">
        <v>34</v>
      </c>
      <c r="I51" s="387" t="s">
        <v>34</v>
      </c>
      <c r="J51" s="387" t="s">
        <v>34</v>
      </c>
    </row>
    <row r="52" spans="1:12" ht="14.25" customHeight="1" thickTop="1" x14ac:dyDescent="0.2">
      <c r="A52" s="420"/>
      <c r="B52" s="586">
        <v>0</v>
      </c>
      <c r="C52" s="411">
        <v>0</v>
      </c>
      <c r="D52" s="384">
        <v>0</v>
      </c>
      <c r="E52" s="384">
        <v>0</v>
      </c>
      <c r="F52" s="384">
        <v>0</v>
      </c>
      <c r="G52" s="384">
        <v>0</v>
      </c>
      <c r="H52" s="384">
        <v>0</v>
      </c>
      <c r="I52" s="384">
        <v>0</v>
      </c>
      <c r="J52" s="384">
        <v>0</v>
      </c>
    </row>
    <row r="53" spans="1:12" ht="14.25" customHeight="1" thickBot="1" x14ac:dyDescent="0.25">
      <c r="A53" s="420"/>
      <c r="B53" s="462">
        <v>3040</v>
      </c>
      <c r="C53" s="469" t="s">
        <v>186</v>
      </c>
      <c r="D53" s="387" t="s">
        <v>34</v>
      </c>
      <c r="E53" s="387" t="s">
        <v>34</v>
      </c>
      <c r="F53" s="387" t="s">
        <v>34</v>
      </c>
      <c r="G53" s="387">
        <v>3</v>
      </c>
      <c r="H53" s="387">
        <v>4</v>
      </c>
      <c r="I53" s="387">
        <v>5</v>
      </c>
      <c r="J53" s="387">
        <v>6</v>
      </c>
    </row>
    <row r="54" spans="1:12" ht="14.25" customHeight="1" thickTop="1" x14ac:dyDescent="0.2">
      <c r="A54" s="420"/>
      <c r="B54" s="384"/>
      <c r="C54" s="625"/>
      <c r="D54" s="396"/>
      <c r="E54" s="396"/>
      <c r="F54" s="396"/>
      <c r="G54" s="396"/>
      <c r="H54" s="396"/>
      <c r="I54" s="396"/>
      <c r="J54" s="396"/>
    </row>
    <row r="55" spans="1:12" ht="14.25" customHeight="1" thickBot="1" x14ac:dyDescent="0.25">
      <c r="A55" s="420"/>
      <c r="B55" s="462"/>
      <c r="C55" s="469"/>
      <c r="D55" s="396"/>
      <c r="E55" s="396"/>
      <c r="F55" s="396"/>
      <c r="G55" s="396"/>
      <c r="H55" s="396"/>
      <c r="I55" s="396"/>
      <c r="J55" s="396"/>
    </row>
    <row r="56" spans="1:12" ht="14.25" customHeight="1" thickTop="1" x14ac:dyDescent="0.2">
      <c r="A56" s="420"/>
      <c r="B56" s="259"/>
      <c r="C56" s="455">
        <v>650218040</v>
      </c>
      <c r="D56" s="304"/>
      <c r="E56" s="304"/>
      <c r="F56" s="304"/>
      <c r="G56" s="304"/>
      <c r="H56" s="304"/>
      <c r="I56" s="304"/>
      <c r="J56" s="304"/>
      <c r="K56" s="423"/>
      <c r="L56" s="423"/>
    </row>
    <row r="57" spans="1:12" ht="25.5" customHeight="1" thickBot="1" x14ac:dyDescent="0.25">
      <c r="A57" s="420"/>
      <c r="B57" s="261"/>
      <c r="C57" s="454" t="s">
        <v>136</v>
      </c>
      <c r="D57" s="199" t="s">
        <v>117</v>
      </c>
      <c r="E57" s="199" t="s">
        <v>117</v>
      </c>
      <c r="F57" s="199" t="s">
        <v>80</v>
      </c>
      <c r="G57" s="199" t="s">
        <v>80</v>
      </c>
      <c r="H57" s="199" t="s">
        <v>80</v>
      </c>
      <c r="I57" s="199" t="s">
        <v>34</v>
      </c>
      <c r="J57" s="199" t="s">
        <v>34</v>
      </c>
      <c r="K57" s="423"/>
      <c r="L57" s="423"/>
    </row>
    <row r="58" spans="1:12" ht="13.5" customHeight="1" thickTop="1" x14ac:dyDescent="0.2">
      <c r="A58" s="420"/>
      <c r="B58" s="424"/>
      <c r="C58" s="425"/>
      <c r="D58" s="426"/>
      <c r="E58" s="426"/>
      <c r="F58" s="426"/>
      <c r="G58" s="426"/>
      <c r="H58" s="426"/>
      <c r="I58" s="426"/>
      <c r="J58" s="426"/>
      <c r="K58" s="423"/>
      <c r="L58" s="423"/>
    </row>
    <row r="59" spans="1:12" ht="13.5" customHeight="1" x14ac:dyDescent="0.2">
      <c r="A59" s="420"/>
      <c r="B59" s="686"/>
      <c r="C59" s="686"/>
      <c r="D59" s="426"/>
      <c r="E59" s="426"/>
      <c r="F59" s="426"/>
      <c r="G59" s="426"/>
      <c r="H59" s="426"/>
      <c r="I59" s="426"/>
      <c r="J59" s="426"/>
      <c r="K59" s="423"/>
      <c r="L59" s="423"/>
    </row>
    <row r="60" spans="1:12" ht="13.5" customHeight="1" thickBot="1" x14ac:dyDescent="0.25">
      <c r="A60" s="420"/>
      <c r="B60" s="687" t="s">
        <v>119</v>
      </c>
      <c r="C60" s="687"/>
      <c r="D60" s="687"/>
      <c r="E60" s="687"/>
      <c r="F60" s="687"/>
      <c r="G60" s="687"/>
      <c r="H60" s="687"/>
      <c r="I60" s="687"/>
      <c r="J60" s="687"/>
      <c r="K60" s="423"/>
    </row>
    <row r="61" spans="1:12" ht="13.5" customHeight="1" thickTop="1" x14ac:dyDescent="0.2">
      <c r="A61" s="420"/>
      <c r="B61" s="427"/>
      <c r="C61" s="427"/>
      <c r="D61" s="427"/>
      <c r="E61" s="427"/>
      <c r="F61" s="427"/>
      <c r="G61" s="427"/>
      <c r="H61" s="427"/>
      <c r="I61" s="427"/>
      <c r="J61" s="427"/>
    </row>
    <row r="62" spans="1:12" ht="13.5" customHeight="1" x14ac:dyDescent="0.2">
      <c r="B62" s="427"/>
      <c r="C62" s="428"/>
      <c r="D62" s="428"/>
      <c r="E62" s="428"/>
      <c r="F62" s="428"/>
      <c r="G62" s="428"/>
      <c r="H62" s="428"/>
      <c r="I62" s="428"/>
      <c r="J62" s="427"/>
    </row>
  </sheetData>
  <sheetProtection algorithmName="SHA-512" hashValue="JSVG5sBgv1JYianv9M96UacgIgaxBDNLv+JwmAOzCLYp/QHLMW4ekCxm290Pjw0JX3lBWDrqVtgnulmAUJe+Gg==" saltValue="LPrhXRSsGiqY85Ut+S7O8A==" spinCount="100000" sheet="1" objects="1" scenarios="1"/>
  <mergeCells count="3">
    <mergeCell ref="D6:J6"/>
    <mergeCell ref="B59:C59"/>
    <mergeCell ref="B60:J60"/>
  </mergeCells>
  <conditionalFormatting sqref="D6:J6">
    <cfRule type="cellIs" dxfId="1204" priority="832" stopIfTrue="1" operator="equal">
      <formula>"E1"</formula>
    </cfRule>
    <cfRule type="cellIs" dxfId="1203" priority="833" stopIfTrue="1" operator="equal">
      <formula>"E2"</formula>
    </cfRule>
  </conditionalFormatting>
  <conditionalFormatting sqref="D41:J43 D52:J53">
    <cfRule type="containsText" dxfId="1202" priority="504" operator="containsText" text="REC">
      <formula>NOT(ISERROR(SEARCH("REC",D41)))</formula>
    </cfRule>
    <cfRule type="cellIs" dxfId="1201" priority="505" operator="equal">
      <formula>"CU2"</formula>
    </cfRule>
    <cfRule type="cellIs" dxfId="1200" priority="506" operator="equal">
      <formula>"CU1"</formula>
    </cfRule>
    <cfRule type="cellIs" dxfId="1199" priority="507" operator="between">
      <formula>9</formula>
      <formula>10</formula>
    </cfRule>
  </conditionalFormatting>
  <conditionalFormatting sqref="D56:J56">
    <cfRule type="cellIs" dxfId="1198" priority="656" operator="equal">
      <formula>"CU2T"</formula>
    </cfRule>
    <cfRule type="cellIs" priority="657" operator="equal">
      <formula>"CU2T"</formula>
    </cfRule>
    <cfRule type="cellIs" dxfId="1197" priority="658" operator="equal">
      <formula>"CU2M"</formula>
    </cfRule>
    <cfRule type="cellIs" dxfId="1196" priority="659" operator="equal">
      <formula>"CU1"</formula>
    </cfRule>
  </conditionalFormatting>
  <conditionalFormatting sqref="D9:J9">
    <cfRule type="cellIs" dxfId="1195" priority="503" operator="equal">
      <formula>"CU2M"</formula>
    </cfRule>
  </conditionalFormatting>
  <conditionalFormatting sqref="D9:J9">
    <cfRule type="cellIs" dxfId="1194" priority="502" operator="equal">
      <formula>"CU2T"</formula>
    </cfRule>
  </conditionalFormatting>
  <conditionalFormatting sqref="D57:J57">
    <cfRule type="cellIs" dxfId="1193" priority="498" operator="equal">
      <formula>"CU2T"</formula>
    </cfRule>
  </conditionalFormatting>
  <conditionalFormatting sqref="D57:J57">
    <cfRule type="cellIs" priority="499" operator="equal">
      <formula>"CU2T"</formula>
    </cfRule>
  </conditionalFormatting>
  <conditionalFormatting sqref="D57:J57">
    <cfRule type="cellIs" dxfId="1192" priority="501" operator="equal">
      <formula>"CU1"</formula>
    </cfRule>
  </conditionalFormatting>
  <conditionalFormatting sqref="D57:J57">
    <cfRule type="cellIs" dxfId="1191" priority="500" operator="equal">
      <formula>"CU2M"</formula>
    </cfRule>
  </conditionalFormatting>
  <conditionalFormatting sqref="E46 G46:J46 D48:J49 E47:J47">
    <cfRule type="containsText" dxfId="1190" priority="182" operator="containsText" text="REC">
      <formula>NOT(ISERROR(SEARCH("REC",D46)))</formula>
    </cfRule>
    <cfRule type="cellIs" dxfId="1189" priority="183" operator="equal">
      <formula>"CU2"</formula>
    </cfRule>
    <cfRule type="cellIs" dxfId="1188" priority="184" operator="equal">
      <formula>"CU1"</formula>
    </cfRule>
    <cfRule type="cellIs" dxfId="1187" priority="185" operator="between">
      <formula>9</formula>
      <formula>10</formula>
    </cfRule>
  </conditionalFormatting>
  <conditionalFormatting sqref="D12:J12 D30:J32 D28:G29 I28:J29 D10:J10">
    <cfRule type="containsText" dxfId="1186" priority="178" operator="containsText" text="REC">
      <formula>NOT(ISERROR(SEARCH("REC",D10)))</formula>
    </cfRule>
    <cfRule type="cellIs" dxfId="1185" priority="179" operator="equal">
      <formula>"CU2"</formula>
    </cfRule>
    <cfRule type="cellIs" dxfId="1184" priority="180" operator="equal">
      <formula>"CU1"</formula>
    </cfRule>
    <cfRule type="cellIs" dxfId="1183" priority="181" operator="between">
      <formula>9</formula>
      <formula>10</formula>
    </cfRule>
  </conditionalFormatting>
  <conditionalFormatting sqref="D33:J33 D38:J39 D40:E40 G40:J40 D34:G35 I34:J35 D36:F37 H36:J37">
    <cfRule type="containsText" dxfId="1182" priority="162" operator="containsText" text="REC">
      <formula>NOT(ISERROR(SEARCH("REC",D33)))</formula>
    </cfRule>
    <cfRule type="cellIs" dxfId="1181" priority="163" operator="equal">
      <formula>"CU2"</formula>
    </cfRule>
    <cfRule type="cellIs" dxfId="1180" priority="164" operator="equal">
      <formula>"CU1"</formula>
    </cfRule>
    <cfRule type="cellIs" dxfId="1179" priority="165" operator="between">
      <formula>9</formula>
      <formula>10</formula>
    </cfRule>
  </conditionalFormatting>
  <conditionalFormatting sqref="D11:J11">
    <cfRule type="containsText" dxfId="1178" priority="174" operator="containsText" text="REC">
      <formula>NOT(ISERROR(SEARCH("REC",D11)))</formula>
    </cfRule>
    <cfRule type="cellIs" dxfId="1177" priority="175" operator="equal">
      <formula>"CU2"</formula>
    </cfRule>
    <cfRule type="cellIs" dxfId="1176" priority="176" operator="equal">
      <formula>"CU1"</formula>
    </cfRule>
    <cfRule type="cellIs" dxfId="1175" priority="177" operator="between">
      <formula>9</formula>
      <formula>10</formula>
    </cfRule>
  </conditionalFormatting>
  <conditionalFormatting sqref="D13:J13 D14:F14 H14:J14 D21:J21 F20:J20 D23:J23 D22:F22 H22:J22 D25:G25 D26:E26 I24:J25 G26:J26 D15:J17 D18:F19 D27:J27 H18:J19 D24:F24">
    <cfRule type="containsText" dxfId="1174" priority="170" operator="containsText" text="REC">
      <formula>NOT(ISERROR(SEARCH("REC",D13)))</formula>
    </cfRule>
    <cfRule type="cellIs" dxfId="1173" priority="171" operator="equal">
      <formula>"CU2"</formula>
    </cfRule>
    <cfRule type="cellIs" dxfId="1172" priority="172" operator="equal">
      <formula>"CU1"</formula>
    </cfRule>
    <cfRule type="cellIs" dxfId="1171" priority="173" operator="between">
      <formula>9</formula>
      <formula>10</formula>
    </cfRule>
  </conditionalFormatting>
  <conditionalFormatting sqref="E45:J45 H44:J44 E44:F44">
    <cfRule type="containsText" dxfId="1170" priority="166" operator="containsText" text="REC">
      <formula>NOT(ISERROR(SEARCH("REC",E44)))</formula>
    </cfRule>
    <cfRule type="cellIs" dxfId="1169" priority="167" operator="equal">
      <formula>"CU2"</formula>
    </cfRule>
    <cfRule type="cellIs" dxfId="1168" priority="168" operator="equal">
      <formula>"CU1"</formula>
    </cfRule>
    <cfRule type="cellIs" dxfId="1167" priority="169" operator="between">
      <formula>9</formula>
      <formula>10</formula>
    </cfRule>
  </conditionalFormatting>
  <conditionalFormatting sqref="G44">
    <cfRule type="containsText" dxfId="1166" priority="158" operator="containsText" text="REC">
      <formula>NOT(ISERROR(SEARCH("REC",G44)))</formula>
    </cfRule>
    <cfRule type="cellIs" dxfId="1165" priority="159" operator="equal">
      <formula>"CU2"</formula>
    </cfRule>
    <cfRule type="cellIs" dxfId="1164" priority="160" operator="equal">
      <formula>"CU1"</formula>
    </cfRule>
    <cfRule type="cellIs" dxfId="1163" priority="161" operator="between">
      <formula>9</formula>
      <formula>10</formula>
    </cfRule>
  </conditionalFormatting>
  <conditionalFormatting sqref="G14">
    <cfRule type="containsText" dxfId="1162" priority="154" operator="containsText" text="REC">
      <formula>NOT(ISERROR(SEARCH("REC",G14)))</formula>
    </cfRule>
    <cfRule type="cellIs" dxfId="1161" priority="155" operator="equal">
      <formula>"CU2"</formula>
    </cfRule>
    <cfRule type="cellIs" dxfId="1160" priority="156" operator="equal">
      <formula>"CU1"</formula>
    </cfRule>
    <cfRule type="cellIs" dxfId="1159" priority="157" operator="between">
      <formula>9</formula>
      <formula>10</formula>
    </cfRule>
  </conditionalFormatting>
  <conditionalFormatting sqref="E20">
    <cfRule type="containsText" dxfId="1158" priority="150" operator="containsText" text="REC">
      <formula>NOT(ISERROR(SEARCH("REC",E20)))</formula>
    </cfRule>
    <cfRule type="cellIs" dxfId="1157" priority="151" operator="equal">
      <formula>"CU2"</formula>
    </cfRule>
    <cfRule type="cellIs" dxfId="1156" priority="152" operator="equal">
      <formula>"CU1"</formula>
    </cfRule>
    <cfRule type="cellIs" dxfId="1155" priority="153" operator="between">
      <formula>9</formula>
      <formula>10</formula>
    </cfRule>
  </conditionalFormatting>
  <conditionalFormatting sqref="H24">
    <cfRule type="containsText" dxfId="1154" priority="146" operator="containsText" text="REC">
      <formula>NOT(ISERROR(SEARCH("REC",H24)))</formula>
    </cfRule>
    <cfRule type="cellIs" dxfId="1153" priority="147" operator="equal">
      <formula>"CU2"</formula>
    </cfRule>
    <cfRule type="cellIs" dxfId="1152" priority="148" operator="equal">
      <formula>"CU1"</formula>
    </cfRule>
    <cfRule type="cellIs" dxfId="1151" priority="149" operator="between">
      <formula>9</formula>
      <formula>10</formula>
    </cfRule>
  </conditionalFormatting>
  <conditionalFormatting sqref="H28">
    <cfRule type="containsText" dxfId="1150" priority="142" operator="containsText" text="REC">
      <formula>NOT(ISERROR(SEARCH("REC",H28)))</formula>
    </cfRule>
    <cfRule type="cellIs" dxfId="1149" priority="143" operator="equal">
      <formula>"CU2"</formula>
    </cfRule>
    <cfRule type="cellIs" dxfId="1148" priority="144" operator="equal">
      <formula>"CU1"</formula>
    </cfRule>
    <cfRule type="cellIs" dxfId="1147" priority="145" operator="between">
      <formula>9</formula>
      <formula>10</formula>
    </cfRule>
  </conditionalFormatting>
  <conditionalFormatting sqref="F40">
    <cfRule type="containsText" dxfId="1146" priority="138" operator="containsText" text="REC">
      <formula>NOT(ISERROR(SEARCH("REC",F40)))</formula>
    </cfRule>
    <cfRule type="cellIs" dxfId="1145" priority="139" operator="equal">
      <formula>"CU2"</formula>
    </cfRule>
    <cfRule type="cellIs" dxfId="1144" priority="140" operator="equal">
      <formula>"CU1"</formula>
    </cfRule>
    <cfRule type="cellIs" dxfId="1143" priority="141" operator="between">
      <formula>9</formula>
      <formula>10</formula>
    </cfRule>
  </conditionalFormatting>
  <conditionalFormatting sqref="F26">
    <cfRule type="containsText" dxfId="1142" priority="134" operator="containsText" text="REC">
      <formula>NOT(ISERROR(SEARCH("REC",F26)))</formula>
    </cfRule>
    <cfRule type="cellIs" dxfId="1141" priority="135" operator="equal">
      <formula>"CU2"</formula>
    </cfRule>
    <cfRule type="cellIs" dxfId="1140" priority="136" operator="equal">
      <formula>"CU1"</formula>
    </cfRule>
    <cfRule type="cellIs" dxfId="1139" priority="137" operator="between">
      <formula>9</formula>
      <formula>10</formula>
    </cfRule>
  </conditionalFormatting>
  <conditionalFormatting sqref="F46">
    <cfRule type="containsText" dxfId="1138" priority="130" operator="containsText" text="REC">
      <formula>NOT(ISERROR(SEARCH("REC",F46)))</formula>
    </cfRule>
    <cfRule type="cellIs" dxfId="1137" priority="131" operator="equal">
      <formula>"CU2"</formula>
    </cfRule>
    <cfRule type="cellIs" dxfId="1136" priority="132" operator="equal">
      <formula>"CU1"</formula>
    </cfRule>
    <cfRule type="cellIs" dxfId="1135" priority="133" operator="between">
      <formula>9</formula>
      <formula>10</formula>
    </cfRule>
  </conditionalFormatting>
  <conditionalFormatting sqref="H25">
    <cfRule type="containsText" dxfId="1134" priority="126" operator="containsText" text="REC">
      <formula>NOT(ISERROR(SEARCH("REC",H25)))</formula>
    </cfRule>
    <cfRule type="cellIs" dxfId="1133" priority="127" operator="equal">
      <formula>"CU2"</formula>
    </cfRule>
    <cfRule type="cellIs" dxfId="1132" priority="128" operator="equal">
      <formula>"CU1"</formula>
    </cfRule>
    <cfRule type="cellIs" dxfId="1131" priority="129" operator="between">
      <formula>9</formula>
      <formula>10</formula>
    </cfRule>
  </conditionalFormatting>
  <conditionalFormatting sqref="H29">
    <cfRule type="containsText" dxfId="1130" priority="122" operator="containsText" text="REC">
      <formula>NOT(ISERROR(SEARCH("REC",H29)))</formula>
    </cfRule>
    <cfRule type="cellIs" dxfId="1129" priority="123" operator="equal">
      <formula>"CU2"</formula>
    </cfRule>
    <cfRule type="cellIs" dxfId="1128" priority="124" operator="equal">
      <formula>"CU1"</formula>
    </cfRule>
    <cfRule type="cellIs" dxfId="1127" priority="125" operator="between">
      <formula>9</formula>
      <formula>10</formula>
    </cfRule>
  </conditionalFormatting>
  <conditionalFormatting sqref="D46:D47">
    <cfRule type="containsText" dxfId="1126" priority="118" operator="containsText" text="REC">
      <formula>NOT(ISERROR(SEARCH("REC",D46)))</formula>
    </cfRule>
    <cfRule type="cellIs" dxfId="1125" priority="119" operator="equal">
      <formula>"CU2"</formula>
    </cfRule>
    <cfRule type="cellIs" dxfId="1124" priority="120" operator="equal">
      <formula>"CU1"</formula>
    </cfRule>
    <cfRule type="cellIs" dxfId="1123" priority="121" operator="between">
      <formula>9</formula>
      <formula>10</formula>
    </cfRule>
  </conditionalFormatting>
  <conditionalFormatting sqref="D44:D45">
    <cfRule type="containsText" dxfId="1122" priority="114" operator="containsText" text="REC">
      <formula>NOT(ISERROR(SEARCH("REC",D44)))</formula>
    </cfRule>
    <cfRule type="cellIs" dxfId="1121" priority="115" operator="equal">
      <formula>"CU2"</formula>
    </cfRule>
    <cfRule type="cellIs" dxfId="1120" priority="116" operator="equal">
      <formula>"CU1"</formula>
    </cfRule>
    <cfRule type="cellIs" dxfId="1119" priority="117" operator="between">
      <formula>9</formula>
      <formula>10</formula>
    </cfRule>
  </conditionalFormatting>
  <conditionalFormatting sqref="G36:G37">
    <cfRule type="containsText" dxfId="1118" priority="110" operator="containsText" text="REC">
      <formula>NOT(ISERROR(SEARCH("REC",G36)))</formula>
    </cfRule>
    <cfRule type="cellIs" dxfId="1117" priority="111" operator="equal">
      <formula>"CU2"</formula>
    </cfRule>
    <cfRule type="cellIs" dxfId="1116" priority="112" operator="equal">
      <formula>"CU1"</formula>
    </cfRule>
    <cfRule type="cellIs" dxfId="1115" priority="113" operator="between">
      <formula>9</formula>
      <formula>10</formula>
    </cfRule>
  </conditionalFormatting>
  <conditionalFormatting sqref="H34:H35">
    <cfRule type="containsText" dxfId="1114" priority="106" operator="containsText" text="REC">
      <formula>NOT(ISERROR(SEARCH("REC",H34)))</formula>
    </cfRule>
    <cfRule type="cellIs" dxfId="1113" priority="107" operator="equal">
      <formula>"CU2"</formula>
    </cfRule>
    <cfRule type="cellIs" dxfId="1112" priority="108" operator="equal">
      <formula>"CU1"</formula>
    </cfRule>
    <cfRule type="cellIs" dxfId="1111" priority="109" operator="between">
      <formula>9</formula>
      <formula>10</formula>
    </cfRule>
  </conditionalFormatting>
  <conditionalFormatting sqref="G18:G19">
    <cfRule type="containsText" dxfId="1110" priority="102" operator="containsText" text="REC">
      <formula>NOT(ISERROR(SEARCH("REC",G18)))</formula>
    </cfRule>
    <cfRule type="cellIs" dxfId="1109" priority="103" operator="equal">
      <formula>"CU2"</formula>
    </cfRule>
    <cfRule type="cellIs" dxfId="1108" priority="104" operator="equal">
      <formula>"CU1"</formula>
    </cfRule>
    <cfRule type="cellIs" dxfId="1107" priority="105" operator="between">
      <formula>9</formula>
      <formula>10</formula>
    </cfRule>
  </conditionalFormatting>
  <conditionalFormatting sqref="G22">
    <cfRule type="containsText" dxfId="1106" priority="98" operator="containsText" text="REC">
      <formula>NOT(ISERROR(SEARCH("REC",G22)))</formula>
    </cfRule>
    <cfRule type="cellIs" dxfId="1105" priority="99" operator="equal">
      <formula>"CU2"</formula>
    </cfRule>
    <cfRule type="cellIs" dxfId="1104" priority="100" operator="equal">
      <formula>"CU1"</formula>
    </cfRule>
    <cfRule type="cellIs" dxfId="1103" priority="101" operator="between">
      <formula>9</formula>
      <formula>10</formula>
    </cfRule>
  </conditionalFormatting>
  <conditionalFormatting sqref="G24">
    <cfRule type="containsText" dxfId="1102" priority="94" operator="containsText" text="REC">
      <formula>NOT(ISERROR(SEARCH("REC",G24)))</formula>
    </cfRule>
    <cfRule type="cellIs" dxfId="1101" priority="95" operator="equal">
      <formula>"CU2"</formula>
    </cfRule>
    <cfRule type="cellIs" dxfId="1100" priority="96" operator="equal">
      <formula>"CU1"</formula>
    </cfRule>
    <cfRule type="cellIs" dxfId="1099" priority="97" operator="between">
      <formula>9</formula>
      <formula>10</formula>
    </cfRule>
  </conditionalFormatting>
  <conditionalFormatting sqref="D20">
    <cfRule type="containsText" dxfId="1098" priority="90" operator="containsText" text="REC">
      <formula>NOT(ISERROR(SEARCH("REC",D20)))</formula>
    </cfRule>
    <cfRule type="cellIs" dxfId="1097" priority="91" operator="equal">
      <formula>"CU2"</formula>
    </cfRule>
    <cfRule type="cellIs" dxfId="1096" priority="92" operator="equal">
      <formula>"CU1"</formula>
    </cfRule>
    <cfRule type="cellIs" dxfId="1095" priority="93" operator="between">
      <formula>9</formula>
      <formula>10</formula>
    </cfRule>
  </conditionalFormatting>
  <conditionalFormatting sqref="D52:J53 D10:J49">
    <cfRule type="containsText" dxfId="1094" priority="85" operator="containsText" text="CU2">
      <formula>NOT(ISERROR(SEARCH("CU2",D10)))</formula>
    </cfRule>
    <cfRule type="containsText" dxfId="1093" priority="86" operator="containsText" text="CU2">
      <formula>NOT(ISERROR(SEARCH("CU2",D10)))</formula>
    </cfRule>
    <cfRule type="containsText" dxfId="1092" priority="87" operator="containsText" text="CU1">
      <formula>NOT(ISERROR(SEARCH("CU1",D10)))</formula>
    </cfRule>
    <cfRule type="containsText" dxfId="1091" priority="89" operator="containsText" text="CU">
      <formula>NOT(ISERROR(SEARCH("CU",D10)))</formula>
    </cfRule>
  </conditionalFormatting>
  <conditionalFormatting sqref="D10:J47">
    <cfRule type="containsText" dxfId="1090" priority="88" operator="containsText" text="PR">
      <formula>NOT(ISERROR(SEARCH("PR",D10)))</formula>
    </cfRule>
  </conditionalFormatting>
  <conditionalFormatting sqref="D50:J51">
    <cfRule type="containsText" dxfId="1089" priority="81" operator="containsText" text="REC">
      <formula>NOT(ISERROR(SEARCH("REC",D50)))</formula>
    </cfRule>
    <cfRule type="cellIs" dxfId="1088" priority="82" operator="equal">
      <formula>"CU2"</formula>
    </cfRule>
    <cfRule type="cellIs" dxfId="1087" priority="83" operator="equal">
      <formula>"CU1"</formula>
    </cfRule>
    <cfRule type="cellIs" dxfId="1086" priority="84" operator="between">
      <formula>9</formula>
      <formula>10</formula>
    </cfRule>
  </conditionalFormatting>
  <conditionalFormatting sqref="D50:J51">
    <cfRule type="containsText" dxfId="1085" priority="77" operator="containsText" text="CU2">
      <formula>NOT(ISERROR(SEARCH("CU2",D50)))</formula>
    </cfRule>
    <cfRule type="containsText" dxfId="1084" priority="78" operator="containsText" text="CU2">
      <formula>NOT(ISERROR(SEARCH("CU2",D50)))</formula>
    </cfRule>
    <cfRule type="containsText" dxfId="1083" priority="79" operator="containsText" text="CU1">
      <formula>NOT(ISERROR(SEARCH("CU1",D50)))</formula>
    </cfRule>
    <cfRule type="containsText" dxfId="1082" priority="80" operator="containsText" text="CU">
      <formula>NOT(ISERROR(SEARCH("CU",D50)))</formula>
    </cfRule>
  </conditionalFormatting>
  <conditionalFormatting sqref="C50">
    <cfRule type="containsText" dxfId="1081" priority="57" operator="containsText" text="REC">
      <formula>NOT(ISERROR(SEARCH("REC",C50)))</formula>
    </cfRule>
    <cfRule type="cellIs" dxfId="1080" priority="58" operator="equal">
      <formula>"CU2"</formula>
    </cfRule>
    <cfRule type="cellIs" dxfId="1079" priority="59" operator="equal">
      <formula>"CU1"</formula>
    </cfRule>
    <cfRule type="cellIs" dxfId="1078" priority="60" operator="between">
      <formula>9</formula>
      <formula>10</formula>
    </cfRule>
  </conditionalFormatting>
  <conditionalFormatting sqref="C50">
    <cfRule type="containsText" dxfId="1077" priority="53" operator="containsText" text="CU2">
      <formula>NOT(ISERROR(SEARCH("CU2",C50)))</formula>
    </cfRule>
    <cfRule type="containsText" dxfId="1076" priority="54" operator="containsText" text="CU2">
      <formula>NOT(ISERROR(SEARCH("CU2",C50)))</formula>
    </cfRule>
    <cfRule type="containsText" dxfId="1075" priority="55" operator="containsText" text="CU1">
      <formula>NOT(ISERROR(SEARCH("CU1",C50)))</formula>
    </cfRule>
    <cfRule type="containsText" dxfId="1074" priority="56" operator="containsText" text="CU">
      <formula>NOT(ISERROR(SEARCH("CU",C50)))</formula>
    </cfRule>
  </conditionalFormatting>
  <conditionalFormatting sqref="D54:J55">
    <cfRule type="containsText" dxfId="1073" priority="49" operator="containsText" text="REC">
      <formula>NOT(ISERROR(SEARCH("REC",D54)))</formula>
    </cfRule>
    <cfRule type="cellIs" dxfId="1072" priority="50" operator="equal">
      <formula>"CU2"</formula>
    </cfRule>
    <cfRule type="cellIs" dxfId="1071" priority="51" operator="equal">
      <formula>"CU1"</formula>
    </cfRule>
    <cfRule type="cellIs" dxfId="1070" priority="52" operator="between">
      <formula>9</formula>
      <formula>10</formula>
    </cfRule>
  </conditionalFormatting>
  <conditionalFormatting sqref="D54:J55">
    <cfRule type="containsText" dxfId="1069" priority="45" operator="containsText" text="CU2">
      <formula>NOT(ISERROR(SEARCH("CU2",D54)))</formula>
    </cfRule>
    <cfRule type="containsText" dxfId="1068" priority="46" operator="containsText" text="CU2">
      <formula>NOT(ISERROR(SEARCH("CU2",D54)))</formula>
    </cfRule>
    <cfRule type="containsText" dxfId="1067" priority="47" operator="containsText" text="CU1">
      <formula>NOT(ISERROR(SEARCH("CU1",D54)))</formula>
    </cfRule>
    <cfRule type="containsText" dxfId="1066" priority="48" operator="containsText" text="CU">
      <formula>NOT(ISERROR(SEARCH("CU",D54)))</formula>
    </cfRule>
  </conditionalFormatting>
  <conditionalFormatting sqref="B54">
    <cfRule type="containsText" dxfId="1065" priority="41" operator="containsText" text="REC">
      <formula>NOT(ISERROR(SEARCH("REC",B54)))</formula>
    </cfRule>
    <cfRule type="cellIs" dxfId="1064" priority="42" operator="equal">
      <formula>"CU2"</formula>
    </cfRule>
    <cfRule type="cellIs" dxfId="1063" priority="43" operator="equal">
      <formula>"CU1"</formula>
    </cfRule>
    <cfRule type="cellIs" dxfId="1062" priority="44" operator="between">
      <formula>9</formula>
      <formula>10</formula>
    </cfRule>
  </conditionalFormatting>
  <conditionalFormatting sqref="B54">
    <cfRule type="containsText" dxfId="1061" priority="36" operator="containsText" text="CU2">
      <formula>NOT(ISERROR(SEARCH("CU2",B54)))</formula>
    </cfRule>
    <cfRule type="containsText" dxfId="1060" priority="37" operator="containsText" text="CU2">
      <formula>NOT(ISERROR(SEARCH("CU2",B54)))</formula>
    </cfRule>
    <cfRule type="containsText" dxfId="1059" priority="38" operator="containsText" text="CU1">
      <formula>NOT(ISERROR(SEARCH("CU1",B54)))</formula>
    </cfRule>
    <cfRule type="containsText" dxfId="1058" priority="40" operator="containsText" text="CU">
      <formula>NOT(ISERROR(SEARCH("CU",B54)))</formula>
    </cfRule>
  </conditionalFormatting>
  <conditionalFormatting sqref="B54">
    <cfRule type="containsText" dxfId="1057" priority="39" operator="containsText" text="PR">
      <formula>NOT(ISERROR(SEARCH("PR",B54)))</formula>
    </cfRule>
  </conditionalFormatting>
  <conditionalFormatting sqref="D10:J55">
    <cfRule type="containsText" dxfId="1056" priority="25" operator="containsText" text="N3">
      <formula>NOT(ISERROR(SEARCH("N3",D10)))</formula>
    </cfRule>
    <cfRule type="containsText" dxfId="1055" priority="26" operator="containsText" text="PSIC">
      <formula>NOT(ISERROR(SEARCH("PSIC",D10)))</formula>
    </cfRule>
    <cfRule type="containsText" dxfId="1054" priority="27" operator="containsText" text="psic">
      <formula>NOT(ISERROR(SEARCH("psic",D10)))</formula>
    </cfRule>
  </conditionalFormatting>
  <conditionalFormatting sqref="H24">
    <cfRule type="containsText" dxfId="1053" priority="21" operator="containsText" text="REC">
      <formula>NOT(ISERROR(SEARCH("REC",H24)))</formula>
    </cfRule>
    <cfRule type="cellIs" dxfId="1052" priority="22" operator="equal">
      <formula>"CU2"</formula>
    </cfRule>
    <cfRule type="cellIs" dxfId="1051" priority="23" operator="equal">
      <formula>"CU1"</formula>
    </cfRule>
    <cfRule type="cellIs" dxfId="1050" priority="24" operator="between">
      <formula>9</formula>
      <formula>10</formula>
    </cfRule>
  </conditionalFormatting>
  <conditionalFormatting sqref="J12">
    <cfRule type="containsText" dxfId="1049" priority="17" operator="containsText" text="REC">
      <formula>NOT(ISERROR(SEARCH("REC",J12)))</formula>
    </cfRule>
    <cfRule type="cellIs" dxfId="1048" priority="18" operator="equal">
      <formula>"CU2"</formula>
    </cfRule>
    <cfRule type="cellIs" dxfId="1047" priority="19" operator="equal">
      <formula>"CU1"</formula>
    </cfRule>
    <cfRule type="cellIs" dxfId="1046" priority="20" operator="between">
      <formula>9</formula>
      <formula>10</formula>
    </cfRule>
  </conditionalFormatting>
  <conditionalFormatting sqref="J12">
    <cfRule type="containsText" dxfId="1045" priority="13" operator="containsText" text="REC">
      <formula>NOT(ISERROR(SEARCH("REC",J12)))</formula>
    </cfRule>
    <cfRule type="cellIs" dxfId="1044" priority="14" operator="equal">
      <formula>"CU2"</formula>
    </cfRule>
    <cfRule type="cellIs" dxfId="1043" priority="15" operator="equal">
      <formula>"CU1"</formula>
    </cfRule>
    <cfRule type="cellIs" dxfId="1042" priority="16" operator="between">
      <formula>9</formula>
      <formula>10</formula>
    </cfRule>
  </conditionalFormatting>
  <conditionalFormatting sqref="I26">
    <cfRule type="containsText" dxfId="1041" priority="9" operator="containsText" text="REC">
      <formula>NOT(ISERROR(SEARCH("REC",I26)))</formula>
    </cfRule>
    <cfRule type="cellIs" dxfId="1040" priority="10" operator="equal">
      <formula>"CU2"</formula>
    </cfRule>
    <cfRule type="cellIs" dxfId="1039" priority="11" operator="equal">
      <formula>"CU1"</formula>
    </cfRule>
    <cfRule type="cellIs" dxfId="1038" priority="12" operator="between">
      <formula>9</formula>
      <formula>10</formula>
    </cfRule>
  </conditionalFormatting>
  <conditionalFormatting sqref="I26">
    <cfRule type="containsText" dxfId="1037" priority="5" operator="containsText" text="REC">
      <formula>NOT(ISERROR(SEARCH("REC",I26)))</formula>
    </cfRule>
    <cfRule type="cellIs" dxfId="1036" priority="6" operator="equal">
      <formula>"CU2"</formula>
    </cfRule>
    <cfRule type="cellIs" dxfId="1035" priority="7" operator="equal">
      <formula>"CU1"</formula>
    </cfRule>
    <cfRule type="cellIs" dxfId="1034" priority="8" operator="between">
      <formula>9</formula>
      <formula>10</formula>
    </cfRule>
  </conditionalFormatting>
  <conditionalFormatting sqref="I26">
    <cfRule type="containsText" dxfId="1033" priority="1" operator="containsText" text="REC">
      <formula>NOT(ISERROR(SEARCH("REC",I26)))</formula>
    </cfRule>
    <cfRule type="cellIs" dxfId="1032" priority="2" operator="equal">
      <formula>"CU2"</formula>
    </cfRule>
    <cfRule type="cellIs" dxfId="1031" priority="3" operator="equal">
      <formula>"CU1"</formula>
    </cfRule>
    <cfRule type="cellIs" dxfId="1030" priority="4" operator="between">
      <formula>9</formula>
      <formula>10</formula>
    </cfRule>
  </conditionalFormatting>
  <pageMargins left="0.11811023622047245" right="0.11811023622047245" top="0.74803149606299213" bottom="0.74803149606299213" header="0.31496062992125984" footer="0.31496062992125984"/>
  <pageSetup paperSize="9" scale="75"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autoPageBreaks="0"/>
  </sheetPr>
  <dimension ref="A1:K60"/>
  <sheetViews>
    <sheetView showZeros="0" topLeftCell="A10" zoomScaleNormal="100" workbookViewId="0">
      <selection activeCell="K33" sqref="K33"/>
    </sheetView>
  </sheetViews>
  <sheetFormatPr defaultColWidth="10.625" defaultRowHeight="15" x14ac:dyDescent="0.2"/>
  <cols>
    <col min="1" max="1" width="2.5546875" style="135" customWidth="1"/>
    <col min="2" max="2" width="7.12890625" style="135" customWidth="1"/>
    <col min="3" max="3" width="48.5625" style="135" customWidth="1"/>
    <col min="4" max="10" width="8.47265625" style="135" customWidth="1"/>
    <col min="11" max="16384" width="10.625" style="135"/>
  </cols>
  <sheetData>
    <row r="1" spans="2:11" x14ac:dyDescent="0.2">
      <c r="B1" s="316"/>
      <c r="C1" s="316"/>
      <c r="D1" s="316"/>
      <c r="E1" s="316"/>
      <c r="F1" s="317"/>
      <c r="G1" s="316"/>
      <c r="H1" s="316"/>
      <c r="I1" s="316"/>
      <c r="J1" s="316"/>
    </row>
    <row r="2" spans="2:11" ht="22.5" customHeight="1" x14ac:dyDescent="0.2">
      <c r="B2" s="200" t="s">
        <v>43</v>
      </c>
      <c r="C2" s="315"/>
      <c r="D2" s="316"/>
      <c r="E2" s="316"/>
      <c r="F2" s="316"/>
      <c r="G2" s="317"/>
      <c r="I2" s="316"/>
      <c r="J2" s="316"/>
    </row>
    <row r="3" spans="2:11" ht="17.25" customHeight="1" x14ac:dyDescent="0.2">
      <c r="B3" s="318"/>
      <c r="C3" s="316"/>
      <c r="D3" s="316"/>
      <c r="E3" s="316"/>
      <c r="F3" s="316"/>
      <c r="G3" s="316"/>
      <c r="H3" s="316"/>
      <c r="I3" s="316"/>
      <c r="J3" s="316"/>
    </row>
    <row r="4" spans="2:11" s="318" customFormat="1" ht="22.5" customHeight="1" x14ac:dyDescent="0.2">
      <c r="B4" s="378" t="s">
        <v>70</v>
      </c>
      <c r="C4" s="317"/>
      <c r="D4" s="317"/>
      <c r="E4" s="317"/>
      <c r="F4" s="317"/>
      <c r="G4" s="317"/>
      <c r="H4" s="317"/>
      <c r="I4" s="317"/>
      <c r="J4" s="317"/>
    </row>
    <row r="5" spans="2:11" s="318" customFormat="1" ht="9.75" hidden="1" customHeight="1" x14ac:dyDescent="0.15">
      <c r="B5" s="321"/>
      <c r="C5" s="317"/>
      <c r="D5" s="317"/>
      <c r="E5" s="317"/>
      <c r="F5" s="317"/>
      <c r="G5" s="317"/>
      <c r="H5" s="317"/>
      <c r="I5" s="317"/>
      <c r="J5" s="317"/>
    </row>
    <row r="6" spans="2:11" s="318" customFormat="1" ht="9.75" customHeight="1" x14ac:dyDescent="0.15">
      <c r="B6" s="321"/>
      <c r="C6" s="317"/>
      <c r="D6" s="317"/>
      <c r="E6" s="317"/>
      <c r="F6" s="317"/>
      <c r="G6" s="317"/>
      <c r="H6" s="317"/>
      <c r="I6" s="317"/>
      <c r="J6" s="317"/>
    </row>
    <row r="7" spans="2:11" s="318" customFormat="1" ht="9.75" customHeight="1" x14ac:dyDescent="0.15">
      <c r="B7" s="321"/>
      <c r="C7" s="317"/>
      <c r="D7" s="317"/>
      <c r="E7" s="317"/>
      <c r="F7" s="317"/>
      <c r="G7" s="317"/>
      <c r="H7" s="317"/>
      <c r="I7" s="317"/>
      <c r="J7" s="317"/>
    </row>
    <row r="8" spans="2:11" ht="24" customHeight="1" x14ac:dyDescent="0.2">
      <c r="B8" s="313"/>
      <c r="C8" s="133"/>
      <c r="D8" s="683" t="str">
        <f>IF(MONTH(D11)=MONTH(J11),"Semana del dia "&amp;DAY(FECHA!$C$3)&amp;" "&amp;"al "&amp;DAY(FECHA!$C$3+6)&amp;" de "&amp;VLOOKUP(MONTH(FECHA!$C$3),FECHA!$H$2:$I$13,2)&amp;" "&amp;YEAR(J11),"Semana del dia "&amp;DAY(FECHA!$C$3)&amp;" "&amp;VLOOKUP(MONTH(FECHA!$C$3),FECHA!$H$2:$I$13,2)&amp;" "&amp;"al "&amp;DAY(FECHA!$C$3+6)&amp;" de "&amp;VLOOKUP(MONTH(J11),FECHA!$H$2:$I$13,2)&amp;" "&amp;YEAR(J11))</f>
        <v>Semana del dia 8 al 14 de Sep 2025</v>
      </c>
      <c r="E8" s="684"/>
      <c r="F8" s="684"/>
      <c r="G8" s="684"/>
      <c r="H8" s="684"/>
      <c r="I8" s="684"/>
      <c r="J8" s="685"/>
      <c r="K8" s="368"/>
    </row>
    <row r="9" spans="2:11" ht="6.75" customHeight="1" thickBot="1" x14ac:dyDescent="0.25">
      <c r="B9" s="133"/>
      <c r="C9" s="133"/>
      <c r="D9" s="133"/>
      <c r="E9" s="133"/>
      <c r="F9" s="133"/>
      <c r="G9" s="133"/>
      <c r="H9" s="133"/>
      <c r="I9" s="133"/>
      <c r="J9" s="133"/>
    </row>
    <row r="10" spans="2:11" ht="20.100000000000001" customHeight="1" thickTop="1" x14ac:dyDescent="0.2">
      <c r="B10" s="278"/>
      <c r="C10" s="323"/>
      <c r="D10" s="196" t="s">
        <v>26</v>
      </c>
      <c r="E10" s="196" t="s">
        <v>27</v>
      </c>
      <c r="F10" s="139" t="s">
        <v>28</v>
      </c>
      <c r="G10" s="139" t="s">
        <v>29</v>
      </c>
      <c r="H10" s="139" t="s">
        <v>30</v>
      </c>
      <c r="I10" s="139" t="s">
        <v>31</v>
      </c>
      <c r="J10" s="140" t="s">
        <v>32</v>
      </c>
    </row>
    <row r="11" spans="2:11" ht="15.6" customHeight="1" thickBot="1" x14ac:dyDescent="0.25">
      <c r="B11" s="281" t="s">
        <v>35</v>
      </c>
      <c r="C11" s="324" t="s">
        <v>33</v>
      </c>
      <c r="D11" s="144">
        <f>DATE(YEAR(FECHA!$C$3),MONTH(FECHA!$C$3),DAY(FECHA!$C$3))</f>
        <v>45908</v>
      </c>
      <c r="E11" s="144">
        <f>D11+1</f>
        <v>45909</v>
      </c>
      <c r="F11" s="144">
        <f t="shared" ref="F11:J11" si="0">E11+1</f>
        <v>45910</v>
      </c>
      <c r="G11" s="144">
        <f t="shared" si="0"/>
        <v>45911</v>
      </c>
      <c r="H11" s="144">
        <f t="shared" si="0"/>
        <v>45912</v>
      </c>
      <c r="I11" s="144">
        <f t="shared" si="0"/>
        <v>45913</v>
      </c>
      <c r="J11" s="144">
        <f t="shared" si="0"/>
        <v>45914</v>
      </c>
    </row>
    <row r="12" spans="2:11" s="350" customFormat="1" ht="17.100000000000001" customHeight="1" thickTop="1" x14ac:dyDescent="0.2">
      <c r="B12" s="381"/>
      <c r="C12" s="459"/>
      <c r="D12" s="220" t="s">
        <v>204</v>
      </c>
      <c r="E12" s="220" t="s">
        <v>204</v>
      </c>
      <c r="F12" s="220" t="s">
        <v>204</v>
      </c>
      <c r="G12" s="220" t="s">
        <v>204</v>
      </c>
      <c r="H12" s="220" t="s">
        <v>204</v>
      </c>
      <c r="I12" s="220" t="s">
        <v>204</v>
      </c>
      <c r="J12" s="220" t="s">
        <v>204</v>
      </c>
    </row>
    <row r="13" spans="2:11" ht="17.100000000000001" customHeight="1" thickBot="1" x14ac:dyDescent="0.25">
      <c r="B13" s="385">
        <v>3037</v>
      </c>
      <c r="C13" s="407" t="s">
        <v>138</v>
      </c>
      <c r="D13" s="225" t="s">
        <v>34</v>
      </c>
      <c r="E13" s="225" t="s">
        <v>76</v>
      </c>
      <c r="F13" s="225" t="s">
        <v>76</v>
      </c>
      <c r="G13" s="225" t="s">
        <v>76</v>
      </c>
      <c r="H13" s="225" t="s">
        <v>76</v>
      </c>
      <c r="I13" s="225" t="s">
        <v>34</v>
      </c>
      <c r="J13" s="225" t="s">
        <v>34</v>
      </c>
      <c r="K13" s="390"/>
    </row>
    <row r="14" spans="2:11" s="350" customFormat="1" ht="17.100000000000001" customHeight="1" thickTop="1" x14ac:dyDescent="0.2">
      <c r="B14" s="391"/>
      <c r="C14" s="429"/>
      <c r="D14" s="228" t="s">
        <v>204</v>
      </c>
      <c r="E14" s="228" t="s">
        <v>204</v>
      </c>
      <c r="F14" s="228" t="s">
        <v>204</v>
      </c>
      <c r="G14" s="228">
        <v>0</v>
      </c>
      <c r="H14" s="220" t="s">
        <v>204</v>
      </c>
      <c r="I14" s="228" t="s">
        <v>204</v>
      </c>
      <c r="J14" s="228" t="s">
        <v>204</v>
      </c>
    </row>
    <row r="15" spans="2:11" ht="17.100000000000001" customHeight="1" thickBot="1" x14ac:dyDescent="0.25">
      <c r="B15" s="394">
        <v>2810</v>
      </c>
      <c r="C15" s="410" t="s">
        <v>120</v>
      </c>
      <c r="D15" s="225" t="s">
        <v>76</v>
      </c>
      <c r="E15" s="225" t="s">
        <v>76</v>
      </c>
      <c r="F15" s="225" t="s">
        <v>76</v>
      </c>
      <c r="G15" s="225" t="s">
        <v>34</v>
      </c>
      <c r="H15" s="225" t="s">
        <v>76</v>
      </c>
      <c r="I15" s="225" t="s">
        <v>76</v>
      </c>
      <c r="J15" s="225" t="s">
        <v>76</v>
      </c>
      <c r="K15" s="390"/>
    </row>
    <row r="16" spans="2:11" ht="17.100000000000001" customHeight="1" thickTop="1" x14ac:dyDescent="0.2">
      <c r="B16" s="430"/>
      <c r="C16" s="431"/>
      <c r="D16" s="228">
        <v>0</v>
      </c>
      <c r="E16" s="228" t="s">
        <v>204</v>
      </c>
      <c r="F16" s="228" t="s">
        <v>204</v>
      </c>
      <c r="G16" s="229" t="s">
        <v>204</v>
      </c>
      <c r="H16" s="229" t="s">
        <v>204</v>
      </c>
      <c r="I16" s="284">
        <v>0</v>
      </c>
      <c r="J16" s="284">
        <v>0</v>
      </c>
      <c r="K16" s="432"/>
    </row>
    <row r="17" spans="1:11" ht="17.100000000000001" customHeight="1" thickBot="1" x14ac:dyDescent="0.25">
      <c r="B17" s="433">
        <v>1597</v>
      </c>
      <c r="C17" s="407" t="s">
        <v>133</v>
      </c>
      <c r="D17" s="225" t="s">
        <v>34</v>
      </c>
      <c r="E17" s="225" t="s">
        <v>34</v>
      </c>
      <c r="F17" s="225" t="s">
        <v>34</v>
      </c>
      <c r="G17" s="225" t="s">
        <v>34</v>
      </c>
      <c r="H17" s="225" t="s">
        <v>34</v>
      </c>
      <c r="I17" s="253" t="s">
        <v>34</v>
      </c>
      <c r="J17" s="253" t="s">
        <v>34</v>
      </c>
      <c r="K17" s="432"/>
    </row>
    <row r="18" spans="1:11" ht="17.100000000000001" customHeight="1" thickTop="1" x14ac:dyDescent="0.2">
      <c r="A18" s="393"/>
      <c r="B18" s="416"/>
      <c r="C18" s="429"/>
      <c r="D18" s="228" t="s">
        <v>204</v>
      </c>
      <c r="E18" s="228" t="s">
        <v>204</v>
      </c>
      <c r="F18" s="228" t="s">
        <v>204</v>
      </c>
      <c r="G18" s="228" t="s">
        <v>204</v>
      </c>
      <c r="H18" s="228" t="s">
        <v>204</v>
      </c>
      <c r="I18" s="284" t="s">
        <v>204</v>
      </c>
      <c r="J18" s="284" t="s">
        <v>204</v>
      </c>
      <c r="K18" s="434"/>
    </row>
    <row r="19" spans="1:11" ht="17.100000000000001" customHeight="1" thickBot="1" x14ac:dyDescent="0.25">
      <c r="A19" s="393"/>
      <c r="B19" s="435">
        <v>1951</v>
      </c>
      <c r="C19" s="410" t="s">
        <v>121</v>
      </c>
      <c r="D19" s="225" t="s">
        <v>249</v>
      </c>
      <c r="E19" s="225" t="s">
        <v>249</v>
      </c>
      <c r="F19" s="225" t="s">
        <v>249</v>
      </c>
      <c r="G19" s="225" t="s">
        <v>34</v>
      </c>
      <c r="H19" s="225" t="s">
        <v>34</v>
      </c>
      <c r="I19" s="253">
        <v>2</v>
      </c>
      <c r="J19" s="253">
        <v>2</v>
      </c>
      <c r="K19" s="434"/>
    </row>
    <row r="20" spans="1:11" ht="17.100000000000001" customHeight="1" thickTop="1" x14ac:dyDescent="0.2">
      <c r="A20" s="393"/>
      <c r="B20" s="430"/>
      <c r="C20" s="431"/>
      <c r="D20" s="284" t="s">
        <v>204</v>
      </c>
      <c r="E20" s="284" t="s">
        <v>204</v>
      </c>
      <c r="F20" s="284" t="s">
        <v>204</v>
      </c>
      <c r="G20" s="284" t="s">
        <v>204</v>
      </c>
      <c r="H20" s="284" t="s">
        <v>204</v>
      </c>
      <c r="I20" s="284" t="s">
        <v>204</v>
      </c>
      <c r="J20" s="284" t="s">
        <v>204</v>
      </c>
      <c r="K20" s="390"/>
    </row>
    <row r="21" spans="1:11" ht="17.100000000000001" customHeight="1" thickBot="1" x14ac:dyDescent="0.25">
      <c r="A21" s="393"/>
      <c r="B21" s="385">
        <v>1972</v>
      </c>
      <c r="C21" s="407" t="s">
        <v>72</v>
      </c>
      <c r="D21" s="253">
        <v>2</v>
      </c>
      <c r="E21" s="253" t="s">
        <v>34</v>
      </c>
      <c r="F21" s="253" t="s">
        <v>34</v>
      </c>
      <c r="G21" s="253">
        <v>3</v>
      </c>
      <c r="H21" s="253">
        <v>3</v>
      </c>
      <c r="I21" s="253">
        <v>3</v>
      </c>
      <c r="J21" s="253">
        <v>3</v>
      </c>
      <c r="K21" s="390"/>
    </row>
    <row r="22" spans="1:11" ht="17.25" customHeight="1" thickTop="1" x14ac:dyDescent="0.2">
      <c r="A22" s="393"/>
      <c r="B22" s="437"/>
      <c r="C22" s="431"/>
      <c r="D22" s="284" t="s">
        <v>204</v>
      </c>
      <c r="E22" s="284" t="s">
        <v>204</v>
      </c>
      <c r="F22" s="284" t="s">
        <v>204</v>
      </c>
      <c r="G22" s="284" t="s">
        <v>204</v>
      </c>
      <c r="H22" s="284" t="s">
        <v>204</v>
      </c>
      <c r="I22" s="284" t="s">
        <v>204</v>
      </c>
      <c r="J22" s="284" t="s">
        <v>204</v>
      </c>
      <c r="K22" s="390"/>
    </row>
    <row r="23" spans="1:11" ht="19.5" customHeight="1" thickBot="1" x14ac:dyDescent="0.25">
      <c r="A23" s="393"/>
      <c r="B23" s="438">
        <v>2178</v>
      </c>
      <c r="C23" s="407" t="s">
        <v>123</v>
      </c>
      <c r="D23" s="253" t="s">
        <v>34</v>
      </c>
      <c r="E23" s="253">
        <v>2</v>
      </c>
      <c r="F23" s="253">
        <v>2</v>
      </c>
      <c r="G23" s="253">
        <v>2</v>
      </c>
      <c r="H23" s="253">
        <v>1</v>
      </c>
      <c r="I23" s="253" t="s">
        <v>34</v>
      </c>
      <c r="J23" s="253" t="s">
        <v>34</v>
      </c>
      <c r="K23" s="390"/>
    </row>
    <row r="24" spans="1:11" ht="17.100000000000001" customHeight="1" x14ac:dyDescent="0.2">
      <c r="B24" s="441"/>
      <c r="C24" s="431"/>
      <c r="D24" s="338" t="s">
        <v>204</v>
      </c>
      <c r="E24" s="338" t="s">
        <v>204</v>
      </c>
      <c r="F24" s="338" t="s">
        <v>204</v>
      </c>
      <c r="G24" s="338" t="s">
        <v>204</v>
      </c>
      <c r="H24" s="338" t="s">
        <v>204</v>
      </c>
      <c r="I24" s="338" t="s">
        <v>204</v>
      </c>
      <c r="J24" s="338" t="s">
        <v>204</v>
      </c>
    </row>
    <row r="25" spans="1:11" ht="17.100000000000001" customHeight="1" thickBot="1" x14ac:dyDescent="0.25">
      <c r="A25" s="439"/>
      <c r="B25" s="433">
        <v>2245</v>
      </c>
      <c r="C25" s="407" t="s">
        <v>137</v>
      </c>
      <c r="D25" s="330">
        <v>3</v>
      </c>
      <c r="E25" s="330">
        <v>4</v>
      </c>
      <c r="F25" s="330">
        <v>3</v>
      </c>
      <c r="G25" s="225" t="s">
        <v>34</v>
      </c>
      <c r="H25" s="330" t="s">
        <v>34</v>
      </c>
      <c r="I25" s="330">
        <v>4</v>
      </c>
      <c r="J25" s="330">
        <v>4</v>
      </c>
    </row>
    <row r="26" spans="1:11" ht="17.100000000000001" customHeight="1" thickTop="1" x14ac:dyDescent="0.2">
      <c r="A26" s="393"/>
      <c r="B26" s="437"/>
      <c r="C26" s="431"/>
      <c r="D26" s="228" t="s">
        <v>204</v>
      </c>
      <c r="E26" s="440" t="s">
        <v>204</v>
      </c>
      <c r="F26" s="440" t="s">
        <v>204</v>
      </c>
      <c r="G26" s="228" t="s">
        <v>204</v>
      </c>
      <c r="H26" s="440" t="s">
        <v>204</v>
      </c>
      <c r="I26" s="440" t="s">
        <v>204</v>
      </c>
      <c r="J26" s="440" t="s">
        <v>204</v>
      </c>
      <c r="K26" s="390"/>
    </row>
    <row r="27" spans="1:11" ht="16.5" customHeight="1" thickBot="1" x14ac:dyDescent="0.25">
      <c r="A27" s="393"/>
      <c r="B27" s="437">
        <v>1959</v>
      </c>
      <c r="C27" s="407" t="s">
        <v>71</v>
      </c>
      <c r="D27" s="330">
        <v>4</v>
      </c>
      <c r="E27" s="330" t="s">
        <v>34</v>
      </c>
      <c r="F27" s="330" t="s">
        <v>34</v>
      </c>
      <c r="G27" s="330">
        <v>1</v>
      </c>
      <c r="H27" s="330">
        <v>2</v>
      </c>
      <c r="I27" s="330">
        <v>1</v>
      </c>
      <c r="J27" s="330">
        <v>1</v>
      </c>
      <c r="K27" s="390"/>
    </row>
    <row r="28" spans="1:11" ht="15.75" customHeight="1" thickTop="1" x14ac:dyDescent="0.2">
      <c r="A28" s="439"/>
      <c r="B28" s="583"/>
      <c r="C28" s="579"/>
      <c r="D28" s="578" t="s">
        <v>204</v>
      </c>
      <c r="E28" s="578" t="s">
        <v>204</v>
      </c>
      <c r="F28" s="578" t="s">
        <v>204</v>
      </c>
      <c r="G28" s="578" t="s">
        <v>204</v>
      </c>
      <c r="H28" s="578" t="s">
        <v>204</v>
      </c>
      <c r="I28" s="578" t="s">
        <v>204</v>
      </c>
      <c r="J28" s="578" t="s">
        <v>204</v>
      </c>
    </row>
    <row r="29" spans="1:11" ht="15.75" customHeight="1" thickBot="1" x14ac:dyDescent="0.25">
      <c r="A29" s="439"/>
      <c r="B29" s="577">
        <v>3074</v>
      </c>
      <c r="C29" s="577" t="s">
        <v>163</v>
      </c>
      <c r="D29" s="334" t="s">
        <v>34</v>
      </c>
      <c r="E29" s="334">
        <v>3</v>
      </c>
      <c r="F29" s="334">
        <v>4</v>
      </c>
      <c r="G29" s="334">
        <v>4</v>
      </c>
      <c r="H29" s="334">
        <v>4</v>
      </c>
      <c r="I29" s="334" t="s">
        <v>34</v>
      </c>
      <c r="J29" s="334" t="s">
        <v>34</v>
      </c>
    </row>
    <row r="30" spans="1:11" ht="15.75" customHeight="1" thickTop="1" x14ac:dyDescent="0.2">
      <c r="A30" s="439"/>
      <c r="B30" s="467"/>
      <c r="C30" s="579"/>
      <c r="D30" s="338">
        <v>0</v>
      </c>
      <c r="E30" s="338">
        <v>0</v>
      </c>
      <c r="F30" s="338">
        <v>0</v>
      </c>
      <c r="G30" s="338">
        <v>0</v>
      </c>
      <c r="H30" s="338">
        <v>0</v>
      </c>
      <c r="I30" s="443">
        <v>0</v>
      </c>
      <c r="J30" s="338">
        <v>0</v>
      </c>
    </row>
    <row r="31" spans="1:11" ht="15.75" customHeight="1" thickBot="1" x14ac:dyDescent="0.25">
      <c r="A31" s="439"/>
      <c r="B31" s="577"/>
      <c r="C31" s="577"/>
      <c r="D31" s="330">
        <v>0</v>
      </c>
      <c r="E31" s="330">
        <v>0</v>
      </c>
      <c r="F31" s="330">
        <v>0</v>
      </c>
      <c r="G31" s="330">
        <v>0</v>
      </c>
      <c r="H31" s="330">
        <v>0</v>
      </c>
      <c r="I31" s="330">
        <v>0</v>
      </c>
      <c r="J31" s="330">
        <v>0</v>
      </c>
    </row>
    <row r="32" spans="1:11" s="444" customFormat="1" ht="16.350000000000001" customHeight="1" thickTop="1" x14ac:dyDescent="0.15">
      <c r="B32" s="445"/>
      <c r="C32" s="260">
        <v>618617845</v>
      </c>
      <c r="D32" s="495"/>
      <c r="E32" s="198"/>
      <c r="F32" s="198"/>
      <c r="G32" s="198"/>
      <c r="H32" s="198"/>
      <c r="I32" s="198">
        <v>0</v>
      </c>
      <c r="J32" s="198">
        <v>0</v>
      </c>
    </row>
    <row r="33" spans="2:10" ht="15.75" customHeight="1" thickBot="1" x14ac:dyDescent="0.25">
      <c r="B33" s="447"/>
      <c r="C33" s="262" t="s">
        <v>134</v>
      </c>
      <c r="D33" s="263" t="s">
        <v>80</v>
      </c>
      <c r="E33" s="263" t="s">
        <v>117</v>
      </c>
      <c r="F33" s="263" t="s">
        <v>80</v>
      </c>
      <c r="G33" s="263" t="s">
        <v>80</v>
      </c>
      <c r="H33" s="263" t="s">
        <v>80</v>
      </c>
      <c r="I33" s="263" t="s">
        <v>34</v>
      </c>
      <c r="J33" s="263" t="s">
        <v>34</v>
      </c>
    </row>
    <row r="34" spans="2:10" s="444" customFormat="1" ht="16.350000000000001" customHeight="1" thickTop="1" x14ac:dyDescent="0.15">
      <c r="B34" s="445"/>
      <c r="C34" s="342">
        <v>619824402</v>
      </c>
      <c r="D34" s="496"/>
      <c r="E34" s="496"/>
      <c r="F34" s="198"/>
      <c r="G34" s="198"/>
      <c r="H34" s="198"/>
      <c r="I34" s="198">
        <v>0</v>
      </c>
      <c r="J34" s="198">
        <v>0</v>
      </c>
    </row>
    <row r="35" spans="2:10" ht="15.75" customHeight="1" thickBot="1" x14ac:dyDescent="0.25">
      <c r="B35" s="447"/>
      <c r="C35" s="344" t="s">
        <v>135</v>
      </c>
      <c r="D35" s="263" t="s">
        <v>76</v>
      </c>
      <c r="E35" s="263" t="s">
        <v>76</v>
      </c>
      <c r="F35" s="263" t="s">
        <v>76</v>
      </c>
      <c r="G35" s="263" t="s">
        <v>76</v>
      </c>
      <c r="H35" s="263" t="s">
        <v>76</v>
      </c>
      <c r="I35" s="263" t="s">
        <v>34</v>
      </c>
      <c r="J35" s="263" t="s">
        <v>34</v>
      </c>
    </row>
    <row r="36" spans="2:10" s="444" customFormat="1" ht="16.350000000000001" customHeight="1" thickTop="1" x14ac:dyDescent="0.15">
      <c r="B36" s="445"/>
      <c r="C36" s="446">
        <v>689983234</v>
      </c>
      <c r="D36" s="266"/>
      <c r="E36" s="266"/>
      <c r="F36" s="266"/>
      <c r="G36" s="266"/>
      <c r="H36" s="266"/>
      <c r="I36" s="266">
        <v>0</v>
      </c>
      <c r="J36" s="266">
        <v>0</v>
      </c>
    </row>
    <row r="37" spans="2:10" ht="15.75" customHeight="1" thickBot="1" x14ac:dyDescent="0.25">
      <c r="B37" s="447"/>
      <c r="C37" s="262" t="s">
        <v>151</v>
      </c>
      <c r="D37" s="269" t="s">
        <v>80</v>
      </c>
      <c r="E37" s="269" t="s">
        <v>80</v>
      </c>
      <c r="F37" s="269" t="s">
        <v>80</v>
      </c>
      <c r="G37" s="269" t="s">
        <v>80</v>
      </c>
      <c r="H37" s="269" t="s">
        <v>80</v>
      </c>
      <c r="I37" s="269" t="s">
        <v>34</v>
      </c>
      <c r="J37" s="269" t="s">
        <v>34</v>
      </c>
    </row>
    <row r="38" spans="2:10" ht="15.75" thickTop="1" x14ac:dyDescent="0.2"/>
    <row r="39" spans="2:10" ht="15.75" x14ac:dyDescent="0.2">
      <c r="C39" s="504"/>
      <c r="E39" s="364" t="str">
        <f>"El Campello, "&amp; DAY(FECHA!$C$8) &amp; " de " &amp; VLOOKUP(MONTH(FECHA!$C$8),FECHA!$K$2:$L$13,2) &amp; " de " &amp; YEAR(FECHA!$C$8)</f>
        <v>El Campello, 5 de Septiembre de 2025</v>
      </c>
    </row>
    <row r="40" spans="2:10" x14ac:dyDescent="0.2">
      <c r="C40" s="497"/>
    </row>
    <row r="53" spans="4:4" ht="15.75" customHeight="1" x14ac:dyDescent="0.2"/>
    <row r="55" spans="4:4" ht="15.75" customHeight="1" x14ac:dyDescent="0.2"/>
    <row r="58" spans="4:4" ht="15.75" customHeight="1" x14ac:dyDescent="0.2"/>
    <row r="59" spans="4:4" ht="15.75" customHeight="1" x14ac:dyDescent="0.2"/>
    <row r="60" spans="4:4" x14ac:dyDescent="0.2">
      <c r="D60" s="366"/>
    </row>
  </sheetData>
  <sheetProtection algorithmName="SHA-512" hashValue="1i5KU8baszN6skRwZ5RQ7Xo/wjwPn+vsqype6CK/u8gPWSOImJK+BtG84PfhRrDmd8paKVtiIQm48xOrtNJEIQ==" saltValue="98cTVLosIUdwb2JxEHEdmw==" spinCount="100000" sheet="1" objects="1" scenarios="1"/>
  <mergeCells count="1">
    <mergeCell ref="D8:J8"/>
  </mergeCells>
  <conditionalFormatting sqref="C28:C29">
    <cfRule type="cellIs" dxfId="1029" priority="118" stopIfTrue="1" operator="equal">
      <formula>"CU"</formula>
    </cfRule>
  </conditionalFormatting>
  <conditionalFormatting sqref="D8:J8">
    <cfRule type="cellIs" dxfId="1028" priority="107" stopIfTrue="1" operator="equal">
      <formula>"E1"</formula>
    </cfRule>
    <cfRule type="cellIs" dxfId="1027" priority="108" stopIfTrue="1" operator="equal">
      <formula>"E2"</formula>
    </cfRule>
  </conditionalFormatting>
  <conditionalFormatting sqref="D10:J10">
    <cfRule type="cellIs" dxfId="1026" priority="735" operator="equal">
      <formula>"CU2T"</formula>
    </cfRule>
    <cfRule type="cellIs" dxfId="1025" priority="736" operator="equal">
      <formula>"CU2M"</formula>
    </cfRule>
  </conditionalFormatting>
  <conditionalFormatting sqref="D30:J31">
    <cfRule type="cellIs" dxfId="1024" priority="163" operator="equal">
      <formula>"FGL"</formula>
    </cfRule>
    <cfRule type="cellIs" dxfId="1023" priority="164" operator="equal">
      <formula>"CU2"</formula>
    </cfRule>
    <cfRule type="cellIs" dxfId="1022" priority="166" operator="equal">
      <formula>10</formula>
    </cfRule>
    <cfRule type="cellIs" dxfId="1021" priority="167" operator="equal">
      <formula>9</formula>
    </cfRule>
    <cfRule type="containsText" dxfId="1020" priority="203" operator="containsText" text="CU2">
      <formula>NOT(ISERROR(SEARCH("CU2",D30)))</formula>
    </cfRule>
    <cfRule type="containsText" dxfId="1019" priority="204" operator="containsText" text="CU1">
      <formula>NOT(ISERROR(SEARCH("CU1",D30)))</formula>
    </cfRule>
    <cfRule type="containsText" dxfId="1018" priority="2" operator="containsText" text="SPP">
      <formula>NOT(ISERROR(SEARCH("SPP",D30)))</formula>
    </cfRule>
  </conditionalFormatting>
  <conditionalFormatting sqref="D30:J31">
    <cfRule type="cellIs" dxfId="1017" priority="430" operator="equal">
      <formula>"CU1"</formula>
    </cfRule>
  </conditionalFormatting>
  <conditionalFormatting sqref="D11:J11">
    <cfRule type="cellIs" dxfId="1016" priority="33" operator="equal">
      <formula>"CU2M"</formula>
    </cfRule>
  </conditionalFormatting>
  <conditionalFormatting sqref="D11:J11">
    <cfRule type="cellIs" dxfId="1015" priority="32" operator="equal">
      <formula>"CU2T"</formula>
    </cfRule>
  </conditionalFormatting>
  <conditionalFormatting sqref="D20:J27 D19 F19:J19 D12:J18">
    <cfRule type="containsText" dxfId="1014" priority="18" operator="containsText" text="cu2">
      <formula>NOT(ISERROR(SEARCH("cu2",D12)))</formula>
    </cfRule>
    <cfRule type="containsText" dxfId="1013" priority="19" operator="containsText" text="CU1">
      <formula>NOT(ISERROR(SEARCH("CU1",D12)))</formula>
    </cfRule>
  </conditionalFormatting>
  <conditionalFormatting sqref="D32:J35">
    <cfRule type="cellIs" dxfId="1012" priority="10" operator="equal">
      <formula>"CU2T"</formula>
    </cfRule>
    <cfRule type="cellIs" priority="11" operator="equal">
      <formula>"CU2T"</formula>
    </cfRule>
    <cfRule type="cellIs" dxfId="1011" priority="12" operator="equal">
      <formula>"CU2M"</formula>
    </cfRule>
    <cfRule type="cellIs" dxfId="1010" priority="13" operator="equal">
      <formula>"CU1"</formula>
    </cfRule>
  </conditionalFormatting>
  <conditionalFormatting sqref="D36:J37">
    <cfRule type="containsText" dxfId="1009" priority="14" operator="containsText" text="CU">
      <formula>NOT(ISERROR(SEARCH("CU",D36)))</formula>
    </cfRule>
    <cfRule type="cellIs" dxfId="1008" priority="15" operator="equal">
      <formula>"jui"</formula>
    </cfRule>
    <cfRule type="cellIs" dxfId="1007" priority="16" operator="equal">
      <formula>"CU1"</formula>
    </cfRule>
  </conditionalFormatting>
  <conditionalFormatting sqref="D28:J29">
    <cfRule type="containsText" dxfId="1006" priority="8" operator="containsText" text="cu2">
      <formula>NOT(ISERROR(SEARCH("cu2",D28)))</formula>
    </cfRule>
    <cfRule type="containsText" dxfId="1005" priority="9" operator="containsText" text="CU1">
      <formula>NOT(ISERROR(SEARCH("CU1",D28)))</formula>
    </cfRule>
  </conditionalFormatting>
  <conditionalFormatting sqref="D20:J29 D19 F19:J19 D12:J18">
    <cfRule type="containsText" dxfId="1004" priority="4" operator="containsText" text="SPP">
      <formula>NOT(ISERROR(SEARCH("SPP",D12)))</formula>
    </cfRule>
    <cfRule type="containsText" dxfId="1003" priority="5" operator="containsText" text="SPP">
      <formula>NOT(ISERROR(SEARCH("SPP",D12)))</formula>
    </cfRule>
    <cfRule type="containsText" dxfId="1002" priority="7" operator="containsText" text="cu2">
      <formula>NOT(ISERROR(SEARCH("cu2",D12)))</formula>
    </cfRule>
  </conditionalFormatting>
  <conditionalFormatting sqref="C30:C31">
    <cfRule type="cellIs" dxfId="1001" priority="3" stopIfTrue="1" operator="equal">
      <formula>"CU"</formula>
    </cfRule>
  </conditionalFormatting>
  <conditionalFormatting sqref="D12:J31">
    <cfRule type="containsText" dxfId="1000" priority="1" operator="containsText" text="dspp">
      <formula>NOT(ISERROR(SEARCH("dspp",D12)))</formula>
    </cfRule>
  </conditionalFormatting>
  <pageMargins left="0.70866141732283472" right="0.70866141732283472" top="0.74803149606299213" bottom="0.74803149606299213" header="0.31496062992125984" footer="0.31496062992125984"/>
  <pageSetup paperSize="9" scale="76"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62"/>
  <sheetViews>
    <sheetView workbookViewId="0">
      <selection activeCell="N15" sqref="N15"/>
    </sheetView>
  </sheetViews>
  <sheetFormatPr defaultColWidth="10.625" defaultRowHeight="15" x14ac:dyDescent="0.2"/>
  <cols>
    <col min="1" max="1" width="2.5546875" style="135" customWidth="1"/>
    <col min="2" max="2" width="7.12890625" style="135" customWidth="1"/>
    <col min="3" max="3" width="48.5625" style="135" customWidth="1"/>
    <col min="4" max="10" width="8.47265625" style="135" customWidth="1"/>
    <col min="11" max="16384" width="10.625" style="135"/>
  </cols>
  <sheetData>
    <row r="1" spans="2:11" x14ac:dyDescent="0.2">
      <c r="B1" s="316"/>
      <c r="C1" s="316"/>
      <c r="D1" s="316"/>
      <c r="E1" s="316"/>
      <c r="F1" s="317"/>
      <c r="G1" s="316"/>
      <c r="H1" s="316"/>
      <c r="I1" s="316"/>
      <c r="J1" s="316"/>
    </row>
    <row r="2" spans="2:11" ht="22.5" customHeight="1" x14ac:dyDescent="0.2">
      <c r="B2" s="200" t="s">
        <v>43</v>
      </c>
      <c r="C2" s="315"/>
      <c r="D2" s="316"/>
      <c r="E2" s="316"/>
      <c r="F2" s="316"/>
      <c r="G2" s="317"/>
      <c r="I2" s="316"/>
      <c r="J2" s="316"/>
    </row>
    <row r="3" spans="2:11" ht="17.25" customHeight="1" x14ac:dyDescent="0.2">
      <c r="B3" s="318"/>
      <c r="C3" s="316"/>
      <c r="D3" s="316"/>
      <c r="E3" s="316"/>
      <c r="F3" s="316"/>
      <c r="G3" s="316"/>
      <c r="H3" s="316"/>
      <c r="I3" s="316"/>
      <c r="J3" s="316"/>
    </row>
    <row r="4" spans="2:11" s="318" customFormat="1" ht="22.5" customHeight="1" x14ac:dyDescent="0.2">
      <c r="B4" s="378" t="s">
        <v>161</v>
      </c>
      <c r="C4" s="317"/>
      <c r="D4" s="317"/>
      <c r="E4" s="317"/>
      <c r="F4" s="317"/>
      <c r="G4" s="317"/>
      <c r="H4" s="317"/>
      <c r="I4" s="317"/>
      <c r="J4" s="317"/>
    </row>
    <row r="5" spans="2:11" s="318" customFormat="1" ht="9.75" hidden="1" customHeight="1" x14ac:dyDescent="0.15">
      <c r="B5" s="321"/>
      <c r="C5" s="317"/>
      <c r="D5" s="317"/>
      <c r="E5" s="317"/>
      <c r="F5" s="317"/>
      <c r="G5" s="317"/>
      <c r="H5" s="317"/>
      <c r="I5" s="317"/>
      <c r="J5" s="317"/>
    </row>
    <row r="6" spans="2:11" s="318" customFormat="1" ht="9.75" customHeight="1" x14ac:dyDescent="0.15">
      <c r="B6" s="321"/>
      <c r="C6" s="317"/>
      <c r="D6" s="317"/>
      <c r="E6" s="317"/>
      <c r="F6" s="317"/>
      <c r="G6" s="317"/>
      <c r="H6" s="317"/>
      <c r="I6" s="317"/>
      <c r="J6" s="317"/>
    </row>
    <row r="7" spans="2:11" s="318" customFormat="1" ht="9.75" customHeight="1" x14ac:dyDescent="0.15">
      <c r="B7" s="321"/>
      <c r="C7" s="317"/>
      <c r="D7" s="317"/>
      <c r="E7" s="317"/>
      <c r="F7" s="317"/>
      <c r="G7" s="317"/>
      <c r="H7" s="317"/>
      <c r="I7" s="317"/>
      <c r="J7" s="317"/>
    </row>
    <row r="8" spans="2:11" ht="24" customHeight="1" x14ac:dyDescent="0.2">
      <c r="B8" s="313"/>
      <c r="C8" s="133"/>
      <c r="D8" s="683" t="str">
        <f>IF(MONTH(D11)=MONTH(J11),"Semana del dia "&amp;DAY(FECHA!$C$3)&amp;" "&amp;"al "&amp;DAY(FECHA!$C$3+6)&amp;" de "&amp;VLOOKUP(MONTH(FECHA!$C$3),FECHA!$H$2:$I$13,2)&amp;" "&amp;YEAR(J11),"Semana del dia "&amp;DAY(FECHA!$C$3)&amp;" "&amp;VLOOKUP(MONTH(FECHA!$C$3),FECHA!$H$2:$I$13,2)&amp;" "&amp;"al "&amp;DAY(FECHA!$C$3+6)&amp;" de "&amp;VLOOKUP(MONTH(J11),FECHA!$H$2:$I$13,2)&amp;" "&amp;YEAR(J11))</f>
        <v>Semana del dia 8 al 14 de Sep 2025</v>
      </c>
      <c r="E8" s="684"/>
      <c r="F8" s="684"/>
      <c r="G8" s="684"/>
      <c r="H8" s="684"/>
      <c r="I8" s="684"/>
      <c r="J8" s="685"/>
      <c r="K8" s="368"/>
    </row>
    <row r="9" spans="2:11" ht="6.75" customHeight="1" thickBot="1" x14ac:dyDescent="0.25">
      <c r="B9" s="133"/>
      <c r="C9" s="133"/>
      <c r="D9" s="133"/>
      <c r="E9" s="133"/>
      <c r="F9" s="133"/>
      <c r="G9" s="133"/>
      <c r="H9" s="133"/>
      <c r="I9" s="133"/>
      <c r="J9" s="133"/>
    </row>
    <row r="10" spans="2:11" ht="20.100000000000001" customHeight="1" thickTop="1" x14ac:dyDescent="0.2">
      <c r="B10" s="278"/>
      <c r="C10" s="323"/>
      <c r="D10" s="196" t="s">
        <v>26</v>
      </c>
      <c r="E10" s="196" t="s">
        <v>27</v>
      </c>
      <c r="F10" s="139" t="s">
        <v>28</v>
      </c>
      <c r="G10" s="139" t="s">
        <v>29</v>
      </c>
      <c r="H10" s="139" t="s">
        <v>30</v>
      </c>
      <c r="I10" s="139" t="s">
        <v>31</v>
      </c>
      <c r="J10" s="140" t="s">
        <v>32</v>
      </c>
    </row>
    <row r="11" spans="2:11" ht="15.6" customHeight="1" thickBot="1" x14ac:dyDescent="0.25">
      <c r="B11" s="281" t="s">
        <v>35</v>
      </c>
      <c r="C11" s="324" t="s">
        <v>33</v>
      </c>
      <c r="D11" s="144">
        <f>DATE(YEAR(FECHA!$C$3),MONTH(FECHA!$C$3),DAY(FECHA!$C$3))</f>
        <v>45908</v>
      </c>
      <c r="E11" s="144">
        <f>D11+1</f>
        <v>45909</v>
      </c>
      <c r="F11" s="144">
        <f t="shared" ref="F11:J11" si="0">E11+1</f>
        <v>45910</v>
      </c>
      <c r="G11" s="144">
        <f t="shared" si="0"/>
        <v>45911</v>
      </c>
      <c r="H11" s="144">
        <f t="shared" si="0"/>
        <v>45912</v>
      </c>
      <c r="I11" s="144">
        <f t="shared" si="0"/>
        <v>45913</v>
      </c>
      <c r="J11" s="144">
        <f t="shared" si="0"/>
        <v>45914</v>
      </c>
    </row>
    <row r="12" spans="2:11" s="350" customFormat="1" ht="17.100000000000001" customHeight="1" thickTop="1" x14ac:dyDescent="0.2">
      <c r="B12" s="381"/>
      <c r="C12" s="459"/>
      <c r="D12" s="442"/>
      <c r="E12" s="646"/>
      <c r="F12" s="646"/>
      <c r="G12" s="646"/>
      <c r="H12" s="646"/>
      <c r="I12" s="646"/>
      <c r="J12" s="646"/>
    </row>
    <row r="13" spans="2:11" ht="17.100000000000001" customHeight="1" thickBot="1" x14ac:dyDescent="0.25">
      <c r="B13" s="394"/>
      <c r="C13" s="410"/>
      <c r="D13" s="218"/>
      <c r="E13" s="647"/>
      <c r="F13" s="647"/>
      <c r="G13" s="647"/>
      <c r="H13" s="647"/>
      <c r="I13" s="647"/>
      <c r="J13" s="647"/>
      <c r="K13" s="390"/>
    </row>
    <row r="14" spans="2:11" s="350" customFormat="1" ht="17.100000000000001" customHeight="1" thickTop="1" x14ac:dyDescent="0.2">
      <c r="B14" s="391"/>
      <c r="C14" s="429"/>
      <c r="D14" s="229"/>
      <c r="E14" s="648"/>
      <c r="F14" s="648"/>
      <c r="G14" s="648"/>
      <c r="H14" s="648"/>
      <c r="I14" s="648"/>
      <c r="J14" s="648"/>
    </row>
    <row r="15" spans="2:11" ht="17.100000000000001" customHeight="1" thickBot="1" x14ac:dyDescent="0.25">
      <c r="B15" s="394"/>
      <c r="C15" s="410"/>
      <c r="D15" s="218"/>
      <c r="E15" s="647"/>
      <c r="F15" s="647"/>
      <c r="G15" s="647"/>
      <c r="H15" s="647"/>
      <c r="I15" s="647"/>
      <c r="J15" s="647"/>
      <c r="K15" s="390"/>
    </row>
    <row r="16" spans="2:11" ht="17.100000000000001" customHeight="1" thickTop="1" x14ac:dyDescent="0.2">
      <c r="B16" s="430"/>
      <c r="C16" s="431"/>
      <c r="D16" s="229"/>
      <c r="E16" s="648"/>
      <c r="F16" s="648"/>
      <c r="G16" s="648"/>
      <c r="H16" s="648"/>
      <c r="I16" s="648"/>
      <c r="J16" s="648"/>
      <c r="K16" s="432"/>
    </row>
    <row r="17" spans="1:11" ht="17.100000000000001" customHeight="1" thickBot="1" x14ac:dyDescent="0.25">
      <c r="B17" s="418"/>
      <c r="C17" s="407"/>
      <c r="D17" s="218"/>
      <c r="E17" s="647"/>
      <c r="F17" s="647"/>
      <c r="G17" s="647"/>
      <c r="H17" s="647"/>
      <c r="I17" s="647"/>
      <c r="J17" s="647"/>
      <c r="K17" s="432"/>
    </row>
    <row r="18" spans="1:11" ht="17.100000000000001" customHeight="1" thickTop="1" x14ac:dyDescent="0.2">
      <c r="A18" s="393"/>
      <c r="B18" s="563"/>
      <c r="C18" s="429"/>
      <c r="D18" s="229"/>
      <c r="E18" s="229"/>
      <c r="F18" s="648"/>
      <c r="G18" s="648"/>
      <c r="H18" s="648"/>
      <c r="I18" s="648"/>
      <c r="J18" s="648"/>
      <c r="K18" s="434"/>
    </row>
    <row r="19" spans="1:11" ht="17.100000000000001" customHeight="1" thickBot="1" x14ac:dyDescent="0.25">
      <c r="A19" s="393"/>
      <c r="B19" s="435"/>
      <c r="C19" s="410"/>
      <c r="D19" s="218"/>
      <c r="E19" s="218"/>
      <c r="F19" s="647"/>
      <c r="G19" s="647"/>
      <c r="H19" s="647"/>
      <c r="I19" s="647"/>
      <c r="J19" s="647"/>
      <c r="K19" s="434"/>
    </row>
    <row r="20" spans="1:11" ht="17.100000000000001" customHeight="1" thickTop="1" x14ac:dyDescent="0.2">
      <c r="A20" s="393"/>
      <c r="B20" s="430"/>
      <c r="C20" s="431"/>
      <c r="D20" s="229"/>
      <c r="E20" s="229"/>
      <c r="F20" s="648"/>
      <c r="G20" s="648"/>
      <c r="H20" s="648"/>
      <c r="I20" s="648"/>
      <c r="J20" s="648"/>
      <c r="K20" s="390"/>
    </row>
    <row r="21" spans="1:11" ht="17.100000000000001" customHeight="1" thickBot="1" x14ac:dyDescent="0.25">
      <c r="A21" s="393"/>
      <c r="B21" s="385"/>
      <c r="C21" s="407"/>
      <c r="D21" s="218"/>
      <c r="E21" s="218"/>
      <c r="F21" s="647"/>
      <c r="G21" s="647"/>
      <c r="H21" s="647"/>
      <c r="I21" s="647"/>
      <c r="J21" s="647"/>
      <c r="K21" s="390"/>
    </row>
    <row r="22" spans="1:11" ht="17.25" customHeight="1" thickTop="1" x14ac:dyDescent="0.2">
      <c r="A22" s="393"/>
      <c r="B22" s="437"/>
      <c r="C22" s="431"/>
      <c r="D22" s="229"/>
      <c r="E22" s="229"/>
      <c r="F22" s="648"/>
      <c r="G22" s="648"/>
      <c r="H22" s="648"/>
      <c r="I22" s="648"/>
      <c r="J22" s="648"/>
      <c r="K22" s="390"/>
    </row>
    <row r="23" spans="1:11" ht="19.5" customHeight="1" thickBot="1" x14ac:dyDescent="0.25">
      <c r="A23" s="393"/>
      <c r="B23" s="418"/>
      <c r="C23" s="407"/>
      <c r="D23" s="218"/>
      <c r="E23" s="218"/>
      <c r="F23" s="647"/>
      <c r="G23" s="647"/>
      <c r="H23" s="647"/>
      <c r="I23" s="647"/>
      <c r="J23" s="647"/>
      <c r="K23" s="390"/>
    </row>
    <row r="24" spans="1:11" ht="17.100000000000001" customHeight="1" thickTop="1" x14ac:dyDescent="0.2">
      <c r="B24" s="437"/>
      <c r="C24" s="431"/>
      <c r="D24" s="443"/>
      <c r="E24" s="649"/>
      <c r="F24" s="649"/>
      <c r="G24" s="649"/>
      <c r="H24" s="649"/>
      <c r="I24" s="649"/>
      <c r="J24" s="649"/>
    </row>
    <row r="25" spans="1:11" ht="17.100000000000001" customHeight="1" thickBot="1" x14ac:dyDescent="0.25">
      <c r="A25" s="439"/>
      <c r="B25" s="418"/>
      <c r="C25" s="407"/>
      <c r="D25" s="567"/>
      <c r="E25" s="645"/>
      <c r="F25" s="645"/>
      <c r="G25" s="647"/>
      <c r="H25" s="645"/>
      <c r="I25" s="645"/>
      <c r="J25" s="645"/>
    </row>
    <row r="26" spans="1:11" ht="17.100000000000001" customHeight="1" thickTop="1" x14ac:dyDescent="0.2">
      <c r="A26" s="393"/>
      <c r="B26" s="437"/>
      <c r="C26" s="431"/>
      <c r="D26" s="229"/>
      <c r="E26" s="582"/>
      <c r="F26" s="650"/>
      <c r="G26" s="648"/>
      <c r="H26" s="650"/>
      <c r="I26" s="650"/>
      <c r="J26" s="650"/>
      <c r="K26" s="390"/>
    </row>
    <row r="27" spans="1:11" ht="16.5" customHeight="1" thickBot="1" x14ac:dyDescent="0.25">
      <c r="A27" s="393"/>
      <c r="B27" s="437"/>
      <c r="C27" s="407"/>
      <c r="D27" s="567"/>
      <c r="E27" s="567"/>
      <c r="F27" s="645"/>
      <c r="G27" s="645"/>
      <c r="H27" s="645"/>
      <c r="I27" s="645"/>
      <c r="J27" s="645"/>
      <c r="K27" s="390"/>
    </row>
    <row r="28" spans="1:11" ht="17.100000000000001" customHeight="1" thickTop="1" x14ac:dyDescent="0.2">
      <c r="A28" s="439"/>
      <c r="B28" s="441"/>
      <c r="C28" s="484"/>
      <c r="D28" s="443"/>
      <c r="E28" s="443"/>
      <c r="F28" s="443"/>
      <c r="G28" s="340"/>
      <c r="H28" s="340"/>
      <c r="I28" s="340"/>
      <c r="J28" s="340"/>
    </row>
    <row r="29" spans="1:11" ht="17.100000000000001" customHeight="1" thickBot="1" x14ac:dyDescent="0.25">
      <c r="A29" s="439"/>
      <c r="B29" s="418"/>
      <c r="C29" s="485"/>
      <c r="D29" s="567"/>
      <c r="E29" s="567"/>
      <c r="F29" s="567"/>
      <c r="G29" s="334"/>
      <c r="H29" s="334"/>
      <c r="I29" s="334"/>
      <c r="J29" s="334"/>
    </row>
    <row r="30" spans="1:11" ht="15.75" customHeight="1" thickTop="1" x14ac:dyDescent="0.2">
      <c r="A30" s="439"/>
      <c r="B30" s="437"/>
      <c r="C30" s="486"/>
      <c r="D30" s="443"/>
      <c r="E30" s="443"/>
      <c r="F30" s="443"/>
      <c r="G30" s="340"/>
      <c r="H30" s="443"/>
      <c r="I30" s="443"/>
      <c r="J30" s="443"/>
    </row>
    <row r="31" spans="1:11" ht="15.75" customHeight="1" thickBot="1" x14ac:dyDescent="0.25">
      <c r="A31" s="439"/>
      <c r="B31" s="418"/>
      <c r="C31" s="487"/>
      <c r="D31" s="567"/>
      <c r="E31" s="567"/>
      <c r="F31" s="567"/>
      <c r="G31" s="334"/>
      <c r="H31" s="567"/>
      <c r="I31" s="567"/>
      <c r="J31" s="567"/>
    </row>
    <row r="32" spans="1:11" ht="15.75" customHeight="1" thickTop="1" x14ac:dyDescent="0.2">
      <c r="A32" s="439"/>
      <c r="B32" s="564"/>
      <c r="C32" s="466"/>
      <c r="D32" s="443"/>
      <c r="E32" s="443"/>
      <c r="F32" s="443"/>
      <c r="G32" s="338"/>
      <c r="H32" s="338"/>
      <c r="I32" s="338"/>
      <c r="J32" s="338"/>
    </row>
    <row r="33" spans="1:10" ht="15.75" customHeight="1" thickBot="1" x14ac:dyDescent="0.25">
      <c r="A33" s="439"/>
      <c r="B33" s="565"/>
      <c r="C33" s="565"/>
      <c r="D33" s="567"/>
      <c r="E33" s="567"/>
      <c r="F33" s="567"/>
      <c r="G33" s="330"/>
      <c r="H33" s="330"/>
      <c r="I33" s="330"/>
      <c r="J33" s="330"/>
    </row>
    <row r="34" spans="1:10" s="444" customFormat="1" ht="16.350000000000001" customHeight="1" thickTop="1" x14ac:dyDescent="0.15">
      <c r="B34" s="569"/>
      <c r="C34" s="566"/>
      <c r="D34" s="561"/>
      <c r="E34" s="174"/>
      <c r="F34" s="174"/>
      <c r="G34" s="174"/>
      <c r="H34" s="174"/>
      <c r="I34" s="174"/>
      <c r="J34" s="174"/>
    </row>
    <row r="35" spans="1:10" ht="15.75" customHeight="1" thickBot="1" x14ac:dyDescent="0.25">
      <c r="B35" s="570"/>
      <c r="C35" s="568"/>
      <c r="D35" s="562"/>
      <c r="E35" s="562"/>
      <c r="F35" s="562"/>
      <c r="G35" s="562"/>
      <c r="H35" s="562"/>
      <c r="I35" s="562"/>
      <c r="J35" s="562"/>
    </row>
    <row r="36" spans="1:10" s="444" customFormat="1" ht="16.350000000000001" customHeight="1" thickTop="1" x14ac:dyDescent="0.15">
      <c r="B36" s="571"/>
      <c r="C36" s="572">
        <v>650218040</v>
      </c>
      <c r="D36" s="574"/>
      <c r="E36" s="574"/>
      <c r="F36" s="575"/>
      <c r="G36" s="575"/>
      <c r="H36" s="575"/>
      <c r="I36" s="575"/>
      <c r="J36" s="575"/>
    </row>
    <row r="37" spans="1:10" ht="15.75" customHeight="1" thickBot="1" x14ac:dyDescent="0.25">
      <c r="B37" s="573"/>
      <c r="C37" s="453" t="s">
        <v>136</v>
      </c>
      <c r="D37" s="576" t="s">
        <v>80</v>
      </c>
      <c r="E37" s="576" t="s">
        <v>80</v>
      </c>
      <c r="F37" s="576" t="s">
        <v>80</v>
      </c>
      <c r="G37" s="576" t="s">
        <v>80</v>
      </c>
      <c r="H37" s="576" t="s">
        <v>80</v>
      </c>
      <c r="I37" s="576" t="s">
        <v>34</v>
      </c>
      <c r="J37" s="576" t="s">
        <v>34</v>
      </c>
    </row>
    <row r="38" spans="1:10" s="444" customFormat="1" ht="16.350000000000001" customHeight="1" thickTop="1" x14ac:dyDescent="0.15">
      <c r="B38" s="445"/>
      <c r="C38" s="452">
        <v>660011488</v>
      </c>
      <c r="D38" s="266"/>
      <c r="E38" s="266"/>
      <c r="F38" s="266"/>
      <c r="G38" s="266"/>
      <c r="H38" s="266"/>
      <c r="I38" s="266"/>
      <c r="J38" s="266"/>
    </row>
    <row r="39" spans="1:10" ht="15.75" customHeight="1" thickBot="1" x14ac:dyDescent="0.25">
      <c r="B39" s="447"/>
      <c r="C39" s="453" t="s">
        <v>118</v>
      </c>
      <c r="D39" s="269" t="s">
        <v>117</v>
      </c>
      <c r="E39" s="269" t="s">
        <v>117</v>
      </c>
      <c r="F39" s="269" t="s">
        <v>117</v>
      </c>
      <c r="G39" s="269" t="s">
        <v>117</v>
      </c>
      <c r="H39" s="269" t="s">
        <v>117</v>
      </c>
      <c r="I39" s="269" t="s">
        <v>34</v>
      </c>
      <c r="J39" s="269" t="s">
        <v>34</v>
      </c>
    </row>
    <row r="40" spans="1:10" ht="15.75" thickTop="1" x14ac:dyDescent="0.2"/>
    <row r="41" spans="1:10" ht="15.75" x14ac:dyDescent="0.2">
      <c r="C41" s="504"/>
      <c r="E41" s="364" t="str">
        <f>"El Campello, "&amp; DAY(FECHA!$C$8) &amp; " de " &amp; VLOOKUP(MONTH(FECHA!$C$8),FECHA!$K$2:$L$13,2) &amp; " de " &amp; YEAR(FECHA!$C$8)</f>
        <v>El Campello, 5 de Septiembre de 2025</v>
      </c>
    </row>
    <row r="42" spans="1:10" x14ac:dyDescent="0.2">
      <c r="C42" s="497"/>
    </row>
    <row r="55" spans="4:4" ht="15.75" customHeight="1" x14ac:dyDescent="0.2"/>
    <row r="57" spans="4:4" ht="15.75" customHeight="1" x14ac:dyDescent="0.2"/>
    <row r="60" spans="4:4" ht="15.75" customHeight="1" x14ac:dyDescent="0.2"/>
    <row r="61" spans="4:4" ht="15.75" customHeight="1" x14ac:dyDescent="0.2"/>
    <row r="62" spans="4:4" x14ac:dyDescent="0.2">
      <c r="D62" s="366"/>
    </row>
  </sheetData>
  <sheetProtection algorithmName="SHA-512" hashValue="UKaCBxVUcvW81zgfTQGRBg3VXQb6AtAuK5Hp6nEoExAQ0TRXpYZ7DIIcrTlbNGGr1fwxcXI4RdiRK2rGqiVpKA==" saltValue="P+JNf8uXLCmcVfsXylRnOA==" spinCount="100000" sheet="1" objects="1" scenarios="1"/>
  <mergeCells count="1">
    <mergeCell ref="D8:J8"/>
  </mergeCells>
  <conditionalFormatting sqref="C28:C31">
    <cfRule type="cellIs" dxfId="999" priority="17" stopIfTrue="1" operator="equal">
      <formula>"CU"</formula>
    </cfRule>
  </conditionalFormatting>
  <conditionalFormatting sqref="D8:J8">
    <cfRule type="cellIs" dxfId="998" priority="15" stopIfTrue="1" operator="equal">
      <formula>"E1"</formula>
    </cfRule>
    <cfRule type="cellIs" dxfId="997" priority="16" stopIfTrue="1" operator="equal">
      <formula>"E2"</formula>
    </cfRule>
  </conditionalFormatting>
  <conditionalFormatting sqref="D10:J10">
    <cfRule type="cellIs" dxfId="996" priority="25" operator="equal">
      <formula>"CU2T"</formula>
    </cfRule>
    <cfRule type="cellIs" dxfId="995" priority="26" operator="equal">
      <formula>"CU2M"</formula>
    </cfRule>
  </conditionalFormatting>
  <conditionalFormatting sqref="D30:J31">
    <cfRule type="containsText" dxfId="994" priority="13" operator="containsText" text="CU2">
      <formula>NOT(ISERROR(SEARCH("CU2",D30)))</formula>
    </cfRule>
    <cfRule type="containsText" dxfId="993" priority="14" operator="containsText" text="CU1">
      <formula>NOT(ISERROR(SEARCH("CU1",D30)))</formula>
    </cfRule>
  </conditionalFormatting>
  <conditionalFormatting sqref="D32:J33">
    <cfRule type="cellIs" dxfId="992" priority="18" operator="equal">
      <formula>"FGL"</formula>
    </cfRule>
    <cfRule type="cellIs" dxfId="991" priority="19" operator="equal">
      <formula>"CU2"</formula>
    </cfRule>
    <cfRule type="cellIs" dxfId="990" priority="20" operator="equal">
      <formula>10</formula>
    </cfRule>
    <cfRule type="cellIs" dxfId="989" priority="21" operator="equal">
      <formula>9</formula>
    </cfRule>
    <cfRule type="containsText" dxfId="988" priority="22" operator="containsText" text="CU2">
      <formula>NOT(ISERROR(SEARCH("CU2",D32)))</formula>
    </cfRule>
    <cfRule type="containsText" dxfId="987" priority="23" operator="containsText" text="CU1">
      <formula>NOT(ISERROR(SEARCH("CU1",D32)))</formula>
    </cfRule>
  </conditionalFormatting>
  <conditionalFormatting sqref="D32:J33">
    <cfRule type="cellIs" dxfId="986" priority="24" operator="equal">
      <formula>"CU1"</formula>
    </cfRule>
  </conditionalFormatting>
  <conditionalFormatting sqref="D11:J11">
    <cfRule type="cellIs" dxfId="985" priority="12" operator="equal">
      <formula>"CU2M"</formula>
    </cfRule>
  </conditionalFormatting>
  <conditionalFormatting sqref="D11:J11">
    <cfRule type="cellIs" dxfId="984" priority="11" operator="equal">
      <formula>"CU2T"</formula>
    </cfRule>
  </conditionalFormatting>
  <conditionalFormatting sqref="D12:J29">
    <cfRule type="containsText" dxfId="983" priority="9" operator="containsText" text="cu2">
      <formula>NOT(ISERROR(SEARCH("cu2",D12)))</formula>
    </cfRule>
    <cfRule type="containsText" dxfId="982" priority="10" operator="containsText" text="CU1">
      <formula>NOT(ISERROR(SEARCH("CU1",D12)))</formula>
    </cfRule>
  </conditionalFormatting>
  <conditionalFormatting sqref="C32">
    <cfRule type="cellIs" dxfId="981" priority="8" stopIfTrue="1" operator="equal">
      <formula>"CU"</formula>
    </cfRule>
  </conditionalFormatting>
  <conditionalFormatting sqref="D34:J37">
    <cfRule type="cellIs" dxfId="980" priority="1" operator="equal">
      <formula>"CU2T"</formula>
    </cfRule>
    <cfRule type="cellIs" priority="2" operator="equal">
      <formula>"CU2T"</formula>
    </cfRule>
    <cfRule type="cellIs" dxfId="979" priority="3" operator="equal">
      <formula>"CU2M"</formula>
    </cfRule>
    <cfRule type="cellIs" dxfId="978" priority="4" operator="equal">
      <formula>"CU1"</formula>
    </cfRule>
  </conditionalFormatting>
  <conditionalFormatting sqref="D38:J39">
    <cfRule type="containsText" dxfId="977" priority="5" operator="containsText" text="CU">
      <formula>NOT(ISERROR(SEARCH("CU",D38)))</formula>
    </cfRule>
    <cfRule type="cellIs" dxfId="976" priority="6" operator="equal">
      <formula>"jui"</formula>
    </cfRule>
    <cfRule type="cellIs" dxfId="975" priority="7" operator="equal">
      <formula>"CU1"</formula>
    </cfRule>
  </conditionalFormatting>
  <printOptions horizontalCentered="1"/>
  <pageMargins left="0.23622047244094491" right="0.23622047244094491" top="0.74803149606299213" bottom="0.74803149606299213" header="0.31496062992125984" footer="0.31496062992125984"/>
  <pageSetup paperSize="9" scale="85"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C167"/>
  <sheetViews>
    <sheetView workbookViewId="0"/>
  </sheetViews>
  <sheetFormatPr defaultColWidth="11.43359375" defaultRowHeight="18" x14ac:dyDescent="0.2"/>
  <cols>
    <col min="1" max="1" width="9.55078125" style="38" customWidth="1"/>
    <col min="2" max="2" width="67.53125" style="39" customWidth="1"/>
    <col min="3" max="9" width="9.55078125" style="40" customWidth="1"/>
    <col min="10" max="13" width="8.609375" style="37" customWidth="1"/>
    <col min="14" max="14" width="7.3984375" style="37" customWidth="1"/>
    <col min="15" max="15" width="11.43359375" style="37" customWidth="1"/>
    <col min="16" max="16" width="5.109375" style="37" hidden="1" customWidth="1"/>
    <col min="17" max="17" width="11.43359375" style="37" hidden="1" customWidth="1"/>
    <col min="18" max="18" width="12.375" style="37" bestFit="1" customWidth="1"/>
    <col min="19" max="20" width="8.609375" style="37" customWidth="1"/>
    <col min="21" max="21" width="8.47265625" style="37" customWidth="1"/>
    <col min="22" max="22" width="11.02734375" style="37" customWidth="1"/>
    <col min="23" max="16384" width="11.43359375" style="37"/>
  </cols>
  <sheetData>
    <row r="1" spans="1:9" x14ac:dyDescent="0.2">
      <c r="A1" s="39"/>
      <c r="C1" s="39"/>
      <c r="D1" s="39"/>
      <c r="E1" s="41"/>
      <c r="F1" s="39"/>
      <c r="G1" s="39"/>
      <c r="H1" s="39"/>
      <c r="I1" s="39"/>
    </row>
    <row r="2" spans="1:9" ht="22.5" customHeight="1" x14ac:dyDescent="0.2">
      <c r="A2" s="39"/>
      <c r="C2" s="39"/>
      <c r="D2" s="39"/>
      <c r="E2" s="39"/>
      <c r="F2" s="41"/>
      <c r="G2" s="39"/>
      <c r="H2" s="39"/>
      <c r="I2" s="39"/>
    </row>
    <row r="3" spans="1:9" ht="26.25" customHeight="1" x14ac:dyDescent="0.2">
      <c r="A3" s="39"/>
      <c r="C3" s="39"/>
      <c r="D3" s="39"/>
      <c r="E3" s="39"/>
      <c r="F3" s="39"/>
      <c r="G3" s="39"/>
      <c r="H3" s="39"/>
      <c r="I3" s="39"/>
    </row>
    <row r="4" spans="1:9" ht="10.5" customHeight="1" x14ac:dyDescent="0.2">
      <c r="A4" s="42"/>
    </row>
    <row r="5" spans="1:9" ht="24" customHeight="1" x14ac:dyDescent="0.2">
      <c r="A5" s="690" t="s">
        <v>82</v>
      </c>
      <c r="B5" s="691"/>
      <c r="C5" s="672" t="str">
        <f>IF(MONTH(C8)=MONTH(I8),"Semana del dia "&amp;DAY(FECHA!$C$3)&amp;" "&amp;"al "&amp;DAY(FECHA!$C$3+6)&amp;" de "&amp;VLOOKUP(MONTH(FECHA!$C$3),FECHA!$H$2:$I$13,2)&amp;" "&amp;YEAR(I8),"Semana del dia "&amp;DAY(FECHA!$C$3)&amp;" "&amp;VLOOKUP(MONTH(FECHA!$C$3),FECHA!$H$2:$I$13,2)&amp;" "&amp;"al "&amp;DAY(FECHA!$C$3+6)&amp;" de "&amp;VLOOKUP(MONTH(I8),FECHA!$H$2:$I$13,2)&amp;" "&amp;YEAR(I8))</f>
        <v>Semana del dia 8 al 14 de Sep 2025</v>
      </c>
      <c r="D5" s="673"/>
      <c r="E5" s="673"/>
      <c r="F5" s="673"/>
      <c r="G5" s="673"/>
      <c r="H5" s="673"/>
      <c r="I5" s="674"/>
    </row>
    <row r="6" spans="1:9" ht="24" customHeight="1" thickBot="1" x14ac:dyDescent="0.25"/>
    <row r="7" spans="1:9" ht="14.45" customHeight="1" thickTop="1" x14ac:dyDescent="0.2">
      <c r="A7" s="21"/>
      <c r="B7" s="22"/>
      <c r="C7" s="23" t="s">
        <v>26</v>
      </c>
      <c r="D7" s="23" t="s">
        <v>27</v>
      </c>
      <c r="E7" s="23" t="s">
        <v>28</v>
      </c>
      <c r="F7" s="23" t="s">
        <v>29</v>
      </c>
      <c r="G7" s="23" t="s">
        <v>30</v>
      </c>
      <c r="H7" s="43" t="s">
        <v>31</v>
      </c>
      <c r="I7" s="44" t="s">
        <v>32</v>
      </c>
    </row>
    <row r="8" spans="1:9" ht="14.45" customHeight="1" thickBot="1" x14ac:dyDescent="0.25">
      <c r="A8" s="24" t="s">
        <v>35</v>
      </c>
      <c r="B8" s="25" t="s">
        <v>33</v>
      </c>
      <c r="C8" s="26">
        <f>FECHA!$C$3</f>
        <v>45908</v>
      </c>
      <c r="D8" s="26">
        <f>FECHA!$C$3+1</f>
        <v>45909</v>
      </c>
      <c r="E8" s="26">
        <f>FECHA!$C$3+2</f>
        <v>45910</v>
      </c>
      <c r="F8" s="26">
        <f>FECHA!$C$3+3</f>
        <v>45911</v>
      </c>
      <c r="G8" s="26">
        <f>FECHA!$C$3+4</f>
        <v>45912</v>
      </c>
      <c r="H8" s="45">
        <f>FECHA!$C$3+5</f>
        <v>45913</v>
      </c>
      <c r="I8" s="45">
        <f>FECHA!$C$3+6</f>
        <v>45914</v>
      </c>
    </row>
    <row r="9" spans="1:9" ht="14.45" hidden="1" customHeight="1" x14ac:dyDescent="0.2">
      <c r="A9" s="27"/>
      <c r="B9" s="28"/>
      <c r="C9" s="29"/>
      <c r="D9" s="29"/>
      <c r="E9" s="29"/>
      <c r="F9" s="29"/>
      <c r="G9" s="29"/>
      <c r="H9" s="46"/>
      <c r="I9" s="46"/>
    </row>
    <row r="10" spans="1:9" ht="14.45" hidden="1" customHeight="1" x14ac:dyDescent="0.2">
      <c r="A10" s="27"/>
      <c r="B10" s="28"/>
      <c r="C10" s="29"/>
      <c r="D10" s="29"/>
      <c r="E10" s="29"/>
      <c r="F10" s="29"/>
      <c r="G10" s="29"/>
      <c r="H10" s="46"/>
      <c r="I10" s="46"/>
    </row>
    <row r="11" spans="1:9" ht="14.45" hidden="1" customHeight="1" x14ac:dyDescent="0.2">
      <c r="A11" s="27"/>
      <c r="B11" s="28"/>
      <c r="C11" s="29"/>
      <c r="D11" s="29"/>
      <c r="E11" s="29"/>
      <c r="F11" s="29"/>
      <c r="G11" s="29"/>
      <c r="H11" s="46"/>
      <c r="I11" s="46"/>
    </row>
    <row r="12" spans="1:9" ht="14.45" hidden="1" customHeight="1" x14ac:dyDescent="0.2">
      <c r="A12" s="27"/>
      <c r="B12" s="28"/>
      <c r="C12" s="29"/>
      <c r="D12" s="29"/>
      <c r="E12" s="29"/>
      <c r="F12" s="29"/>
      <c r="G12" s="29"/>
      <c r="H12" s="46"/>
      <c r="I12" s="46"/>
    </row>
    <row r="13" spans="1:9" ht="14.45" hidden="1" customHeight="1" x14ac:dyDescent="0.2">
      <c r="A13" s="27"/>
      <c r="B13" s="28"/>
      <c r="C13" s="29"/>
      <c r="D13" s="29"/>
      <c r="E13" s="29"/>
      <c r="F13" s="29"/>
      <c r="G13" s="29"/>
      <c r="H13" s="46"/>
      <c r="I13" s="46"/>
    </row>
    <row r="14" spans="1:9" ht="14.45" hidden="1" customHeight="1" x14ac:dyDescent="0.2">
      <c r="A14" s="27"/>
      <c r="B14" s="28"/>
      <c r="C14" s="29"/>
      <c r="D14" s="29"/>
      <c r="E14" s="29"/>
      <c r="F14" s="29"/>
      <c r="G14" s="29"/>
      <c r="H14" s="46"/>
      <c r="I14" s="46"/>
    </row>
    <row r="15" spans="1:9" ht="14.45" hidden="1" customHeight="1" x14ac:dyDescent="0.2">
      <c r="A15" s="27"/>
      <c r="B15" s="28"/>
      <c r="C15" s="29"/>
      <c r="D15" s="29"/>
      <c r="E15" s="29"/>
      <c r="F15" s="29"/>
      <c r="G15" s="29"/>
      <c r="H15" s="46"/>
      <c r="I15" s="46"/>
    </row>
    <row r="16" spans="1:9" ht="14.45" hidden="1" customHeight="1" x14ac:dyDescent="0.2">
      <c r="A16" s="27"/>
      <c r="B16" s="28"/>
      <c r="C16" s="29"/>
      <c r="D16" s="29"/>
      <c r="E16" s="29"/>
      <c r="F16" s="29"/>
      <c r="G16" s="29"/>
      <c r="H16" s="46"/>
      <c r="I16" s="46"/>
    </row>
    <row r="17" spans="1:17" ht="14.45" hidden="1" customHeight="1" x14ac:dyDescent="0.2">
      <c r="A17" s="27"/>
      <c r="B17" s="28"/>
      <c r="C17" s="29"/>
      <c r="D17" s="29"/>
      <c r="E17" s="29"/>
      <c r="F17" s="29"/>
      <c r="G17" s="29"/>
      <c r="H17" s="46"/>
      <c r="I17" s="46"/>
    </row>
    <row r="18" spans="1:17" ht="14.45" hidden="1" customHeight="1" x14ac:dyDescent="0.2">
      <c r="A18" s="27"/>
      <c r="B18" s="28"/>
      <c r="C18" s="29"/>
      <c r="D18" s="29"/>
      <c r="E18" s="29"/>
      <c r="F18" s="29"/>
      <c r="G18" s="29"/>
      <c r="H18" s="46"/>
      <c r="I18" s="46"/>
    </row>
    <row r="19" spans="1:17" ht="14.45" hidden="1" customHeight="1" x14ac:dyDescent="0.2">
      <c r="A19" s="27"/>
      <c r="B19" s="28"/>
      <c r="C19" s="29"/>
      <c r="D19" s="29"/>
      <c r="E19" s="29"/>
      <c r="F19" s="29"/>
      <c r="G19" s="29"/>
      <c r="H19" s="46"/>
      <c r="I19" s="46"/>
    </row>
    <row r="20" spans="1:17" ht="14.45" hidden="1" customHeight="1" x14ac:dyDescent="0.2">
      <c r="A20" s="27"/>
      <c r="B20" s="28"/>
      <c r="C20" s="29"/>
      <c r="D20" s="29"/>
      <c r="E20" s="29"/>
      <c r="F20" s="29"/>
      <c r="G20" s="29"/>
      <c r="H20" s="46"/>
      <c r="I20" s="46"/>
    </row>
    <row r="21" spans="1:17" ht="14.45" hidden="1" customHeight="1" x14ac:dyDescent="0.2">
      <c r="A21" s="27"/>
      <c r="B21" s="28"/>
      <c r="C21" s="29"/>
      <c r="D21" s="29"/>
      <c r="E21" s="29"/>
      <c r="F21" s="29"/>
      <c r="G21" s="29"/>
      <c r="H21" s="46"/>
      <c r="I21" s="46"/>
    </row>
    <row r="22" spans="1:17" ht="14.45" hidden="1" customHeight="1" x14ac:dyDescent="0.2">
      <c r="A22" s="27"/>
      <c r="B22" s="28"/>
      <c r="C22" s="29"/>
      <c r="D22" s="29"/>
      <c r="E22" s="29"/>
      <c r="F22" s="29"/>
      <c r="G22" s="29"/>
      <c r="H22" s="46"/>
      <c r="I22" s="46"/>
    </row>
    <row r="23" spans="1:17" ht="14.45" hidden="1" customHeight="1" x14ac:dyDescent="0.2">
      <c r="A23" s="27"/>
      <c r="B23" s="28"/>
      <c r="C23" s="29"/>
      <c r="D23" s="29"/>
      <c r="E23" s="29"/>
      <c r="F23" s="29"/>
      <c r="G23" s="29"/>
      <c r="H23" s="46"/>
      <c r="I23" s="46"/>
    </row>
    <row r="24" spans="1:17" ht="14.45" hidden="1" customHeight="1" x14ac:dyDescent="0.2">
      <c r="A24" s="27"/>
      <c r="B24" s="28"/>
      <c r="C24" s="29"/>
      <c r="D24" s="29"/>
      <c r="E24" s="29"/>
      <c r="F24" s="29"/>
      <c r="G24" s="29"/>
      <c r="H24" s="46"/>
      <c r="I24" s="46"/>
    </row>
    <row r="25" spans="1:17" ht="14.45" hidden="1" customHeight="1" x14ac:dyDescent="0.2">
      <c r="A25" s="27"/>
      <c r="B25" s="28"/>
      <c r="C25" s="29"/>
      <c r="D25" s="29"/>
      <c r="E25" s="29"/>
      <c r="F25" s="29"/>
      <c r="G25" s="29"/>
      <c r="H25" s="46"/>
      <c r="I25" s="46"/>
    </row>
    <row r="26" spans="1:17" ht="14.45" hidden="1" customHeight="1" x14ac:dyDescent="0.2">
      <c r="A26" s="27"/>
      <c r="B26" s="28"/>
      <c r="C26" s="29"/>
      <c r="D26" s="29"/>
      <c r="E26" s="29"/>
      <c r="F26" s="29"/>
      <c r="G26" s="29"/>
      <c r="H26" s="46"/>
      <c r="I26" s="46"/>
    </row>
    <row r="27" spans="1:17" ht="15" customHeight="1" thickTop="1" x14ac:dyDescent="0.2">
      <c r="A27" s="114"/>
      <c r="B27" s="115"/>
      <c r="C27" s="30"/>
      <c r="D27" s="30"/>
      <c r="E27" s="131"/>
      <c r="F27" s="131"/>
      <c r="G27" s="30"/>
      <c r="H27" s="35"/>
      <c r="I27" s="116"/>
    </row>
    <row r="28" spans="1:17" ht="15" customHeight="1" x14ac:dyDescent="0.2">
      <c r="A28" s="117"/>
      <c r="B28" s="118" t="s">
        <v>84</v>
      </c>
      <c r="C28" s="31"/>
      <c r="D28" s="31"/>
      <c r="E28" s="31"/>
      <c r="F28" s="31"/>
      <c r="G28" s="31"/>
      <c r="H28" s="31"/>
      <c r="I28" s="119"/>
    </row>
    <row r="29" spans="1:17" ht="15" customHeight="1" x14ac:dyDescent="0.2">
      <c r="A29" s="120"/>
      <c r="B29" s="121"/>
      <c r="C29" s="30"/>
      <c r="D29" s="30"/>
      <c r="E29" s="131"/>
      <c r="F29" s="131"/>
      <c r="G29" s="30"/>
      <c r="H29" s="35"/>
      <c r="I29" s="116"/>
      <c r="Q29" s="51">
        <v>53</v>
      </c>
    </row>
    <row r="30" spans="1:17" ht="15" customHeight="1" x14ac:dyDescent="0.2">
      <c r="A30" s="117"/>
      <c r="B30" s="118" t="s">
        <v>85</v>
      </c>
      <c r="C30" s="31"/>
      <c r="D30" s="31"/>
      <c r="E30" s="31"/>
      <c r="F30" s="31"/>
      <c r="G30" s="31"/>
      <c r="H30" s="31"/>
      <c r="I30" s="119"/>
      <c r="Q30" s="51">
        <v>54</v>
      </c>
    </row>
    <row r="31" spans="1:17" ht="15" customHeight="1" x14ac:dyDescent="0.2">
      <c r="A31" s="120"/>
      <c r="B31" s="121"/>
      <c r="C31" s="30"/>
      <c r="D31" s="30"/>
      <c r="E31" s="131"/>
      <c r="F31" s="131"/>
      <c r="G31" s="30"/>
      <c r="H31" s="35"/>
      <c r="I31" s="116"/>
      <c r="Q31" s="51">
        <v>55</v>
      </c>
    </row>
    <row r="32" spans="1:17" ht="15" customHeight="1" x14ac:dyDescent="0.2">
      <c r="A32" s="117"/>
      <c r="B32" s="118" t="s">
        <v>86</v>
      </c>
      <c r="C32" s="31"/>
      <c r="D32" s="31"/>
      <c r="E32" s="31"/>
      <c r="F32" s="31"/>
      <c r="G32" s="31"/>
      <c r="H32" s="31"/>
      <c r="I32" s="119"/>
      <c r="Q32" s="51">
        <v>56</v>
      </c>
    </row>
    <row r="33" spans="1:17" ht="15" customHeight="1" x14ac:dyDescent="0.2">
      <c r="A33" s="120"/>
      <c r="B33" s="121"/>
      <c r="C33" s="30"/>
      <c r="D33" s="30"/>
      <c r="E33" s="131"/>
      <c r="F33" s="131"/>
      <c r="G33" s="30"/>
      <c r="H33" s="35"/>
      <c r="I33" s="116"/>
      <c r="Q33" s="51">
        <v>57</v>
      </c>
    </row>
    <row r="34" spans="1:17" ht="15" customHeight="1" x14ac:dyDescent="0.2">
      <c r="A34" s="117"/>
      <c r="B34" s="118" t="s">
        <v>87</v>
      </c>
      <c r="C34" s="31"/>
      <c r="D34" s="31"/>
      <c r="E34" s="31"/>
      <c r="F34" s="31"/>
      <c r="G34" s="31"/>
      <c r="H34" s="31"/>
      <c r="I34" s="119"/>
      <c r="Q34" s="51">
        <v>58</v>
      </c>
    </row>
    <row r="35" spans="1:17" ht="15" customHeight="1" x14ac:dyDescent="0.2">
      <c r="A35" s="120"/>
      <c r="B35" s="121"/>
      <c r="C35" s="30"/>
      <c r="D35" s="30"/>
      <c r="E35" s="131"/>
      <c r="F35" s="131"/>
      <c r="G35" s="30"/>
      <c r="H35" s="35"/>
      <c r="I35" s="116"/>
      <c r="Q35" s="52">
        <f>SUM(Q29:Q34)</f>
        <v>333</v>
      </c>
    </row>
    <row r="36" spans="1:17" ht="15" customHeight="1" x14ac:dyDescent="0.2">
      <c r="A36" s="117"/>
      <c r="B36" s="118" t="s">
        <v>88</v>
      </c>
      <c r="C36" s="31"/>
      <c r="D36" s="31"/>
      <c r="E36" s="31"/>
      <c r="F36" s="31"/>
      <c r="G36" s="31"/>
      <c r="H36" s="31"/>
      <c r="I36" s="119"/>
      <c r="Q36" s="53"/>
    </row>
    <row r="37" spans="1:17" ht="15" customHeight="1" x14ac:dyDescent="0.2">
      <c r="A37" s="49"/>
      <c r="B37" s="50"/>
      <c r="C37" s="64"/>
      <c r="D37" s="64"/>
      <c r="E37" s="65"/>
      <c r="F37" s="65"/>
      <c r="G37" s="64"/>
      <c r="H37" s="35"/>
      <c r="I37" s="30"/>
    </row>
    <row r="38" spans="1:17" ht="15" customHeight="1" x14ac:dyDescent="0.2">
      <c r="A38" s="47"/>
      <c r="B38" s="48"/>
      <c r="C38" s="66"/>
      <c r="D38" s="66"/>
      <c r="E38" s="66"/>
      <c r="F38" s="66"/>
      <c r="G38" s="66"/>
      <c r="H38" s="31"/>
      <c r="I38" s="31"/>
    </row>
    <row r="39" spans="1:17" ht="15" customHeight="1" x14ac:dyDescent="0.2">
      <c r="A39" s="49"/>
      <c r="B39" s="50"/>
      <c r="C39" s="64"/>
      <c r="D39" s="64"/>
      <c r="E39" s="65"/>
      <c r="F39" s="65"/>
      <c r="G39" s="64"/>
      <c r="H39" s="35"/>
      <c r="I39" s="30"/>
    </row>
    <row r="40" spans="1:17" ht="15" customHeight="1" x14ac:dyDescent="0.2">
      <c r="A40" s="47"/>
      <c r="B40" s="48"/>
      <c r="C40" s="66"/>
      <c r="D40" s="66"/>
      <c r="E40" s="66"/>
      <c r="F40" s="66"/>
      <c r="G40" s="66"/>
      <c r="H40" s="31"/>
      <c r="I40" s="31"/>
    </row>
    <row r="41" spans="1:17" ht="15" customHeight="1" x14ac:dyDescent="0.2">
      <c r="A41" s="49"/>
      <c r="B41" s="50"/>
      <c r="C41" s="64"/>
      <c r="D41" s="64"/>
      <c r="E41" s="65"/>
      <c r="F41" s="65"/>
      <c r="G41" s="64"/>
      <c r="H41" s="35"/>
      <c r="I41" s="30"/>
    </row>
    <row r="42" spans="1:17" ht="15" customHeight="1" x14ac:dyDescent="0.2">
      <c r="A42" s="47"/>
      <c r="B42" s="48"/>
      <c r="C42" s="66"/>
      <c r="D42" s="66"/>
      <c r="E42" s="66"/>
      <c r="F42" s="66"/>
      <c r="G42" s="66"/>
      <c r="H42" s="31"/>
      <c r="I42" s="31"/>
    </row>
    <row r="43" spans="1:17" ht="15" hidden="1" customHeight="1" x14ac:dyDescent="0.2">
      <c r="A43" s="54"/>
      <c r="B43" s="54"/>
      <c r="C43" s="68">
        <f t="shared" ref="C43:I43" si="0">SUM(C28:C42)</f>
        <v>0</v>
      </c>
      <c r="D43" s="68">
        <f t="shared" si="0"/>
        <v>0</v>
      </c>
      <c r="E43" s="68">
        <f t="shared" si="0"/>
        <v>0</v>
      </c>
      <c r="F43" s="68">
        <f t="shared" si="0"/>
        <v>0</v>
      </c>
      <c r="G43" s="68">
        <f t="shared" si="0"/>
        <v>0</v>
      </c>
      <c r="H43" s="68">
        <f t="shared" si="0"/>
        <v>0</v>
      </c>
      <c r="I43" s="68">
        <f t="shared" si="0"/>
        <v>0</v>
      </c>
      <c r="J43" s="54"/>
    </row>
    <row r="44" spans="1:17" ht="15" customHeight="1" x14ac:dyDescent="0.2">
      <c r="A44" s="54"/>
      <c r="B44" s="54"/>
      <c r="C44" s="69"/>
      <c r="D44" s="69"/>
      <c r="E44" s="69"/>
      <c r="F44" s="69"/>
      <c r="G44" s="69"/>
      <c r="H44" s="69"/>
      <c r="I44" s="69"/>
      <c r="J44" s="54"/>
    </row>
    <row r="45" spans="1:17" ht="19.5" customHeight="1" x14ac:dyDescent="0.2">
      <c r="A45" s="54"/>
      <c r="B45" s="85"/>
      <c r="C45" s="86"/>
      <c r="D45" s="86"/>
      <c r="E45" s="86"/>
      <c r="F45" s="86"/>
      <c r="G45" s="86"/>
      <c r="H45" s="86"/>
      <c r="I45" s="86"/>
      <c r="J45" s="87"/>
      <c r="K45" s="88"/>
    </row>
    <row r="46" spans="1:17" ht="21" customHeight="1" x14ac:dyDescent="0.2">
      <c r="B46" s="113" t="s">
        <v>106</v>
      </c>
      <c r="C46" s="113"/>
      <c r="D46" s="113"/>
      <c r="E46" s="71"/>
      <c r="F46" s="71"/>
      <c r="G46" s="71"/>
      <c r="H46" s="70"/>
      <c r="I46" s="70"/>
      <c r="J46" s="36"/>
    </row>
    <row r="47" spans="1:17" ht="20.100000000000001" customHeight="1" x14ac:dyDescent="0.2">
      <c r="A47" s="688"/>
      <c r="B47" s="122"/>
      <c r="C47" s="123"/>
      <c r="D47" s="123"/>
      <c r="E47" s="54"/>
      <c r="F47" s="54"/>
      <c r="G47" s="54"/>
      <c r="H47" s="54"/>
      <c r="I47" s="54"/>
      <c r="J47" s="54"/>
    </row>
    <row r="48" spans="1:17" ht="20.100000000000001" customHeight="1" x14ac:dyDescent="0.2">
      <c r="A48" s="689"/>
      <c r="B48" s="126" t="s">
        <v>110</v>
      </c>
      <c r="C48" s="127"/>
      <c r="D48" s="128"/>
      <c r="E48" s="56"/>
      <c r="F48" s="56"/>
      <c r="G48" s="56"/>
      <c r="H48" s="56"/>
      <c r="I48" s="56"/>
    </row>
    <row r="49" spans="1:237" s="40" customFormat="1" ht="20.100000000000001" customHeight="1" x14ac:dyDescent="0.2">
      <c r="A49" s="692"/>
      <c r="B49" s="129" t="s">
        <v>107</v>
      </c>
      <c r="C49" s="693" t="s">
        <v>108</v>
      </c>
      <c r="D49" s="694"/>
      <c r="E49" s="56"/>
      <c r="F49" s="56"/>
      <c r="G49" s="56"/>
      <c r="H49" s="56"/>
      <c r="I49" s="56"/>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c r="CO49" s="37"/>
      <c r="CP49" s="37"/>
      <c r="CQ49" s="37"/>
      <c r="CR49" s="37"/>
      <c r="CS49" s="37"/>
      <c r="CT49" s="37"/>
      <c r="CU49" s="37"/>
      <c r="CV49" s="37"/>
      <c r="CW49" s="37"/>
      <c r="CX49" s="37"/>
      <c r="CY49" s="37"/>
      <c r="CZ49" s="37"/>
      <c r="DA49" s="37"/>
      <c r="DB49" s="37"/>
      <c r="DC49" s="37"/>
      <c r="DD49" s="37"/>
      <c r="DE49" s="37"/>
      <c r="DF49" s="37"/>
      <c r="DG49" s="37"/>
      <c r="DH49" s="37"/>
      <c r="DI49" s="37"/>
      <c r="DJ49" s="37"/>
      <c r="DK49" s="37"/>
      <c r="DL49" s="37"/>
      <c r="DM49" s="37"/>
      <c r="DN49" s="37"/>
      <c r="DO49" s="37"/>
      <c r="DP49" s="37"/>
      <c r="DQ49" s="37"/>
      <c r="DR49" s="37"/>
      <c r="DS49" s="37"/>
      <c r="DT49" s="37"/>
      <c r="DU49" s="37"/>
      <c r="DV49" s="37"/>
      <c r="DW49" s="37"/>
      <c r="DX49" s="37"/>
      <c r="DY49" s="37"/>
      <c r="DZ49" s="37"/>
      <c r="EA49" s="37"/>
      <c r="EB49" s="37"/>
      <c r="EC49" s="37"/>
      <c r="ED49" s="37"/>
      <c r="EE49" s="37"/>
      <c r="EF49" s="37"/>
      <c r="EG49" s="37"/>
      <c r="EH49" s="37"/>
      <c r="EI49" s="37"/>
      <c r="EJ49" s="37"/>
      <c r="EK49" s="37"/>
      <c r="EL49" s="37"/>
      <c r="EM49" s="37"/>
      <c r="EN49" s="37"/>
      <c r="EO49" s="37"/>
      <c r="EP49" s="37"/>
      <c r="EQ49" s="37"/>
      <c r="ER49" s="37"/>
      <c r="ES49" s="37"/>
      <c r="ET49" s="37"/>
      <c r="EU49" s="37"/>
      <c r="EV49" s="37"/>
      <c r="EW49" s="37"/>
      <c r="EX49" s="37"/>
      <c r="EY49" s="37"/>
      <c r="EZ49" s="37"/>
      <c r="FA49" s="37"/>
      <c r="FB49" s="37"/>
      <c r="FC49" s="37"/>
      <c r="FD49" s="37"/>
      <c r="FE49" s="37"/>
      <c r="FF49" s="37"/>
      <c r="FG49" s="37"/>
      <c r="FH49" s="37"/>
      <c r="FI49" s="37"/>
      <c r="FJ49" s="37"/>
      <c r="FK49" s="37"/>
      <c r="FL49" s="37"/>
      <c r="FM49" s="37"/>
      <c r="FN49" s="37"/>
      <c r="FO49" s="37"/>
      <c r="FP49" s="37"/>
      <c r="FQ49" s="37"/>
      <c r="FR49" s="37"/>
      <c r="FS49" s="37"/>
      <c r="FT49" s="37"/>
      <c r="FU49" s="37"/>
      <c r="FV49" s="37"/>
      <c r="FW49" s="37"/>
      <c r="FX49" s="37"/>
      <c r="FY49" s="37"/>
      <c r="FZ49" s="37"/>
      <c r="GA49" s="37"/>
      <c r="GB49" s="37"/>
      <c r="GC49" s="37"/>
      <c r="GD49" s="37"/>
      <c r="GE49" s="37"/>
      <c r="GF49" s="37"/>
      <c r="GG49" s="37"/>
      <c r="GH49" s="37"/>
      <c r="GI49" s="37"/>
      <c r="GJ49" s="37"/>
      <c r="GK49" s="37"/>
      <c r="GL49" s="37"/>
      <c r="GM49" s="37"/>
      <c r="GN49" s="37"/>
      <c r="GO49" s="37"/>
      <c r="GP49" s="37"/>
      <c r="GQ49" s="37"/>
      <c r="GR49" s="37"/>
      <c r="GS49" s="37"/>
      <c r="GT49" s="37"/>
      <c r="GU49" s="37"/>
      <c r="GV49" s="37"/>
      <c r="GW49" s="37"/>
      <c r="GX49" s="37"/>
      <c r="GY49" s="37"/>
      <c r="GZ49" s="37"/>
      <c r="HA49" s="37"/>
      <c r="HB49" s="37"/>
      <c r="HC49" s="37"/>
      <c r="HD49" s="37"/>
      <c r="HE49" s="37"/>
      <c r="HF49" s="37"/>
      <c r="HG49" s="37"/>
      <c r="HH49" s="37"/>
      <c r="HI49" s="37"/>
      <c r="HJ49" s="37"/>
      <c r="HK49" s="37"/>
      <c r="HL49" s="37"/>
      <c r="HM49" s="37"/>
      <c r="HN49" s="37"/>
      <c r="HO49" s="37"/>
      <c r="HP49" s="37"/>
      <c r="HQ49" s="37"/>
      <c r="HR49" s="37"/>
      <c r="HS49" s="37"/>
      <c r="HT49" s="37"/>
      <c r="HU49" s="37"/>
      <c r="HV49" s="37"/>
      <c r="HW49" s="37"/>
      <c r="HX49" s="37"/>
      <c r="HY49" s="37"/>
      <c r="HZ49" s="37"/>
      <c r="IA49" s="37"/>
      <c r="IB49" s="37"/>
      <c r="IC49" s="37"/>
    </row>
    <row r="50" spans="1:237" s="40" customFormat="1" ht="20.100000000000001" customHeight="1" x14ac:dyDescent="0.2">
      <c r="A50" s="692"/>
      <c r="B50" s="130" t="s">
        <v>111</v>
      </c>
      <c r="C50" s="695" t="s">
        <v>109</v>
      </c>
      <c r="D50" s="695"/>
      <c r="E50" s="124"/>
      <c r="F50" s="58"/>
      <c r="G50" s="58"/>
      <c r="H50" s="56"/>
      <c r="I50" s="56"/>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7"/>
      <c r="CF50" s="37"/>
      <c r="CG50" s="37"/>
      <c r="CH50" s="37"/>
      <c r="CI50" s="37"/>
      <c r="CJ50" s="37"/>
      <c r="CK50" s="37"/>
      <c r="CL50" s="37"/>
      <c r="CM50" s="37"/>
      <c r="CN50" s="37"/>
      <c r="CO50" s="37"/>
      <c r="CP50" s="37"/>
      <c r="CQ50" s="37"/>
      <c r="CR50" s="37"/>
      <c r="CS50" s="37"/>
      <c r="CT50" s="37"/>
      <c r="CU50" s="37"/>
      <c r="CV50" s="37"/>
      <c r="CW50" s="37"/>
      <c r="CX50" s="37"/>
      <c r="CY50" s="37"/>
      <c r="CZ50" s="37"/>
      <c r="DA50" s="37"/>
      <c r="DB50" s="37"/>
      <c r="DC50" s="37"/>
      <c r="DD50" s="37"/>
      <c r="DE50" s="37"/>
      <c r="DF50" s="37"/>
      <c r="DG50" s="37"/>
      <c r="DH50" s="37"/>
      <c r="DI50" s="37"/>
      <c r="DJ50" s="37"/>
      <c r="DK50" s="37"/>
      <c r="DL50" s="37"/>
      <c r="DM50" s="37"/>
      <c r="DN50" s="37"/>
      <c r="DO50" s="37"/>
      <c r="DP50" s="37"/>
      <c r="DQ50" s="37"/>
      <c r="DR50" s="37"/>
      <c r="DS50" s="37"/>
      <c r="DT50" s="37"/>
      <c r="DU50" s="37"/>
      <c r="DV50" s="37"/>
      <c r="DW50" s="37"/>
      <c r="DX50" s="37"/>
      <c r="DY50" s="37"/>
      <c r="DZ50" s="37"/>
      <c r="EA50" s="37"/>
      <c r="EB50" s="37"/>
      <c r="EC50" s="37"/>
      <c r="ED50" s="37"/>
      <c r="EE50" s="37"/>
      <c r="EF50" s="37"/>
      <c r="EG50" s="37"/>
      <c r="EH50" s="37"/>
      <c r="EI50" s="37"/>
      <c r="EJ50" s="37"/>
      <c r="EK50" s="37"/>
      <c r="EL50" s="37"/>
      <c r="EM50" s="37"/>
      <c r="EN50" s="37"/>
      <c r="EO50" s="37"/>
      <c r="EP50" s="37"/>
      <c r="EQ50" s="37"/>
      <c r="ER50" s="37"/>
      <c r="ES50" s="37"/>
      <c r="ET50" s="37"/>
      <c r="EU50" s="37"/>
      <c r="EV50" s="37"/>
      <c r="EW50" s="37"/>
      <c r="EX50" s="37"/>
      <c r="EY50" s="37"/>
      <c r="EZ50" s="37"/>
      <c r="FA50" s="37"/>
      <c r="FB50" s="37"/>
      <c r="FC50" s="37"/>
      <c r="FD50" s="37"/>
      <c r="FE50" s="37"/>
      <c r="FF50" s="37"/>
      <c r="FG50" s="37"/>
      <c r="FH50" s="37"/>
      <c r="FI50" s="37"/>
      <c r="FJ50" s="37"/>
      <c r="FK50" s="37"/>
      <c r="FL50" s="37"/>
      <c r="FM50" s="37"/>
      <c r="FN50" s="37"/>
      <c r="FO50" s="37"/>
      <c r="FP50" s="37"/>
      <c r="FQ50" s="37"/>
      <c r="FR50" s="37"/>
      <c r="FS50" s="37"/>
      <c r="FT50" s="37"/>
      <c r="FU50" s="37"/>
      <c r="FV50" s="37"/>
      <c r="FW50" s="37"/>
      <c r="FX50" s="37"/>
      <c r="FY50" s="37"/>
      <c r="FZ50" s="37"/>
      <c r="GA50" s="37"/>
      <c r="GB50" s="37"/>
      <c r="GC50" s="37"/>
      <c r="GD50" s="37"/>
      <c r="GE50" s="37"/>
      <c r="GF50" s="37"/>
      <c r="GG50" s="37"/>
      <c r="GH50" s="37"/>
      <c r="GI50" s="37"/>
      <c r="GJ50" s="37"/>
      <c r="GK50" s="37"/>
      <c r="GL50" s="37"/>
      <c r="GM50" s="37"/>
      <c r="GN50" s="37"/>
      <c r="GO50" s="37"/>
      <c r="GP50" s="37"/>
      <c r="GQ50" s="37"/>
      <c r="GR50" s="37"/>
      <c r="GS50" s="37"/>
      <c r="GT50" s="37"/>
      <c r="GU50" s="37"/>
      <c r="GV50" s="37"/>
      <c r="GW50" s="37"/>
      <c r="GX50" s="37"/>
      <c r="GY50" s="37"/>
      <c r="GZ50" s="37"/>
      <c r="HA50" s="37"/>
      <c r="HB50" s="37"/>
      <c r="HC50" s="37"/>
      <c r="HD50" s="37"/>
      <c r="HE50" s="37"/>
      <c r="HF50" s="37"/>
      <c r="HG50" s="37"/>
      <c r="HH50" s="37"/>
      <c r="HI50" s="37"/>
      <c r="HJ50" s="37"/>
      <c r="HK50" s="37"/>
      <c r="HL50" s="37"/>
      <c r="HM50" s="37"/>
      <c r="HN50" s="37"/>
      <c r="HO50" s="37"/>
      <c r="HP50" s="37"/>
      <c r="HQ50" s="37"/>
      <c r="HR50" s="37"/>
      <c r="HS50" s="37"/>
      <c r="HT50" s="37"/>
      <c r="HU50" s="37"/>
      <c r="HV50" s="37"/>
      <c r="HW50" s="37"/>
      <c r="HX50" s="37"/>
      <c r="HY50" s="37"/>
      <c r="HZ50" s="37"/>
      <c r="IA50" s="37"/>
      <c r="IB50" s="37"/>
      <c r="IC50" s="37"/>
    </row>
    <row r="51" spans="1:237" s="40" customFormat="1" ht="20.100000000000001" customHeight="1" x14ac:dyDescent="0.2">
      <c r="A51" s="27"/>
      <c r="B51" s="89"/>
      <c r="C51" s="125"/>
      <c r="D51" s="125"/>
      <c r="E51" s="56"/>
      <c r="F51" s="56"/>
      <c r="G51" s="56"/>
      <c r="H51" s="56"/>
      <c r="I51" s="56"/>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7"/>
      <c r="CG51" s="37"/>
      <c r="CH51" s="37"/>
      <c r="CI51" s="37"/>
      <c r="CJ51" s="37"/>
      <c r="CK51" s="37"/>
      <c r="CL51" s="37"/>
      <c r="CM51" s="37"/>
      <c r="CN51" s="37"/>
      <c r="CO51" s="37"/>
      <c r="CP51" s="37"/>
      <c r="CQ51" s="37"/>
      <c r="CR51" s="37"/>
      <c r="CS51" s="37"/>
      <c r="CT51" s="37"/>
      <c r="CU51" s="37"/>
      <c r="CV51" s="37"/>
      <c r="CW51" s="37"/>
      <c r="CX51" s="37"/>
      <c r="CY51" s="37"/>
      <c r="CZ51" s="37"/>
      <c r="DA51" s="37"/>
      <c r="DB51" s="37"/>
      <c r="DC51" s="37"/>
      <c r="DD51" s="37"/>
      <c r="DE51" s="37"/>
      <c r="DF51" s="37"/>
      <c r="DG51" s="37"/>
      <c r="DH51" s="37"/>
      <c r="DI51" s="37"/>
      <c r="DJ51" s="37"/>
      <c r="DK51" s="37"/>
      <c r="DL51" s="37"/>
      <c r="DM51" s="37"/>
      <c r="DN51" s="37"/>
      <c r="DO51" s="37"/>
      <c r="DP51" s="37"/>
      <c r="DQ51" s="37"/>
      <c r="DR51" s="37"/>
      <c r="DS51" s="37"/>
      <c r="DT51" s="37"/>
      <c r="DU51" s="37"/>
      <c r="DV51" s="37"/>
      <c r="DW51" s="37"/>
      <c r="DX51" s="37"/>
      <c r="DY51" s="37"/>
      <c r="DZ51" s="37"/>
      <c r="EA51" s="37"/>
      <c r="EB51" s="37"/>
      <c r="EC51" s="37"/>
      <c r="ED51" s="37"/>
      <c r="EE51" s="37"/>
      <c r="EF51" s="37"/>
      <c r="EG51" s="37"/>
      <c r="EH51" s="37"/>
      <c r="EI51" s="37"/>
      <c r="EJ51" s="37"/>
      <c r="EK51" s="37"/>
      <c r="EL51" s="37"/>
      <c r="EM51" s="37"/>
      <c r="EN51" s="37"/>
      <c r="EO51" s="37"/>
      <c r="EP51" s="37"/>
      <c r="EQ51" s="37"/>
      <c r="ER51" s="37"/>
      <c r="ES51" s="37"/>
      <c r="ET51" s="37"/>
      <c r="EU51" s="37"/>
      <c r="EV51" s="37"/>
      <c r="EW51" s="37"/>
      <c r="EX51" s="37"/>
      <c r="EY51" s="37"/>
      <c r="EZ51" s="37"/>
      <c r="FA51" s="37"/>
      <c r="FB51" s="37"/>
      <c r="FC51" s="37"/>
      <c r="FD51" s="37"/>
      <c r="FE51" s="37"/>
      <c r="FF51" s="37"/>
      <c r="FG51" s="37"/>
      <c r="FH51" s="37"/>
      <c r="FI51" s="37"/>
      <c r="FJ51" s="37"/>
      <c r="FK51" s="37"/>
      <c r="FL51" s="37"/>
      <c r="FM51" s="37"/>
      <c r="FN51" s="37"/>
      <c r="FO51" s="37"/>
      <c r="FP51" s="37"/>
      <c r="FQ51" s="37"/>
      <c r="FR51" s="37"/>
      <c r="FS51" s="37"/>
      <c r="FT51" s="37"/>
      <c r="FU51" s="37"/>
      <c r="FV51" s="37"/>
      <c r="FW51" s="37"/>
      <c r="FX51" s="37"/>
      <c r="FY51" s="37"/>
      <c r="FZ51" s="37"/>
      <c r="GA51" s="37"/>
      <c r="GB51" s="37"/>
      <c r="GC51" s="37"/>
      <c r="GD51" s="37"/>
      <c r="GE51" s="37"/>
      <c r="GF51" s="37"/>
      <c r="GG51" s="37"/>
      <c r="GH51" s="37"/>
      <c r="GI51" s="37"/>
      <c r="GJ51" s="37"/>
      <c r="GK51" s="37"/>
      <c r="GL51" s="37"/>
      <c r="GM51" s="37"/>
      <c r="GN51" s="37"/>
      <c r="GO51" s="37"/>
      <c r="GP51" s="37"/>
      <c r="GQ51" s="37"/>
      <c r="GR51" s="37"/>
      <c r="GS51" s="37"/>
      <c r="GT51" s="37"/>
      <c r="GU51" s="37"/>
      <c r="GV51" s="37"/>
      <c r="GW51" s="37"/>
      <c r="GX51" s="37"/>
      <c r="GY51" s="37"/>
      <c r="GZ51" s="37"/>
      <c r="HA51" s="37"/>
      <c r="HB51" s="37"/>
      <c r="HC51" s="37"/>
      <c r="HD51" s="37"/>
      <c r="HE51" s="37"/>
      <c r="HF51" s="37"/>
      <c r="HG51" s="37"/>
      <c r="HH51" s="37"/>
      <c r="HI51" s="37"/>
      <c r="HJ51" s="37"/>
      <c r="HK51" s="37"/>
      <c r="HL51" s="37"/>
      <c r="HM51" s="37"/>
      <c r="HN51" s="37"/>
      <c r="HO51" s="37"/>
      <c r="HP51" s="37"/>
      <c r="HQ51" s="37"/>
      <c r="HR51" s="37"/>
      <c r="HS51" s="37"/>
      <c r="HT51" s="37"/>
      <c r="HU51" s="37"/>
      <c r="HV51" s="37"/>
      <c r="HW51" s="37"/>
      <c r="HX51" s="37"/>
      <c r="HY51" s="37"/>
      <c r="HZ51" s="37"/>
      <c r="IA51" s="37"/>
      <c r="IB51" s="37"/>
      <c r="IC51" s="37"/>
    </row>
    <row r="52" spans="1:237" s="40" customFormat="1" ht="18" customHeight="1" x14ac:dyDescent="0.2">
      <c r="A52" s="27"/>
      <c r="B52" s="89"/>
      <c r="C52" s="56"/>
      <c r="D52" s="56"/>
      <c r="E52" s="56"/>
      <c r="F52" s="56"/>
      <c r="G52" s="56"/>
      <c r="H52" s="56"/>
      <c r="I52" s="56"/>
      <c r="J52" s="37"/>
      <c r="K52" s="37"/>
      <c r="L52" s="37"/>
      <c r="M52" s="3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7"/>
      <c r="CF52" s="37"/>
      <c r="CG52" s="37"/>
      <c r="CH52" s="37"/>
      <c r="CI52" s="37"/>
      <c r="CJ52" s="37"/>
      <c r="CK52" s="37"/>
      <c r="CL52" s="37"/>
      <c r="CM52" s="37"/>
      <c r="CN52" s="37"/>
      <c r="CO52" s="37"/>
      <c r="CP52" s="37"/>
      <c r="CQ52" s="37"/>
      <c r="CR52" s="37"/>
      <c r="CS52" s="37"/>
      <c r="CT52" s="37"/>
      <c r="CU52" s="37"/>
      <c r="CV52" s="37"/>
      <c r="CW52" s="37"/>
      <c r="CX52" s="37"/>
      <c r="CY52" s="37"/>
      <c r="CZ52" s="37"/>
      <c r="DA52" s="37"/>
      <c r="DB52" s="37"/>
      <c r="DC52" s="37"/>
      <c r="DD52" s="37"/>
      <c r="DE52" s="37"/>
      <c r="DF52" s="37"/>
      <c r="DG52" s="37"/>
      <c r="DH52" s="37"/>
      <c r="DI52" s="37"/>
      <c r="DJ52" s="37"/>
      <c r="DK52" s="37"/>
      <c r="DL52" s="37"/>
      <c r="DM52" s="37"/>
      <c r="DN52" s="37"/>
      <c r="DO52" s="37"/>
      <c r="DP52" s="37"/>
      <c r="DQ52" s="37"/>
      <c r="DR52" s="37"/>
      <c r="DS52" s="37"/>
      <c r="DT52" s="37"/>
      <c r="DU52" s="37"/>
      <c r="DV52" s="37"/>
      <c r="DW52" s="37"/>
      <c r="DX52" s="37"/>
      <c r="DY52" s="37"/>
      <c r="DZ52" s="37"/>
      <c r="EA52" s="37"/>
      <c r="EB52" s="37"/>
      <c r="EC52" s="37"/>
      <c r="ED52" s="37"/>
      <c r="EE52" s="37"/>
      <c r="EF52" s="37"/>
      <c r="EG52" s="37"/>
      <c r="EH52" s="37"/>
      <c r="EI52" s="37"/>
      <c r="EJ52" s="37"/>
      <c r="EK52" s="37"/>
      <c r="EL52" s="37"/>
      <c r="EM52" s="37"/>
      <c r="EN52" s="37"/>
      <c r="EO52" s="37"/>
      <c r="EP52" s="37"/>
      <c r="EQ52" s="37"/>
      <c r="ER52" s="37"/>
      <c r="ES52" s="37"/>
      <c r="ET52" s="37"/>
      <c r="EU52" s="37"/>
      <c r="EV52" s="37"/>
      <c r="EW52" s="37"/>
      <c r="EX52" s="37"/>
      <c r="EY52" s="37"/>
      <c r="EZ52" s="37"/>
      <c r="FA52" s="37"/>
      <c r="FB52" s="37"/>
      <c r="FC52" s="37"/>
      <c r="FD52" s="37"/>
      <c r="FE52" s="37"/>
      <c r="FF52" s="37"/>
      <c r="FG52" s="37"/>
      <c r="FH52" s="37"/>
      <c r="FI52" s="37"/>
      <c r="FJ52" s="37"/>
      <c r="FK52" s="37"/>
      <c r="FL52" s="37"/>
      <c r="FM52" s="37"/>
      <c r="FN52" s="37"/>
      <c r="FO52" s="37"/>
      <c r="FP52" s="37"/>
      <c r="FQ52" s="37"/>
      <c r="FR52" s="37"/>
      <c r="FS52" s="37"/>
      <c r="FT52" s="37"/>
      <c r="FU52" s="37"/>
      <c r="FV52" s="37"/>
      <c r="FW52" s="37"/>
      <c r="FX52" s="37"/>
      <c r="FY52" s="37"/>
      <c r="FZ52" s="37"/>
      <c r="GA52" s="37"/>
      <c r="GB52" s="37"/>
      <c r="GC52" s="37"/>
      <c r="GD52" s="37"/>
      <c r="GE52" s="37"/>
      <c r="GF52" s="37"/>
      <c r="GG52" s="37"/>
      <c r="GH52" s="37"/>
      <c r="GI52" s="37"/>
      <c r="GJ52" s="37"/>
      <c r="GK52" s="37"/>
      <c r="GL52" s="37"/>
      <c r="GM52" s="37"/>
      <c r="GN52" s="37"/>
      <c r="GO52" s="37"/>
      <c r="GP52" s="37"/>
      <c r="GQ52" s="37"/>
      <c r="GR52" s="37"/>
      <c r="GS52" s="37"/>
      <c r="GT52" s="37"/>
      <c r="GU52" s="37"/>
      <c r="GV52" s="37"/>
      <c r="GW52" s="37"/>
      <c r="GX52" s="37"/>
      <c r="GY52" s="37"/>
      <c r="GZ52" s="37"/>
      <c r="HA52" s="37"/>
      <c r="HB52" s="37"/>
      <c r="HC52" s="37"/>
      <c r="HD52" s="37"/>
      <c r="HE52" s="37"/>
      <c r="HF52" s="37"/>
      <c r="HG52" s="37"/>
      <c r="HH52" s="37"/>
      <c r="HI52" s="37"/>
      <c r="HJ52" s="37"/>
      <c r="HK52" s="37"/>
      <c r="HL52" s="37"/>
      <c r="HM52" s="37"/>
      <c r="HN52" s="37"/>
      <c r="HO52" s="37"/>
      <c r="HP52" s="37"/>
      <c r="HQ52" s="37"/>
      <c r="HR52" s="37"/>
      <c r="HS52" s="37"/>
      <c r="HT52" s="37"/>
      <c r="HU52" s="37"/>
      <c r="HV52" s="37"/>
      <c r="HW52" s="37"/>
      <c r="HX52" s="37"/>
      <c r="HY52" s="37"/>
      <c r="HZ52" s="37"/>
      <c r="IA52" s="37"/>
      <c r="IB52" s="37"/>
      <c r="IC52" s="37"/>
    </row>
    <row r="53" spans="1:237" s="40" customFormat="1" ht="18" customHeight="1" x14ac:dyDescent="0.2">
      <c r="A53" s="27"/>
      <c r="B53" s="89"/>
      <c r="C53" s="56"/>
      <c r="D53" s="56"/>
      <c r="E53" s="56"/>
      <c r="F53" s="56"/>
      <c r="G53" s="56"/>
      <c r="H53" s="56"/>
      <c r="I53" s="56"/>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7"/>
      <c r="CR53" s="37"/>
      <c r="CS53" s="37"/>
      <c r="CT53" s="37"/>
      <c r="CU53" s="37"/>
      <c r="CV53" s="37"/>
      <c r="CW53" s="37"/>
      <c r="CX53" s="37"/>
      <c r="CY53" s="37"/>
      <c r="CZ53" s="37"/>
      <c r="DA53" s="37"/>
      <c r="DB53" s="37"/>
      <c r="DC53" s="37"/>
      <c r="DD53" s="37"/>
      <c r="DE53" s="37"/>
      <c r="DF53" s="37"/>
      <c r="DG53" s="37"/>
      <c r="DH53" s="37"/>
      <c r="DI53" s="37"/>
      <c r="DJ53" s="37"/>
      <c r="DK53" s="37"/>
      <c r="DL53" s="37"/>
      <c r="DM53" s="37"/>
      <c r="DN53" s="37"/>
      <c r="DO53" s="37"/>
      <c r="DP53" s="37"/>
      <c r="DQ53" s="37"/>
      <c r="DR53" s="37"/>
      <c r="DS53" s="37"/>
      <c r="DT53" s="37"/>
      <c r="DU53" s="37"/>
      <c r="DV53" s="37"/>
      <c r="DW53" s="37"/>
      <c r="DX53" s="37"/>
      <c r="DY53" s="37"/>
      <c r="DZ53" s="37"/>
      <c r="EA53" s="37"/>
      <c r="EB53" s="37"/>
      <c r="EC53" s="37"/>
      <c r="ED53" s="37"/>
      <c r="EE53" s="37"/>
      <c r="EF53" s="37"/>
      <c r="EG53" s="37"/>
      <c r="EH53" s="37"/>
      <c r="EI53" s="37"/>
      <c r="EJ53" s="37"/>
      <c r="EK53" s="37"/>
      <c r="EL53" s="37"/>
      <c r="EM53" s="37"/>
      <c r="EN53" s="37"/>
      <c r="EO53" s="37"/>
      <c r="EP53" s="37"/>
      <c r="EQ53" s="37"/>
      <c r="ER53" s="37"/>
      <c r="ES53" s="37"/>
      <c r="ET53" s="37"/>
      <c r="EU53" s="37"/>
      <c r="EV53" s="37"/>
      <c r="EW53" s="37"/>
      <c r="EX53" s="37"/>
      <c r="EY53" s="37"/>
      <c r="EZ53" s="37"/>
      <c r="FA53" s="37"/>
      <c r="FB53" s="37"/>
      <c r="FC53" s="37"/>
      <c r="FD53" s="37"/>
      <c r="FE53" s="37"/>
      <c r="FF53" s="37"/>
      <c r="FG53" s="37"/>
      <c r="FH53" s="37"/>
      <c r="FI53" s="37"/>
      <c r="FJ53" s="37"/>
      <c r="FK53" s="37"/>
      <c r="FL53" s="37"/>
      <c r="FM53" s="37"/>
      <c r="FN53" s="37"/>
      <c r="FO53" s="37"/>
      <c r="FP53" s="37"/>
      <c r="FQ53" s="37"/>
      <c r="FR53" s="37"/>
      <c r="FS53" s="37"/>
      <c r="FT53" s="37"/>
      <c r="FU53" s="37"/>
      <c r="FV53" s="37"/>
      <c r="FW53" s="37"/>
      <c r="FX53" s="37"/>
      <c r="FY53" s="37"/>
      <c r="FZ53" s="37"/>
      <c r="GA53" s="37"/>
      <c r="GB53" s="37"/>
      <c r="GC53" s="37"/>
      <c r="GD53" s="37"/>
      <c r="GE53" s="37"/>
      <c r="GF53" s="37"/>
      <c r="GG53" s="37"/>
      <c r="GH53" s="37"/>
      <c r="GI53" s="37"/>
      <c r="GJ53" s="37"/>
      <c r="GK53" s="37"/>
      <c r="GL53" s="37"/>
      <c r="GM53" s="37"/>
      <c r="GN53" s="37"/>
      <c r="GO53" s="37"/>
      <c r="GP53" s="37"/>
      <c r="GQ53" s="37"/>
      <c r="GR53" s="37"/>
      <c r="GS53" s="37"/>
      <c r="GT53" s="37"/>
      <c r="GU53" s="37"/>
      <c r="GV53" s="37"/>
      <c r="GW53" s="37"/>
      <c r="GX53" s="37"/>
      <c r="GY53" s="37"/>
      <c r="GZ53" s="37"/>
      <c r="HA53" s="37"/>
      <c r="HB53" s="37"/>
      <c r="HC53" s="37"/>
      <c r="HD53" s="37"/>
      <c r="HE53" s="37"/>
      <c r="HF53" s="37"/>
      <c r="HG53" s="37"/>
      <c r="HH53" s="37"/>
      <c r="HI53" s="37"/>
      <c r="HJ53" s="37"/>
      <c r="HK53" s="37"/>
      <c r="HL53" s="37"/>
      <c r="HM53" s="37"/>
      <c r="HN53" s="37"/>
      <c r="HO53" s="37"/>
      <c r="HP53" s="37"/>
      <c r="HQ53" s="37"/>
      <c r="HR53" s="37"/>
      <c r="HS53" s="37"/>
      <c r="HT53" s="37"/>
      <c r="HU53" s="37"/>
      <c r="HV53" s="37"/>
      <c r="HW53" s="37"/>
      <c r="HX53" s="37"/>
      <c r="HY53" s="37"/>
      <c r="HZ53" s="37"/>
      <c r="IA53" s="37"/>
      <c r="IB53" s="37"/>
      <c r="IC53" s="37"/>
    </row>
    <row r="54" spans="1:237" s="40" customFormat="1" ht="18" customHeight="1" x14ac:dyDescent="0.2">
      <c r="A54" s="27"/>
      <c r="B54" s="89"/>
      <c r="C54" s="56"/>
      <c r="D54" s="56"/>
      <c r="E54" s="56"/>
      <c r="F54" s="61"/>
      <c r="G54" s="61"/>
      <c r="H54" s="61"/>
      <c r="I54" s="61"/>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7"/>
      <c r="CG54" s="37"/>
      <c r="CH54" s="37"/>
      <c r="CI54" s="37"/>
      <c r="CJ54" s="37"/>
      <c r="CK54" s="37"/>
      <c r="CL54" s="37"/>
      <c r="CM54" s="37"/>
      <c r="CN54" s="37"/>
      <c r="CO54" s="37"/>
      <c r="CP54" s="37"/>
      <c r="CQ54" s="37"/>
      <c r="CR54" s="37"/>
      <c r="CS54" s="37"/>
      <c r="CT54" s="37"/>
      <c r="CU54" s="37"/>
      <c r="CV54" s="37"/>
      <c r="CW54" s="37"/>
      <c r="CX54" s="37"/>
      <c r="CY54" s="37"/>
      <c r="CZ54" s="37"/>
      <c r="DA54" s="37"/>
      <c r="DB54" s="37"/>
      <c r="DC54" s="37"/>
      <c r="DD54" s="37"/>
      <c r="DE54" s="37"/>
      <c r="DF54" s="37"/>
      <c r="DG54" s="37"/>
      <c r="DH54" s="37"/>
      <c r="DI54" s="37"/>
      <c r="DJ54" s="37"/>
      <c r="DK54" s="37"/>
      <c r="DL54" s="37"/>
      <c r="DM54" s="37"/>
      <c r="DN54" s="37"/>
      <c r="DO54" s="37"/>
      <c r="DP54" s="37"/>
      <c r="DQ54" s="37"/>
      <c r="DR54" s="37"/>
      <c r="DS54" s="37"/>
      <c r="DT54" s="37"/>
      <c r="DU54" s="37"/>
      <c r="DV54" s="37"/>
      <c r="DW54" s="37"/>
      <c r="DX54" s="37"/>
      <c r="DY54" s="37"/>
      <c r="DZ54" s="37"/>
      <c r="EA54" s="37"/>
      <c r="EB54" s="37"/>
      <c r="EC54" s="37"/>
      <c r="ED54" s="37"/>
      <c r="EE54" s="37"/>
      <c r="EF54" s="37"/>
      <c r="EG54" s="37"/>
      <c r="EH54" s="37"/>
      <c r="EI54" s="37"/>
      <c r="EJ54" s="37"/>
      <c r="EK54" s="37"/>
      <c r="EL54" s="37"/>
      <c r="EM54" s="37"/>
      <c r="EN54" s="37"/>
      <c r="EO54" s="37"/>
      <c r="EP54" s="37"/>
      <c r="EQ54" s="37"/>
      <c r="ER54" s="37"/>
      <c r="ES54" s="37"/>
      <c r="ET54" s="37"/>
      <c r="EU54" s="37"/>
      <c r="EV54" s="37"/>
      <c r="EW54" s="37"/>
      <c r="EX54" s="37"/>
      <c r="EY54" s="37"/>
      <c r="EZ54" s="37"/>
      <c r="FA54" s="37"/>
      <c r="FB54" s="37"/>
      <c r="FC54" s="37"/>
      <c r="FD54" s="37"/>
      <c r="FE54" s="37"/>
      <c r="FF54" s="37"/>
      <c r="FG54" s="37"/>
      <c r="FH54" s="37"/>
      <c r="FI54" s="37"/>
      <c r="FJ54" s="37"/>
      <c r="FK54" s="37"/>
      <c r="FL54" s="37"/>
      <c r="FM54" s="37"/>
      <c r="FN54" s="37"/>
      <c r="FO54" s="37"/>
      <c r="FP54" s="37"/>
      <c r="FQ54" s="37"/>
      <c r="FR54" s="37"/>
      <c r="FS54" s="37"/>
      <c r="FT54" s="37"/>
      <c r="FU54" s="37"/>
      <c r="FV54" s="37"/>
      <c r="FW54" s="37"/>
      <c r="FX54" s="37"/>
      <c r="FY54" s="37"/>
      <c r="FZ54" s="37"/>
      <c r="GA54" s="37"/>
      <c r="GB54" s="37"/>
      <c r="GC54" s="37"/>
      <c r="GD54" s="37"/>
      <c r="GE54" s="37"/>
      <c r="GF54" s="37"/>
      <c r="GG54" s="37"/>
      <c r="GH54" s="37"/>
      <c r="GI54" s="37"/>
      <c r="GJ54" s="37"/>
      <c r="GK54" s="37"/>
      <c r="GL54" s="37"/>
      <c r="GM54" s="37"/>
      <c r="GN54" s="37"/>
      <c r="GO54" s="37"/>
      <c r="GP54" s="37"/>
      <c r="GQ54" s="37"/>
      <c r="GR54" s="37"/>
      <c r="GS54" s="37"/>
      <c r="GT54" s="37"/>
      <c r="GU54" s="37"/>
      <c r="GV54" s="37"/>
      <c r="GW54" s="37"/>
      <c r="GX54" s="37"/>
      <c r="GY54" s="37"/>
      <c r="GZ54" s="37"/>
      <c r="HA54" s="37"/>
      <c r="HB54" s="37"/>
      <c r="HC54" s="37"/>
      <c r="HD54" s="37"/>
      <c r="HE54" s="37"/>
      <c r="HF54" s="37"/>
      <c r="HG54" s="37"/>
      <c r="HH54" s="37"/>
      <c r="HI54" s="37"/>
      <c r="HJ54" s="37"/>
      <c r="HK54" s="37"/>
      <c r="HL54" s="37"/>
      <c r="HM54" s="37"/>
      <c r="HN54" s="37"/>
      <c r="HO54" s="37"/>
      <c r="HP54" s="37"/>
      <c r="HQ54" s="37"/>
      <c r="HR54" s="37"/>
      <c r="HS54" s="37"/>
      <c r="HT54" s="37"/>
      <c r="HU54" s="37"/>
      <c r="HV54" s="37"/>
      <c r="HW54" s="37"/>
      <c r="HX54" s="37"/>
      <c r="HY54" s="37"/>
      <c r="HZ54" s="37"/>
      <c r="IA54" s="37"/>
      <c r="IB54" s="37"/>
      <c r="IC54" s="37"/>
    </row>
    <row r="55" spans="1:237" s="40" customFormat="1" ht="18" customHeight="1" x14ac:dyDescent="0.2">
      <c r="A55" s="27"/>
      <c r="B55" s="89"/>
      <c r="C55" s="56"/>
      <c r="E55" s="58"/>
      <c r="F55" s="61"/>
      <c r="G55" s="61"/>
      <c r="H55" s="61"/>
      <c r="I55" s="61"/>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K55" s="37"/>
      <c r="DL55" s="37"/>
      <c r="DM55" s="37"/>
      <c r="DN55" s="37"/>
      <c r="DO55" s="37"/>
      <c r="DP55" s="37"/>
      <c r="DQ55" s="37"/>
      <c r="DR55" s="37"/>
      <c r="DS55" s="37"/>
      <c r="DT55" s="37"/>
      <c r="DU55" s="37"/>
      <c r="DV55" s="37"/>
      <c r="DW55" s="37"/>
      <c r="DX55" s="37"/>
      <c r="DY55" s="37"/>
      <c r="DZ55" s="37"/>
      <c r="EA55" s="37"/>
      <c r="EB55" s="37"/>
      <c r="EC55" s="37"/>
      <c r="ED55" s="37"/>
      <c r="EE55" s="37"/>
      <c r="EF55" s="37"/>
      <c r="EG55" s="37"/>
      <c r="EH55" s="37"/>
      <c r="EI55" s="37"/>
      <c r="EJ55" s="37"/>
      <c r="EK55" s="37"/>
      <c r="EL55" s="37"/>
      <c r="EM55" s="37"/>
      <c r="EN55" s="37"/>
      <c r="EO55" s="37"/>
      <c r="EP55" s="37"/>
      <c r="EQ55" s="37"/>
      <c r="ER55" s="37"/>
      <c r="ES55" s="37"/>
      <c r="ET55" s="37"/>
      <c r="EU55" s="37"/>
      <c r="EV55" s="37"/>
      <c r="EW55" s="37"/>
      <c r="EX55" s="37"/>
      <c r="EY55" s="37"/>
      <c r="EZ55" s="37"/>
      <c r="FA55" s="37"/>
      <c r="FB55" s="37"/>
      <c r="FC55" s="37"/>
      <c r="FD55" s="37"/>
      <c r="FE55" s="37"/>
      <c r="FF55" s="37"/>
      <c r="FG55" s="37"/>
      <c r="FH55" s="37"/>
      <c r="FI55" s="37"/>
      <c r="FJ55" s="37"/>
      <c r="FK55" s="37"/>
      <c r="FL55" s="37"/>
      <c r="FM55" s="37"/>
      <c r="FN55" s="37"/>
      <c r="FO55" s="37"/>
      <c r="FP55" s="37"/>
      <c r="FQ55" s="37"/>
      <c r="FR55" s="37"/>
      <c r="FS55" s="37"/>
      <c r="FT55" s="37"/>
      <c r="FU55" s="37"/>
      <c r="FV55" s="37"/>
      <c r="FW55" s="37"/>
      <c r="FX55" s="37"/>
      <c r="FY55" s="37"/>
      <c r="FZ55" s="37"/>
      <c r="GA55" s="37"/>
      <c r="GB55" s="37"/>
      <c r="GC55" s="37"/>
      <c r="GD55" s="37"/>
      <c r="GE55" s="37"/>
      <c r="GF55" s="37"/>
      <c r="GG55" s="37"/>
      <c r="GH55" s="37"/>
      <c r="GI55" s="37"/>
      <c r="GJ55" s="37"/>
      <c r="GK55" s="37"/>
      <c r="GL55" s="37"/>
      <c r="GM55" s="37"/>
      <c r="GN55" s="37"/>
      <c r="GO55" s="37"/>
      <c r="GP55" s="37"/>
      <c r="GQ55" s="37"/>
      <c r="GR55" s="37"/>
      <c r="GS55" s="37"/>
      <c r="GT55" s="37"/>
      <c r="GU55" s="37"/>
      <c r="GV55" s="37"/>
      <c r="GW55" s="37"/>
      <c r="GX55" s="37"/>
      <c r="GY55" s="37"/>
      <c r="GZ55" s="37"/>
      <c r="HA55" s="37"/>
      <c r="HB55" s="37"/>
      <c r="HC55" s="37"/>
      <c r="HD55" s="37"/>
      <c r="HE55" s="37"/>
      <c r="HF55" s="37"/>
      <c r="HG55" s="37"/>
      <c r="HH55" s="37"/>
      <c r="HI55" s="37"/>
      <c r="HJ55" s="37"/>
      <c r="HK55" s="37"/>
      <c r="HL55" s="37"/>
      <c r="HM55" s="37"/>
      <c r="HN55" s="37"/>
      <c r="HO55" s="37"/>
      <c r="HP55" s="37"/>
      <c r="HQ55" s="37"/>
      <c r="HR55" s="37"/>
      <c r="HS55" s="37"/>
      <c r="HT55" s="37"/>
      <c r="HU55" s="37"/>
      <c r="HV55" s="37"/>
      <c r="HW55" s="37"/>
      <c r="HX55" s="37"/>
      <c r="HY55" s="37"/>
      <c r="HZ55" s="37"/>
      <c r="IA55" s="37"/>
      <c r="IB55" s="37"/>
      <c r="IC55" s="37"/>
    </row>
    <row r="56" spans="1:237" s="40" customFormat="1" ht="18" customHeight="1" x14ac:dyDescent="0.2">
      <c r="A56" s="27"/>
      <c r="B56" s="89"/>
      <c r="C56" s="56"/>
      <c r="E56" s="58"/>
      <c r="F56" s="61"/>
      <c r="G56" s="61"/>
      <c r="H56" s="61"/>
      <c r="I56" s="61"/>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7"/>
      <c r="CF56" s="37"/>
      <c r="CG56" s="37"/>
      <c r="CH56" s="37"/>
      <c r="CI56" s="37"/>
      <c r="CJ56" s="37"/>
      <c r="CK56" s="37"/>
      <c r="CL56" s="37"/>
      <c r="CM56" s="37"/>
      <c r="CN56" s="37"/>
      <c r="CO56" s="37"/>
      <c r="CP56" s="37"/>
      <c r="CQ56" s="37"/>
      <c r="CR56" s="37"/>
      <c r="CS56" s="37"/>
      <c r="CT56" s="37"/>
      <c r="CU56" s="37"/>
      <c r="CV56" s="37"/>
      <c r="CW56" s="37"/>
      <c r="CX56" s="37"/>
      <c r="CY56" s="37"/>
      <c r="CZ56" s="37"/>
      <c r="DA56" s="37"/>
      <c r="DB56" s="37"/>
      <c r="DC56" s="37"/>
      <c r="DD56" s="37"/>
      <c r="DE56" s="37"/>
      <c r="DF56" s="37"/>
      <c r="DG56" s="37"/>
      <c r="DH56" s="37"/>
      <c r="DI56" s="37"/>
      <c r="DJ56" s="37"/>
      <c r="DK56" s="37"/>
      <c r="DL56" s="37"/>
      <c r="DM56" s="37"/>
      <c r="DN56" s="37"/>
      <c r="DO56" s="37"/>
      <c r="DP56" s="37"/>
      <c r="DQ56" s="37"/>
      <c r="DR56" s="37"/>
      <c r="DS56" s="37"/>
      <c r="DT56" s="37"/>
      <c r="DU56" s="37"/>
      <c r="DV56" s="37"/>
      <c r="DW56" s="37"/>
      <c r="DX56" s="37"/>
      <c r="DY56" s="37"/>
      <c r="DZ56" s="37"/>
      <c r="EA56" s="37"/>
      <c r="EB56" s="37"/>
      <c r="EC56" s="37"/>
      <c r="ED56" s="37"/>
      <c r="EE56" s="37"/>
      <c r="EF56" s="37"/>
      <c r="EG56" s="37"/>
      <c r="EH56" s="37"/>
      <c r="EI56" s="37"/>
      <c r="EJ56" s="37"/>
      <c r="EK56" s="37"/>
      <c r="EL56" s="37"/>
      <c r="EM56" s="37"/>
      <c r="EN56" s="37"/>
      <c r="EO56" s="37"/>
      <c r="EP56" s="37"/>
      <c r="EQ56" s="37"/>
      <c r="ER56" s="37"/>
      <c r="ES56" s="37"/>
      <c r="ET56" s="37"/>
      <c r="EU56" s="37"/>
      <c r="EV56" s="37"/>
      <c r="EW56" s="37"/>
      <c r="EX56" s="37"/>
      <c r="EY56" s="37"/>
      <c r="EZ56" s="37"/>
      <c r="FA56" s="37"/>
      <c r="FB56" s="37"/>
      <c r="FC56" s="37"/>
      <c r="FD56" s="37"/>
      <c r="FE56" s="37"/>
      <c r="FF56" s="37"/>
      <c r="FG56" s="37"/>
      <c r="FH56" s="37"/>
      <c r="FI56" s="37"/>
      <c r="FJ56" s="37"/>
      <c r="FK56" s="37"/>
      <c r="FL56" s="37"/>
      <c r="FM56" s="37"/>
      <c r="FN56" s="37"/>
      <c r="FO56" s="37"/>
      <c r="FP56" s="37"/>
      <c r="FQ56" s="37"/>
      <c r="FR56" s="37"/>
      <c r="FS56" s="37"/>
      <c r="FT56" s="37"/>
      <c r="FU56" s="37"/>
      <c r="FV56" s="37"/>
      <c r="FW56" s="37"/>
      <c r="FX56" s="37"/>
      <c r="FY56" s="37"/>
      <c r="FZ56" s="37"/>
      <c r="GA56" s="37"/>
      <c r="GB56" s="37"/>
      <c r="GC56" s="37"/>
      <c r="GD56" s="37"/>
      <c r="GE56" s="37"/>
      <c r="GF56" s="37"/>
      <c r="GG56" s="37"/>
      <c r="GH56" s="37"/>
      <c r="GI56" s="37"/>
      <c r="GJ56" s="37"/>
      <c r="GK56" s="37"/>
      <c r="GL56" s="37"/>
      <c r="GM56" s="37"/>
      <c r="GN56" s="37"/>
      <c r="GO56" s="37"/>
      <c r="GP56" s="37"/>
      <c r="GQ56" s="37"/>
      <c r="GR56" s="37"/>
      <c r="GS56" s="37"/>
      <c r="GT56" s="37"/>
      <c r="GU56" s="37"/>
      <c r="GV56" s="37"/>
      <c r="GW56" s="37"/>
      <c r="GX56" s="37"/>
      <c r="GY56" s="37"/>
      <c r="GZ56" s="37"/>
      <c r="HA56" s="37"/>
      <c r="HB56" s="37"/>
      <c r="HC56" s="37"/>
      <c r="HD56" s="37"/>
      <c r="HE56" s="37"/>
      <c r="HF56" s="37"/>
      <c r="HG56" s="37"/>
      <c r="HH56" s="37"/>
      <c r="HI56" s="37"/>
      <c r="HJ56" s="37"/>
      <c r="HK56" s="37"/>
      <c r="HL56" s="37"/>
      <c r="HM56" s="37"/>
      <c r="HN56" s="37"/>
      <c r="HO56" s="37"/>
      <c r="HP56" s="37"/>
      <c r="HQ56" s="37"/>
      <c r="HR56" s="37"/>
      <c r="HS56" s="37"/>
      <c r="HT56" s="37"/>
      <c r="HU56" s="37"/>
      <c r="HV56" s="37"/>
      <c r="HW56" s="37"/>
      <c r="HX56" s="37"/>
      <c r="HY56" s="37"/>
      <c r="HZ56" s="37"/>
      <c r="IA56" s="37"/>
      <c r="IB56" s="37"/>
      <c r="IC56" s="37"/>
    </row>
    <row r="57" spans="1:237" s="40" customFormat="1" x14ac:dyDescent="0.2">
      <c r="A57" s="27"/>
      <c r="B57" s="89"/>
      <c r="C57" s="56"/>
      <c r="D57" s="56"/>
      <c r="E57" s="56"/>
      <c r="F57" s="61"/>
      <c r="G57" s="61"/>
      <c r="H57" s="61"/>
      <c r="I57" s="61"/>
      <c r="J57" s="37"/>
      <c r="K57" s="37"/>
      <c r="L57" s="37"/>
      <c r="M57" s="3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7"/>
      <c r="CG57" s="37"/>
      <c r="CH57" s="37"/>
      <c r="CI57" s="37"/>
      <c r="CJ57" s="37"/>
      <c r="CK57" s="37"/>
      <c r="CL57" s="37"/>
      <c r="CM57" s="37"/>
      <c r="CN57" s="37"/>
      <c r="CO57" s="37"/>
      <c r="CP57" s="37"/>
      <c r="CQ57" s="37"/>
      <c r="CR57" s="37"/>
      <c r="CS57" s="37"/>
      <c r="CT57" s="37"/>
      <c r="CU57" s="37"/>
      <c r="CV57" s="37"/>
      <c r="CW57" s="37"/>
      <c r="CX57" s="37"/>
      <c r="CY57" s="37"/>
      <c r="CZ57" s="37"/>
      <c r="DA57" s="37"/>
      <c r="DB57" s="37"/>
      <c r="DC57" s="37"/>
      <c r="DD57" s="37"/>
      <c r="DE57" s="37"/>
      <c r="DF57" s="37"/>
      <c r="DG57" s="37"/>
      <c r="DH57" s="37"/>
      <c r="DI57" s="37"/>
      <c r="DJ57" s="37"/>
      <c r="DK57" s="37"/>
      <c r="DL57" s="37"/>
      <c r="DM57" s="37"/>
      <c r="DN57" s="37"/>
      <c r="DO57" s="37"/>
      <c r="DP57" s="37"/>
      <c r="DQ57" s="37"/>
      <c r="DR57" s="37"/>
      <c r="DS57" s="37"/>
      <c r="DT57" s="37"/>
      <c r="DU57" s="37"/>
      <c r="DV57" s="37"/>
      <c r="DW57" s="37"/>
      <c r="DX57" s="37"/>
      <c r="DY57" s="37"/>
      <c r="DZ57" s="37"/>
      <c r="EA57" s="37"/>
      <c r="EB57" s="37"/>
      <c r="EC57" s="37"/>
      <c r="ED57" s="37"/>
      <c r="EE57" s="37"/>
      <c r="EF57" s="37"/>
      <c r="EG57" s="37"/>
      <c r="EH57" s="37"/>
      <c r="EI57" s="37"/>
      <c r="EJ57" s="37"/>
      <c r="EK57" s="37"/>
      <c r="EL57" s="37"/>
      <c r="EM57" s="37"/>
      <c r="EN57" s="37"/>
      <c r="EO57" s="37"/>
      <c r="EP57" s="37"/>
      <c r="EQ57" s="37"/>
      <c r="ER57" s="37"/>
      <c r="ES57" s="37"/>
      <c r="ET57" s="37"/>
      <c r="EU57" s="37"/>
      <c r="EV57" s="37"/>
      <c r="EW57" s="37"/>
      <c r="EX57" s="37"/>
      <c r="EY57" s="37"/>
      <c r="EZ57" s="37"/>
      <c r="FA57" s="37"/>
      <c r="FB57" s="37"/>
      <c r="FC57" s="37"/>
      <c r="FD57" s="37"/>
      <c r="FE57" s="37"/>
      <c r="FF57" s="37"/>
      <c r="FG57" s="37"/>
      <c r="FH57" s="37"/>
      <c r="FI57" s="37"/>
      <c r="FJ57" s="37"/>
      <c r="FK57" s="37"/>
      <c r="FL57" s="37"/>
      <c r="FM57" s="37"/>
      <c r="FN57" s="37"/>
      <c r="FO57" s="37"/>
      <c r="FP57" s="37"/>
      <c r="FQ57" s="37"/>
      <c r="FR57" s="37"/>
      <c r="FS57" s="37"/>
      <c r="FT57" s="37"/>
      <c r="FU57" s="37"/>
      <c r="FV57" s="37"/>
      <c r="FW57" s="37"/>
      <c r="FX57" s="37"/>
      <c r="FY57" s="37"/>
      <c r="FZ57" s="37"/>
      <c r="GA57" s="37"/>
      <c r="GB57" s="37"/>
      <c r="GC57" s="37"/>
      <c r="GD57" s="37"/>
      <c r="GE57" s="37"/>
      <c r="GF57" s="37"/>
      <c r="GG57" s="37"/>
      <c r="GH57" s="37"/>
      <c r="GI57" s="37"/>
      <c r="GJ57" s="37"/>
      <c r="GK57" s="37"/>
      <c r="GL57" s="37"/>
      <c r="GM57" s="37"/>
      <c r="GN57" s="37"/>
      <c r="GO57" s="37"/>
      <c r="GP57" s="37"/>
      <c r="GQ57" s="37"/>
      <c r="GR57" s="37"/>
      <c r="GS57" s="37"/>
      <c r="GT57" s="37"/>
      <c r="GU57" s="37"/>
      <c r="GV57" s="37"/>
      <c r="GW57" s="37"/>
      <c r="GX57" s="37"/>
      <c r="GY57" s="37"/>
      <c r="GZ57" s="37"/>
      <c r="HA57" s="37"/>
      <c r="HB57" s="37"/>
      <c r="HC57" s="37"/>
      <c r="HD57" s="37"/>
      <c r="HE57" s="37"/>
      <c r="HF57" s="37"/>
      <c r="HG57" s="37"/>
      <c r="HH57" s="37"/>
      <c r="HI57" s="37"/>
      <c r="HJ57" s="37"/>
      <c r="HK57" s="37"/>
      <c r="HL57" s="37"/>
      <c r="HM57" s="37"/>
      <c r="HN57" s="37"/>
      <c r="HO57" s="37"/>
      <c r="HP57" s="37"/>
      <c r="HQ57" s="37"/>
      <c r="HR57" s="37"/>
      <c r="HS57" s="37"/>
      <c r="HT57" s="37"/>
      <c r="HU57" s="37"/>
      <c r="HV57" s="37"/>
      <c r="HW57" s="37"/>
      <c r="HX57" s="37"/>
      <c r="HY57" s="37"/>
      <c r="HZ57" s="37"/>
      <c r="IA57" s="37"/>
      <c r="IB57" s="37"/>
      <c r="IC57" s="37"/>
    </row>
    <row r="58" spans="1:237" s="40" customFormat="1" x14ac:dyDescent="0.2">
      <c r="A58" s="27"/>
      <c r="B58" s="60"/>
      <c r="C58" s="61"/>
      <c r="D58" s="61"/>
      <c r="E58" s="61"/>
      <c r="F58" s="61"/>
      <c r="G58" s="61"/>
      <c r="H58" s="61"/>
      <c r="I58" s="61"/>
      <c r="J58" s="37"/>
      <c r="K58" s="37"/>
      <c r="L58" s="37"/>
      <c r="M58" s="37"/>
      <c r="N58" s="37"/>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7"/>
      <c r="CG58" s="37"/>
      <c r="CH58" s="37"/>
      <c r="CI58" s="37"/>
      <c r="CJ58" s="37"/>
      <c r="CK58" s="37"/>
      <c r="CL58" s="37"/>
      <c r="CM58" s="37"/>
      <c r="CN58" s="37"/>
      <c r="CO58" s="37"/>
      <c r="CP58" s="37"/>
      <c r="CQ58" s="37"/>
      <c r="CR58" s="37"/>
      <c r="CS58" s="37"/>
      <c r="CT58" s="37"/>
      <c r="CU58" s="37"/>
      <c r="CV58" s="37"/>
      <c r="CW58" s="37"/>
      <c r="CX58" s="37"/>
      <c r="CY58" s="37"/>
      <c r="CZ58" s="37"/>
      <c r="DA58" s="37"/>
      <c r="DB58" s="37"/>
      <c r="DC58" s="37"/>
      <c r="DD58" s="37"/>
      <c r="DE58" s="37"/>
      <c r="DF58" s="37"/>
      <c r="DG58" s="37"/>
      <c r="DH58" s="37"/>
      <c r="DI58" s="37"/>
      <c r="DJ58" s="37"/>
      <c r="DK58" s="37"/>
      <c r="DL58" s="37"/>
      <c r="DM58" s="37"/>
      <c r="DN58" s="37"/>
      <c r="DO58" s="37"/>
      <c r="DP58" s="37"/>
      <c r="DQ58" s="37"/>
      <c r="DR58" s="37"/>
      <c r="DS58" s="37"/>
      <c r="DT58" s="37"/>
      <c r="DU58" s="37"/>
      <c r="DV58" s="37"/>
      <c r="DW58" s="37"/>
      <c r="DX58" s="37"/>
      <c r="DY58" s="37"/>
      <c r="DZ58" s="37"/>
      <c r="EA58" s="37"/>
      <c r="EB58" s="37"/>
      <c r="EC58" s="37"/>
      <c r="ED58" s="37"/>
      <c r="EE58" s="37"/>
      <c r="EF58" s="37"/>
      <c r="EG58" s="37"/>
      <c r="EH58" s="37"/>
      <c r="EI58" s="37"/>
      <c r="EJ58" s="37"/>
      <c r="EK58" s="37"/>
      <c r="EL58" s="37"/>
      <c r="EM58" s="37"/>
      <c r="EN58" s="37"/>
      <c r="EO58" s="37"/>
      <c r="EP58" s="37"/>
      <c r="EQ58" s="37"/>
      <c r="ER58" s="37"/>
      <c r="ES58" s="37"/>
      <c r="ET58" s="37"/>
      <c r="EU58" s="37"/>
      <c r="EV58" s="37"/>
      <c r="EW58" s="37"/>
      <c r="EX58" s="37"/>
      <c r="EY58" s="37"/>
      <c r="EZ58" s="37"/>
      <c r="FA58" s="37"/>
      <c r="FB58" s="37"/>
      <c r="FC58" s="37"/>
      <c r="FD58" s="37"/>
      <c r="FE58" s="37"/>
      <c r="FF58" s="37"/>
      <c r="FG58" s="37"/>
      <c r="FH58" s="37"/>
      <c r="FI58" s="37"/>
      <c r="FJ58" s="37"/>
      <c r="FK58" s="37"/>
      <c r="FL58" s="37"/>
      <c r="FM58" s="37"/>
      <c r="FN58" s="37"/>
      <c r="FO58" s="37"/>
      <c r="FP58" s="37"/>
      <c r="FQ58" s="37"/>
      <c r="FR58" s="37"/>
      <c r="FS58" s="37"/>
      <c r="FT58" s="37"/>
      <c r="FU58" s="37"/>
      <c r="FV58" s="37"/>
      <c r="FW58" s="37"/>
      <c r="FX58" s="37"/>
      <c r="FY58" s="37"/>
      <c r="FZ58" s="37"/>
      <c r="GA58" s="37"/>
      <c r="GB58" s="37"/>
      <c r="GC58" s="37"/>
      <c r="GD58" s="37"/>
      <c r="GE58" s="37"/>
      <c r="GF58" s="37"/>
      <c r="GG58" s="37"/>
      <c r="GH58" s="37"/>
      <c r="GI58" s="37"/>
      <c r="GJ58" s="37"/>
      <c r="GK58" s="37"/>
      <c r="GL58" s="37"/>
      <c r="GM58" s="37"/>
      <c r="GN58" s="37"/>
      <c r="GO58" s="37"/>
      <c r="GP58" s="37"/>
      <c r="GQ58" s="37"/>
      <c r="GR58" s="37"/>
      <c r="GS58" s="37"/>
      <c r="GT58" s="37"/>
      <c r="GU58" s="37"/>
      <c r="GV58" s="37"/>
      <c r="GW58" s="37"/>
      <c r="GX58" s="37"/>
      <c r="GY58" s="37"/>
      <c r="GZ58" s="37"/>
      <c r="HA58" s="37"/>
      <c r="HB58" s="37"/>
      <c r="HC58" s="37"/>
      <c r="HD58" s="37"/>
      <c r="HE58" s="37"/>
      <c r="HF58" s="37"/>
      <c r="HG58" s="37"/>
      <c r="HH58" s="37"/>
      <c r="HI58" s="37"/>
      <c r="HJ58" s="37"/>
      <c r="HK58" s="37"/>
      <c r="HL58" s="37"/>
      <c r="HM58" s="37"/>
      <c r="HN58" s="37"/>
      <c r="HO58" s="37"/>
      <c r="HP58" s="37"/>
      <c r="HQ58" s="37"/>
      <c r="HR58" s="37"/>
      <c r="HS58" s="37"/>
      <c r="HT58" s="37"/>
      <c r="HU58" s="37"/>
      <c r="HV58" s="37"/>
      <c r="HW58" s="37"/>
      <c r="HX58" s="37"/>
      <c r="HY58" s="37"/>
      <c r="HZ58" s="37"/>
      <c r="IA58" s="37"/>
      <c r="IB58" s="37"/>
      <c r="IC58" s="37"/>
    </row>
    <row r="59" spans="1:237" s="40" customFormat="1" x14ac:dyDescent="0.2">
      <c r="A59" s="59"/>
      <c r="B59" s="60"/>
      <c r="C59" s="61"/>
      <c r="D59" s="61"/>
      <c r="E59" s="61"/>
      <c r="F59" s="61"/>
      <c r="G59" s="61"/>
      <c r="H59" s="61"/>
      <c r="I59" s="61"/>
      <c r="J59" s="37"/>
      <c r="K59" s="37"/>
      <c r="L59" s="37"/>
      <c r="M59" s="3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c r="CO59" s="37"/>
      <c r="CP59" s="37"/>
      <c r="CQ59" s="37"/>
      <c r="CR59" s="37"/>
      <c r="CS59" s="37"/>
      <c r="CT59" s="37"/>
      <c r="CU59" s="37"/>
      <c r="CV59" s="37"/>
      <c r="CW59" s="37"/>
      <c r="CX59" s="37"/>
      <c r="CY59" s="37"/>
      <c r="CZ59" s="37"/>
      <c r="DA59" s="37"/>
      <c r="DB59" s="37"/>
      <c r="DC59" s="37"/>
      <c r="DD59" s="37"/>
      <c r="DE59" s="37"/>
      <c r="DF59" s="37"/>
      <c r="DG59" s="37"/>
      <c r="DH59" s="37"/>
      <c r="DI59" s="37"/>
      <c r="DJ59" s="37"/>
      <c r="DK59" s="37"/>
      <c r="DL59" s="37"/>
      <c r="DM59" s="37"/>
      <c r="DN59" s="37"/>
      <c r="DO59" s="37"/>
      <c r="DP59" s="37"/>
      <c r="DQ59" s="37"/>
      <c r="DR59" s="37"/>
      <c r="DS59" s="37"/>
      <c r="DT59" s="37"/>
      <c r="DU59" s="37"/>
      <c r="DV59" s="37"/>
      <c r="DW59" s="37"/>
      <c r="DX59" s="37"/>
      <c r="DY59" s="37"/>
      <c r="DZ59" s="37"/>
      <c r="EA59" s="37"/>
      <c r="EB59" s="37"/>
      <c r="EC59" s="37"/>
      <c r="ED59" s="37"/>
      <c r="EE59" s="37"/>
      <c r="EF59" s="37"/>
      <c r="EG59" s="37"/>
      <c r="EH59" s="37"/>
      <c r="EI59" s="37"/>
      <c r="EJ59" s="37"/>
      <c r="EK59" s="37"/>
      <c r="EL59" s="37"/>
      <c r="EM59" s="37"/>
      <c r="EN59" s="37"/>
      <c r="EO59" s="37"/>
      <c r="EP59" s="37"/>
      <c r="EQ59" s="37"/>
      <c r="ER59" s="37"/>
      <c r="ES59" s="37"/>
      <c r="ET59" s="37"/>
      <c r="EU59" s="37"/>
      <c r="EV59" s="37"/>
      <c r="EW59" s="37"/>
      <c r="EX59" s="37"/>
      <c r="EY59" s="37"/>
      <c r="EZ59" s="37"/>
      <c r="FA59" s="37"/>
      <c r="FB59" s="37"/>
      <c r="FC59" s="37"/>
      <c r="FD59" s="37"/>
      <c r="FE59" s="37"/>
      <c r="FF59" s="37"/>
      <c r="FG59" s="37"/>
      <c r="FH59" s="37"/>
      <c r="FI59" s="37"/>
      <c r="FJ59" s="37"/>
      <c r="FK59" s="37"/>
      <c r="FL59" s="37"/>
      <c r="FM59" s="37"/>
      <c r="FN59" s="37"/>
      <c r="FO59" s="37"/>
      <c r="FP59" s="37"/>
      <c r="FQ59" s="37"/>
      <c r="FR59" s="37"/>
      <c r="FS59" s="37"/>
      <c r="FT59" s="37"/>
      <c r="FU59" s="37"/>
      <c r="FV59" s="37"/>
      <c r="FW59" s="37"/>
      <c r="FX59" s="37"/>
      <c r="FY59" s="37"/>
      <c r="FZ59" s="37"/>
      <c r="GA59" s="37"/>
      <c r="GB59" s="37"/>
      <c r="GC59" s="37"/>
      <c r="GD59" s="37"/>
      <c r="GE59" s="37"/>
      <c r="GF59" s="37"/>
      <c r="GG59" s="37"/>
      <c r="GH59" s="37"/>
      <c r="GI59" s="37"/>
      <c r="GJ59" s="37"/>
      <c r="GK59" s="37"/>
      <c r="GL59" s="37"/>
      <c r="GM59" s="37"/>
      <c r="GN59" s="37"/>
      <c r="GO59" s="37"/>
      <c r="GP59" s="37"/>
      <c r="GQ59" s="37"/>
      <c r="GR59" s="37"/>
      <c r="GS59" s="37"/>
      <c r="GT59" s="37"/>
      <c r="GU59" s="37"/>
      <c r="GV59" s="37"/>
      <c r="GW59" s="37"/>
      <c r="GX59" s="37"/>
      <c r="GY59" s="37"/>
      <c r="GZ59" s="37"/>
      <c r="HA59" s="37"/>
      <c r="HB59" s="37"/>
      <c r="HC59" s="37"/>
      <c r="HD59" s="37"/>
      <c r="HE59" s="37"/>
      <c r="HF59" s="37"/>
      <c r="HG59" s="37"/>
      <c r="HH59" s="37"/>
      <c r="HI59" s="37"/>
      <c r="HJ59" s="37"/>
      <c r="HK59" s="37"/>
      <c r="HL59" s="37"/>
      <c r="HM59" s="37"/>
      <c r="HN59" s="37"/>
      <c r="HO59" s="37"/>
      <c r="HP59" s="37"/>
      <c r="HQ59" s="37"/>
      <c r="HR59" s="37"/>
      <c r="HS59" s="37"/>
      <c r="HT59" s="37"/>
      <c r="HU59" s="37"/>
      <c r="HV59" s="37"/>
      <c r="HW59" s="37"/>
      <c r="HX59" s="37"/>
      <c r="HY59" s="37"/>
      <c r="HZ59" s="37"/>
      <c r="IA59" s="37"/>
      <c r="IB59" s="37"/>
      <c r="IC59" s="37"/>
    </row>
    <row r="60" spans="1:237" s="40" customFormat="1" x14ac:dyDescent="0.2">
      <c r="A60" s="59"/>
      <c r="B60" s="90"/>
      <c r="C60" s="61"/>
      <c r="D60" s="61"/>
      <c r="E60" s="61"/>
      <c r="F60" s="61"/>
      <c r="G60" s="61"/>
      <c r="H60" s="61"/>
      <c r="I60" s="61"/>
      <c r="J60" s="37"/>
      <c r="K60" s="37"/>
      <c r="L60" s="37"/>
      <c r="M60" s="3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c r="BZ60" s="37"/>
      <c r="CA60" s="37"/>
      <c r="CB60" s="37"/>
      <c r="CC60" s="37"/>
      <c r="CD60" s="37"/>
      <c r="CE60" s="37"/>
      <c r="CF60" s="37"/>
      <c r="CG60" s="37"/>
      <c r="CH60" s="37"/>
      <c r="CI60" s="37"/>
      <c r="CJ60" s="37"/>
      <c r="CK60" s="37"/>
      <c r="CL60" s="37"/>
      <c r="CM60" s="37"/>
      <c r="CN60" s="37"/>
      <c r="CO60" s="37"/>
      <c r="CP60" s="37"/>
      <c r="CQ60" s="37"/>
      <c r="CR60" s="37"/>
      <c r="CS60" s="37"/>
      <c r="CT60" s="37"/>
      <c r="CU60" s="37"/>
      <c r="CV60" s="37"/>
      <c r="CW60" s="37"/>
      <c r="CX60" s="37"/>
      <c r="CY60" s="37"/>
      <c r="CZ60" s="37"/>
      <c r="DA60" s="37"/>
      <c r="DB60" s="37"/>
      <c r="DC60" s="37"/>
      <c r="DD60" s="37"/>
      <c r="DE60" s="37"/>
      <c r="DF60" s="37"/>
      <c r="DG60" s="37"/>
      <c r="DH60" s="37"/>
      <c r="DI60" s="37"/>
      <c r="DJ60" s="37"/>
      <c r="DK60" s="37"/>
      <c r="DL60" s="37"/>
      <c r="DM60" s="37"/>
      <c r="DN60" s="37"/>
      <c r="DO60" s="37"/>
      <c r="DP60" s="37"/>
      <c r="DQ60" s="37"/>
      <c r="DR60" s="37"/>
      <c r="DS60" s="37"/>
      <c r="DT60" s="37"/>
      <c r="DU60" s="37"/>
      <c r="DV60" s="37"/>
      <c r="DW60" s="37"/>
      <c r="DX60" s="37"/>
      <c r="DY60" s="37"/>
      <c r="DZ60" s="37"/>
      <c r="EA60" s="37"/>
      <c r="EB60" s="37"/>
      <c r="EC60" s="37"/>
      <c r="ED60" s="37"/>
      <c r="EE60" s="37"/>
      <c r="EF60" s="37"/>
      <c r="EG60" s="37"/>
      <c r="EH60" s="37"/>
      <c r="EI60" s="37"/>
      <c r="EJ60" s="37"/>
      <c r="EK60" s="37"/>
      <c r="EL60" s="37"/>
      <c r="EM60" s="37"/>
      <c r="EN60" s="37"/>
      <c r="EO60" s="37"/>
      <c r="EP60" s="37"/>
      <c r="EQ60" s="37"/>
      <c r="ER60" s="37"/>
      <c r="ES60" s="37"/>
      <c r="ET60" s="37"/>
      <c r="EU60" s="37"/>
      <c r="EV60" s="37"/>
      <c r="EW60" s="37"/>
      <c r="EX60" s="37"/>
      <c r="EY60" s="37"/>
      <c r="EZ60" s="37"/>
      <c r="FA60" s="37"/>
      <c r="FB60" s="37"/>
      <c r="FC60" s="37"/>
      <c r="FD60" s="37"/>
      <c r="FE60" s="37"/>
      <c r="FF60" s="37"/>
      <c r="FG60" s="37"/>
      <c r="FH60" s="37"/>
      <c r="FI60" s="37"/>
      <c r="FJ60" s="37"/>
      <c r="FK60" s="37"/>
      <c r="FL60" s="37"/>
      <c r="FM60" s="37"/>
      <c r="FN60" s="37"/>
      <c r="FO60" s="37"/>
      <c r="FP60" s="37"/>
      <c r="FQ60" s="37"/>
      <c r="FR60" s="37"/>
      <c r="FS60" s="37"/>
      <c r="FT60" s="37"/>
      <c r="FU60" s="37"/>
      <c r="FV60" s="37"/>
      <c r="FW60" s="37"/>
      <c r="FX60" s="37"/>
      <c r="FY60" s="37"/>
      <c r="FZ60" s="37"/>
      <c r="GA60" s="37"/>
      <c r="GB60" s="37"/>
      <c r="GC60" s="37"/>
      <c r="GD60" s="37"/>
      <c r="GE60" s="37"/>
      <c r="GF60" s="37"/>
      <c r="GG60" s="37"/>
      <c r="GH60" s="37"/>
      <c r="GI60" s="37"/>
      <c r="GJ60" s="37"/>
      <c r="GK60" s="37"/>
      <c r="GL60" s="37"/>
      <c r="GM60" s="37"/>
      <c r="GN60" s="37"/>
      <c r="GO60" s="37"/>
      <c r="GP60" s="37"/>
      <c r="GQ60" s="37"/>
      <c r="GR60" s="37"/>
      <c r="GS60" s="37"/>
      <c r="GT60" s="37"/>
      <c r="GU60" s="37"/>
      <c r="GV60" s="37"/>
      <c r="GW60" s="37"/>
      <c r="GX60" s="37"/>
      <c r="GY60" s="37"/>
      <c r="GZ60" s="37"/>
      <c r="HA60" s="37"/>
      <c r="HB60" s="37"/>
      <c r="HC60" s="37"/>
      <c r="HD60" s="37"/>
      <c r="HE60" s="37"/>
      <c r="HF60" s="37"/>
      <c r="HG60" s="37"/>
      <c r="HH60" s="37"/>
      <c r="HI60" s="37"/>
      <c r="HJ60" s="37"/>
      <c r="HK60" s="37"/>
      <c r="HL60" s="37"/>
      <c r="HM60" s="37"/>
      <c r="HN60" s="37"/>
      <c r="HO60" s="37"/>
      <c r="HP60" s="37"/>
      <c r="HQ60" s="37"/>
      <c r="HR60" s="37"/>
      <c r="HS60" s="37"/>
      <c r="HT60" s="37"/>
      <c r="HU60" s="37"/>
      <c r="HV60" s="37"/>
      <c r="HW60" s="37"/>
      <c r="HX60" s="37"/>
      <c r="HY60" s="37"/>
      <c r="HZ60" s="37"/>
      <c r="IA60" s="37"/>
      <c r="IB60" s="37"/>
      <c r="IC60" s="37"/>
    </row>
    <row r="61" spans="1:237" s="40" customFormat="1" x14ac:dyDescent="0.2">
      <c r="A61" s="59"/>
      <c r="B61" s="90"/>
      <c r="C61" s="61"/>
      <c r="D61" s="61"/>
      <c r="E61" s="61"/>
      <c r="F61" s="61"/>
      <c r="G61" s="61"/>
      <c r="H61" s="61"/>
      <c r="I61" s="61"/>
      <c r="J61" s="37"/>
      <c r="K61" s="37"/>
      <c r="L61" s="37"/>
      <c r="M61" s="3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37"/>
      <c r="CA61" s="37"/>
      <c r="CB61" s="37"/>
      <c r="CC61" s="37"/>
      <c r="CD61" s="37"/>
      <c r="CE61" s="37"/>
      <c r="CF61" s="37"/>
      <c r="CG61" s="37"/>
      <c r="CH61" s="37"/>
      <c r="CI61" s="37"/>
      <c r="CJ61" s="37"/>
      <c r="CK61" s="37"/>
      <c r="CL61" s="37"/>
      <c r="CM61" s="37"/>
      <c r="CN61" s="37"/>
      <c r="CO61" s="37"/>
      <c r="CP61" s="37"/>
      <c r="CQ61" s="37"/>
      <c r="CR61" s="37"/>
      <c r="CS61" s="37"/>
      <c r="CT61" s="37"/>
      <c r="CU61" s="37"/>
      <c r="CV61" s="37"/>
      <c r="CW61" s="37"/>
      <c r="CX61" s="37"/>
      <c r="CY61" s="37"/>
      <c r="CZ61" s="37"/>
      <c r="DA61" s="37"/>
      <c r="DB61" s="37"/>
      <c r="DC61" s="37"/>
      <c r="DD61" s="37"/>
      <c r="DE61" s="37"/>
      <c r="DF61" s="37"/>
      <c r="DG61" s="37"/>
      <c r="DH61" s="37"/>
      <c r="DI61" s="37"/>
      <c r="DJ61" s="37"/>
      <c r="DK61" s="37"/>
      <c r="DL61" s="37"/>
      <c r="DM61" s="37"/>
      <c r="DN61" s="37"/>
      <c r="DO61" s="37"/>
      <c r="DP61" s="37"/>
      <c r="DQ61" s="37"/>
      <c r="DR61" s="37"/>
      <c r="DS61" s="37"/>
      <c r="DT61" s="37"/>
      <c r="DU61" s="37"/>
      <c r="DV61" s="37"/>
      <c r="DW61" s="37"/>
      <c r="DX61" s="37"/>
      <c r="DY61" s="37"/>
      <c r="DZ61" s="37"/>
      <c r="EA61" s="37"/>
      <c r="EB61" s="37"/>
      <c r="EC61" s="37"/>
      <c r="ED61" s="37"/>
      <c r="EE61" s="37"/>
      <c r="EF61" s="37"/>
      <c r="EG61" s="37"/>
      <c r="EH61" s="37"/>
      <c r="EI61" s="37"/>
      <c r="EJ61" s="37"/>
      <c r="EK61" s="37"/>
      <c r="EL61" s="37"/>
      <c r="EM61" s="37"/>
      <c r="EN61" s="37"/>
      <c r="EO61" s="37"/>
      <c r="EP61" s="37"/>
      <c r="EQ61" s="37"/>
      <c r="ER61" s="37"/>
      <c r="ES61" s="37"/>
      <c r="ET61" s="37"/>
      <c r="EU61" s="37"/>
      <c r="EV61" s="37"/>
      <c r="EW61" s="37"/>
      <c r="EX61" s="37"/>
      <c r="EY61" s="37"/>
      <c r="EZ61" s="37"/>
      <c r="FA61" s="37"/>
      <c r="FB61" s="37"/>
      <c r="FC61" s="37"/>
      <c r="FD61" s="37"/>
      <c r="FE61" s="37"/>
      <c r="FF61" s="37"/>
      <c r="FG61" s="37"/>
      <c r="FH61" s="37"/>
      <c r="FI61" s="37"/>
      <c r="FJ61" s="37"/>
      <c r="FK61" s="37"/>
      <c r="FL61" s="37"/>
      <c r="FM61" s="37"/>
      <c r="FN61" s="37"/>
      <c r="FO61" s="37"/>
      <c r="FP61" s="37"/>
      <c r="FQ61" s="37"/>
      <c r="FR61" s="37"/>
      <c r="FS61" s="37"/>
      <c r="FT61" s="37"/>
      <c r="FU61" s="37"/>
      <c r="FV61" s="37"/>
      <c r="FW61" s="37"/>
      <c r="FX61" s="37"/>
      <c r="FY61" s="37"/>
      <c r="FZ61" s="37"/>
      <c r="GA61" s="37"/>
      <c r="GB61" s="37"/>
      <c r="GC61" s="37"/>
      <c r="GD61" s="37"/>
      <c r="GE61" s="37"/>
      <c r="GF61" s="37"/>
      <c r="GG61" s="37"/>
      <c r="GH61" s="37"/>
      <c r="GI61" s="37"/>
      <c r="GJ61" s="37"/>
      <c r="GK61" s="37"/>
      <c r="GL61" s="37"/>
      <c r="GM61" s="37"/>
      <c r="GN61" s="37"/>
      <c r="GO61" s="37"/>
      <c r="GP61" s="37"/>
      <c r="GQ61" s="37"/>
      <c r="GR61" s="37"/>
      <c r="GS61" s="37"/>
      <c r="GT61" s="37"/>
      <c r="GU61" s="37"/>
      <c r="GV61" s="37"/>
      <c r="GW61" s="37"/>
      <c r="GX61" s="37"/>
      <c r="GY61" s="37"/>
      <c r="GZ61" s="37"/>
      <c r="HA61" s="37"/>
      <c r="HB61" s="37"/>
      <c r="HC61" s="37"/>
      <c r="HD61" s="37"/>
      <c r="HE61" s="37"/>
      <c r="HF61" s="37"/>
      <c r="HG61" s="37"/>
      <c r="HH61" s="37"/>
      <c r="HI61" s="37"/>
      <c r="HJ61" s="37"/>
      <c r="HK61" s="37"/>
      <c r="HL61" s="37"/>
      <c r="HM61" s="37"/>
      <c r="HN61" s="37"/>
      <c r="HO61" s="37"/>
      <c r="HP61" s="37"/>
      <c r="HQ61" s="37"/>
      <c r="HR61" s="37"/>
      <c r="HS61" s="37"/>
      <c r="HT61" s="37"/>
      <c r="HU61" s="37"/>
      <c r="HV61" s="37"/>
      <c r="HW61" s="37"/>
      <c r="HX61" s="37"/>
      <c r="HY61" s="37"/>
      <c r="HZ61" s="37"/>
      <c r="IA61" s="37"/>
      <c r="IB61" s="37"/>
      <c r="IC61" s="37"/>
    </row>
    <row r="62" spans="1:237" s="40" customFormat="1" x14ac:dyDescent="0.2">
      <c r="A62" s="59"/>
      <c r="B62" s="90"/>
      <c r="C62" s="61"/>
      <c r="D62" s="61"/>
      <c r="E62" s="61"/>
      <c r="F62" s="61"/>
      <c r="G62" s="61"/>
      <c r="H62" s="61"/>
      <c r="I62" s="61"/>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K62" s="37"/>
      <c r="DL62" s="37"/>
      <c r="DM62" s="37"/>
      <c r="DN62" s="37"/>
      <c r="DO62" s="37"/>
      <c r="DP62" s="37"/>
      <c r="DQ62" s="37"/>
      <c r="DR62" s="37"/>
      <c r="DS62" s="37"/>
      <c r="DT62" s="37"/>
      <c r="DU62" s="37"/>
      <c r="DV62" s="37"/>
      <c r="DW62" s="37"/>
      <c r="DX62" s="37"/>
      <c r="DY62" s="37"/>
      <c r="DZ62" s="37"/>
      <c r="EA62" s="37"/>
      <c r="EB62" s="37"/>
      <c r="EC62" s="37"/>
      <c r="ED62" s="37"/>
      <c r="EE62" s="37"/>
      <c r="EF62" s="37"/>
      <c r="EG62" s="37"/>
      <c r="EH62" s="37"/>
      <c r="EI62" s="37"/>
      <c r="EJ62" s="37"/>
      <c r="EK62" s="37"/>
      <c r="EL62" s="37"/>
      <c r="EM62" s="37"/>
      <c r="EN62" s="37"/>
      <c r="EO62" s="37"/>
      <c r="EP62" s="37"/>
      <c r="EQ62" s="37"/>
      <c r="ER62" s="37"/>
      <c r="ES62" s="37"/>
      <c r="ET62" s="37"/>
      <c r="EU62" s="37"/>
      <c r="EV62" s="37"/>
      <c r="EW62" s="37"/>
      <c r="EX62" s="37"/>
      <c r="EY62" s="37"/>
      <c r="EZ62" s="37"/>
      <c r="FA62" s="37"/>
      <c r="FB62" s="37"/>
      <c r="FC62" s="37"/>
      <c r="FD62" s="37"/>
      <c r="FE62" s="37"/>
      <c r="FF62" s="37"/>
      <c r="FG62" s="37"/>
      <c r="FH62" s="37"/>
      <c r="FI62" s="37"/>
      <c r="FJ62" s="37"/>
      <c r="FK62" s="37"/>
      <c r="FL62" s="37"/>
      <c r="FM62" s="37"/>
      <c r="FN62" s="37"/>
      <c r="FO62" s="37"/>
      <c r="FP62" s="37"/>
      <c r="FQ62" s="37"/>
      <c r="FR62" s="37"/>
      <c r="FS62" s="37"/>
      <c r="FT62" s="37"/>
      <c r="FU62" s="37"/>
      <c r="FV62" s="37"/>
      <c r="FW62" s="37"/>
      <c r="FX62" s="37"/>
      <c r="FY62" s="37"/>
      <c r="FZ62" s="37"/>
      <c r="GA62" s="37"/>
      <c r="GB62" s="37"/>
      <c r="GC62" s="37"/>
      <c r="GD62" s="37"/>
      <c r="GE62" s="37"/>
      <c r="GF62" s="37"/>
      <c r="GG62" s="37"/>
      <c r="GH62" s="37"/>
      <c r="GI62" s="37"/>
      <c r="GJ62" s="37"/>
      <c r="GK62" s="37"/>
      <c r="GL62" s="37"/>
      <c r="GM62" s="37"/>
      <c r="GN62" s="37"/>
      <c r="GO62" s="37"/>
      <c r="GP62" s="37"/>
      <c r="GQ62" s="37"/>
      <c r="GR62" s="37"/>
      <c r="GS62" s="37"/>
      <c r="GT62" s="37"/>
      <c r="GU62" s="37"/>
      <c r="GV62" s="37"/>
      <c r="GW62" s="37"/>
      <c r="GX62" s="37"/>
      <c r="GY62" s="37"/>
      <c r="GZ62" s="37"/>
      <c r="HA62" s="37"/>
      <c r="HB62" s="37"/>
      <c r="HC62" s="37"/>
      <c r="HD62" s="37"/>
      <c r="HE62" s="37"/>
      <c r="HF62" s="37"/>
      <c r="HG62" s="37"/>
      <c r="HH62" s="37"/>
      <c r="HI62" s="37"/>
      <c r="HJ62" s="37"/>
      <c r="HK62" s="37"/>
      <c r="HL62" s="37"/>
      <c r="HM62" s="37"/>
      <c r="HN62" s="37"/>
      <c r="HO62" s="37"/>
      <c r="HP62" s="37"/>
      <c r="HQ62" s="37"/>
      <c r="HR62" s="37"/>
      <c r="HS62" s="37"/>
      <c r="HT62" s="37"/>
      <c r="HU62" s="37"/>
      <c r="HV62" s="37"/>
      <c r="HW62" s="37"/>
      <c r="HX62" s="37"/>
      <c r="HY62" s="37"/>
      <c r="HZ62" s="37"/>
      <c r="IA62" s="37"/>
      <c r="IB62" s="37"/>
      <c r="IC62" s="37"/>
    </row>
    <row r="63" spans="1:237" s="40" customFormat="1" x14ac:dyDescent="0.2">
      <c r="A63" s="59"/>
      <c r="B63" s="60"/>
      <c r="C63" s="61"/>
      <c r="D63" s="61"/>
      <c r="E63" s="61"/>
      <c r="F63" s="61"/>
      <c r="G63" s="61"/>
      <c r="H63" s="61"/>
      <c r="I63" s="61"/>
      <c r="J63" s="37"/>
      <c r="K63" s="37"/>
      <c r="L63" s="37"/>
      <c r="M63" s="37"/>
      <c r="N63" s="37"/>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c r="BB63" s="37"/>
      <c r="BC63" s="37"/>
      <c r="BD63" s="37"/>
      <c r="BE63" s="37"/>
      <c r="BF63" s="37"/>
      <c r="BG63" s="37"/>
      <c r="BH63" s="37"/>
      <c r="BI63" s="37"/>
      <c r="BJ63" s="37"/>
      <c r="BK63" s="37"/>
      <c r="BL63" s="37"/>
      <c r="BM63" s="37"/>
      <c r="BN63" s="37"/>
      <c r="BO63" s="37"/>
      <c r="BP63" s="37"/>
      <c r="BQ63" s="37"/>
      <c r="BR63" s="37"/>
      <c r="BS63" s="37"/>
      <c r="BT63" s="37"/>
      <c r="BU63" s="37"/>
      <c r="BV63" s="37"/>
      <c r="BW63" s="37"/>
      <c r="BX63" s="37"/>
      <c r="BY63" s="37"/>
      <c r="BZ63" s="37"/>
      <c r="CA63" s="37"/>
      <c r="CB63" s="37"/>
      <c r="CC63" s="37"/>
      <c r="CD63" s="37"/>
      <c r="CE63" s="37"/>
      <c r="CF63" s="37"/>
      <c r="CG63" s="37"/>
      <c r="CH63" s="37"/>
      <c r="CI63" s="37"/>
      <c r="CJ63" s="37"/>
      <c r="CK63" s="37"/>
      <c r="CL63" s="37"/>
      <c r="CM63" s="37"/>
      <c r="CN63" s="37"/>
      <c r="CO63" s="37"/>
      <c r="CP63" s="37"/>
      <c r="CQ63" s="37"/>
      <c r="CR63" s="37"/>
      <c r="CS63" s="37"/>
      <c r="CT63" s="37"/>
      <c r="CU63" s="37"/>
      <c r="CV63" s="37"/>
      <c r="CW63" s="37"/>
      <c r="CX63" s="37"/>
      <c r="CY63" s="37"/>
      <c r="CZ63" s="37"/>
      <c r="DA63" s="37"/>
      <c r="DB63" s="37"/>
      <c r="DC63" s="37"/>
      <c r="DD63" s="37"/>
      <c r="DE63" s="37"/>
      <c r="DF63" s="37"/>
      <c r="DG63" s="37"/>
      <c r="DH63" s="37"/>
      <c r="DI63" s="37"/>
      <c r="DJ63" s="37"/>
      <c r="DK63" s="37"/>
      <c r="DL63" s="37"/>
      <c r="DM63" s="37"/>
      <c r="DN63" s="37"/>
      <c r="DO63" s="37"/>
      <c r="DP63" s="37"/>
      <c r="DQ63" s="37"/>
      <c r="DR63" s="37"/>
      <c r="DS63" s="37"/>
      <c r="DT63" s="37"/>
      <c r="DU63" s="37"/>
      <c r="DV63" s="37"/>
      <c r="DW63" s="37"/>
      <c r="DX63" s="37"/>
      <c r="DY63" s="37"/>
      <c r="DZ63" s="37"/>
      <c r="EA63" s="37"/>
      <c r="EB63" s="37"/>
      <c r="EC63" s="37"/>
      <c r="ED63" s="37"/>
      <c r="EE63" s="37"/>
      <c r="EF63" s="37"/>
      <c r="EG63" s="37"/>
      <c r="EH63" s="37"/>
      <c r="EI63" s="37"/>
      <c r="EJ63" s="37"/>
      <c r="EK63" s="37"/>
      <c r="EL63" s="37"/>
      <c r="EM63" s="37"/>
      <c r="EN63" s="37"/>
      <c r="EO63" s="37"/>
      <c r="EP63" s="37"/>
      <c r="EQ63" s="37"/>
      <c r="ER63" s="37"/>
      <c r="ES63" s="37"/>
      <c r="ET63" s="37"/>
      <c r="EU63" s="37"/>
      <c r="EV63" s="37"/>
      <c r="EW63" s="37"/>
      <c r="EX63" s="37"/>
      <c r="EY63" s="37"/>
      <c r="EZ63" s="37"/>
      <c r="FA63" s="37"/>
      <c r="FB63" s="37"/>
      <c r="FC63" s="37"/>
      <c r="FD63" s="37"/>
      <c r="FE63" s="37"/>
      <c r="FF63" s="37"/>
      <c r="FG63" s="37"/>
      <c r="FH63" s="37"/>
      <c r="FI63" s="37"/>
      <c r="FJ63" s="37"/>
      <c r="FK63" s="37"/>
      <c r="FL63" s="37"/>
      <c r="FM63" s="37"/>
      <c r="FN63" s="37"/>
      <c r="FO63" s="37"/>
      <c r="FP63" s="37"/>
      <c r="FQ63" s="37"/>
      <c r="FR63" s="37"/>
      <c r="FS63" s="37"/>
      <c r="FT63" s="37"/>
      <c r="FU63" s="37"/>
      <c r="FV63" s="37"/>
      <c r="FW63" s="37"/>
      <c r="FX63" s="37"/>
      <c r="FY63" s="37"/>
      <c r="FZ63" s="37"/>
      <c r="GA63" s="37"/>
      <c r="GB63" s="37"/>
      <c r="GC63" s="37"/>
      <c r="GD63" s="37"/>
      <c r="GE63" s="37"/>
      <c r="GF63" s="37"/>
      <c r="GG63" s="37"/>
      <c r="GH63" s="37"/>
      <c r="GI63" s="37"/>
      <c r="GJ63" s="37"/>
      <c r="GK63" s="37"/>
      <c r="GL63" s="37"/>
      <c r="GM63" s="37"/>
      <c r="GN63" s="37"/>
      <c r="GO63" s="37"/>
      <c r="GP63" s="37"/>
      <c r="GQ63" s="37"/>
      <c r="GR63" s="37"/>
      <c r="GS63" s="37"/>
      <c r="GT63" s="37"/>
      <c r="GU63" s="37"/>
      <c r="GV63" s="37"/>
      <c r="GW63" s="37"/>
      <c r="GX63" s="37"/>
      <c r="GY63" s="37"/>
      <c r="GZ63" s="37"/>
      <c r="HA63" s="37"/>
      <c r="HB63" s="37"/>
      <c r="HC63" s="37"/>
      <c r="HD63" s="37"/>
      <c r="HE63" s="37"/>
      <c r="HF63" s="37"/>
      <c r="HG63" s="37"/>
      <c r="HH63" s="37"/>
      <c r="HI63" s="37"/>
      <c r="HJ63" s="37"/>
      <c r="HK63" s="37"/>
      <c r="HL63" s="37"/>
      <c r="HM63" s="37"/>
      <c r="HN63" s="37"/>
      <c r="HO63" s="37"/>
      <c r="HP63" s="37"/>
      <c r="HQ63" s="37"/>
      <c r="HR63" s="37"/>
      <c r="HS63" s="37"/>
      <c r="HT63" s="37"/>
      <c r="HU63" s="37"/>
      <c r="HV63" s="37"/>
      <c r="HW63" s="37"/>
      <c r="HX63" s="37"/>
      <c r="HY63" s="37"/>
      <c r="HZ63" s="37"/>
      <c r="IA63" s="37"/>
      <c r="IB63" s="37"/>
      <c r="IC63" s="37"/>
    </row>
    <row r="64" spans="1:237" s="40" customFormat="1" x14ac:dyDescent="0.2">
      <c r="A64" s="62"/>
      <c r="B64" s="63"/>
      <c r="J64" s="37"/>
      <c r="K64" s="37"/>
      <c r="L64" s="37"/>
      <c r="M64" s="37"/>
      <c r="N64" s="37"/>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37"/>
      <c r="CN64" s="37"/>
      <c r="CO64" s="37"/>
      <c r="CP64" s="37"/>
      <c r="CQ64" s="37"/>
      <c r="CR64" s="37"/>
      <c r="CS64" s="37"/>
      <c r="CT64" s="37"/>
      <c r="CU64" s="37"/>
      <c r="CV64" s="37"/>
      <c r="CW64" s="37"/>
      <c r="CX64" s="37"/>
      <c r="CY64" s="37"/>
      <c r="CZ64" s="37"/>
      <c r="DA64" s="37"/>
      <c r="DB64" s="37"/>
      <c r="DC64" s="37"/>
      <c r="DD64" s="37"/>
      <c r="DE64" s="37"/>
      <c r="DF64" s="37"/>
      <c r="DG64" s="37"/>
      <c r="DH64" s="37"/>
      <c r="DI64" s="37"/>
      <c r="DJ64" s="37"/>
      <c r="DK64" s="37"/>
      <c r="DL64" s="37"/>
      <c r="DM64" s="37"/>
      <c r="DN64" s="37"/>
      <c r="DO64" s="37"/>
      <c r="DP64" s="37"/>
      <c r="DQ64" s="37"/>
      <c r="DR64" s="37"/>
      <c r="DS64" s="37"/>
      <c r="DT64" s="37"/>
      <c r="DU64" s="37"/>
      <c r="DV64" s="37"/>
      <c r="DW64" s="37"/>
      <c r="DX64" s="37"/>
      <c r="DY64" s="37"/>
      <c r="DZ64" s="37"/>
      <c r="EA64" s="37"/>
      <c r="EB64" s="37"/>
      <c r="EC64" s="37"/>
      <c r="ED64" s="37"/>
      <c r="EE64" s="37"/>
      <c r="EF64" s="37"/>
      <c r="EG64" s="37"/>
      <c r="EH64" s="37"/>
      <c r="EI64" s="37"/>
      <c r="EJ64" s="37"/>
      <c r="EK64" s="37"/>
      <c r="EL64" s="37"/>
      <c r="EM64" s="37"/>
      <c r="EN64" s="37"/>
      <c r="EO64" s="37"/>
      <c r="EP64" s="37"/>
      <c r="EQ64" s="37"/>
      <c r="ER64" s="37"/>
      <c r="ES64" s="37"/>
      <c r="ET64" s="37"/>
      <c r="EU64" s="37"/>
      <c r="EV64" s="37"/>
      <c r="EW64" s="37"/>
      <c r="EX64" s="37"/>
      <c r="EY64" s="37"/>
      <c r="EZ64" s="37"/>
      <c r="FA64" s="37"/>
      <c r="FB64" s="37"/>
      <c r="FC64" s="37"/>
      <c r="FD64" s="37"/>
      <c r="FE64" s="37"/>
      <c r="FF64" s="37"/>
      <c r="FG64" s="37"/>
      <c r="FH64" s="37"/>
      <c r="FI64" s="37"/>
      <c r="FJ64" s="37"/>
      <c r="FK64" s="37"/>
      <c r="FL64" s="37"/>
      <c r="FM64" s="37"/>
      <c r="FN64" s="37"/>
      <c r="FO64" s="37"/>
      <c r="FP64" s="37"/>
      <c r="FQ64" s="37"/>
      <c r="FR64" s="37"/>
      <c r="FS64" s="37"/>
      <c r="FT64" s="37"/>
      <c r="FU64" s="37"/>
      <c r="FV64" s="37"/>
      <c r="FW64" s="37"/>
      <c r="FX64" s="37"/>
      <c r="FY64" s="37"/>
      <c r="FZ64" s="37"/>
      <c r="GA64" s="37"/>
      <c r="GB64" s="37"/>
      <c r="GC64" s="37"/>
      <c r="GD64" s="37"/>
      <c r="GE64" s="37"/>
      <c r="GF64" s="37"/>
      <c r="GG64" s="37"/>
      <c r="GH64" s="37"/>
      <c r="GI64" s="37"/>
      <c r="GJ64" s="37"/>
      <c r="GK64" s="37"/>
      <c r="GL64" s="37"/>
      <c r="GM64" s="37"/>
      <c r="GN64" s="37"/>
      <c r="GO64" s="37"/>
      <c r="GP64" s="37"/>
      <c r="GQ64" s="37"/>
      <c r="GR64" s="37"/>
      <c r="GS64" s="37"/>
      <c r="GT64" s="37"/>
      <c r="GU64" s="37"/>
      <c r="GV64" s="37"/>
      <c r="GW64" s="37"/>
      <c r="GX64" s="37"/>
      <c r="GY64" s="37"/>
      <c r="GZ64" s="37"/>
      <c r="HA64" s="37"/>
      <c r="HB64" s="37"/>
      <c r="HC64" s="37"/>
      <c r="HD64" s="37"/>
      <c r="HE64" s="37"/>
      <c r="HF64" s="37"/>
      <c r="HG64" s="37"/>
      <c r="HH64" s="37"/>
      <c r="HI64" s="37"/>
      <c r="HJ64" s="37"/>
      <c r="HK64" s="37"/>
      <c r="HL64" s="37"/>
      <c r="HM64" s="37"/>
      <c r="HN64" s="37"/>
      <c r="HO64" s="37"/>
      <c r="HP64" s="37"/>
      <c r="HQ64" s="37"/>
      <c r="HR64" s="37"/>
      <c r="HS64" s="37"/>
      <c r="HT64" s="37"/>
      <c r="HU64" s="37"/>
      <c r="HV64" s="37"/>
      <c r="HW64" s="37"/>
      <c r="HX64" s="37"/>
      <c r="HY64" s="37"/>
      <c r="HZ64" s="37"/>
      <c r="IA64" s="37"/>
      <c r="IB64" s="37"/>
      <c r="IC64" s="37"/>
    </row>
    <row r="65" spans="1:237" s="40" customFormat="1" x14ac:dyDescent="0.2">
      <c r="A65" s="62"/>
      <c r="B65" s="63"/>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37"/>
      <c r="CA65" s="37"/>
      <c r="CB65" s="37"/>
      <c r="CC65" s="37"/>
      <c r="CD65" s="37"/>
      <c r="CE65" s="37"/>
      <c r="CF65" s="37"/>
      <c r="CG65" s="37"/>
      <c r="CH65" s="37"/>
      <c r="CI65" s="37"/>
      <c r="CJ65" s="37"/>
      <c r="CK65" s="37"/>
      <c r="CL65" s="37"/>
      <c r="CM65" s="37"/>
      <c r="CN65" s="37"/>
      <c r="CO65" s="37"/>
      <c r="CP65" s="37"/>
      <c r="CQ65" s="37"/>
      <c r="CR65" s="37"/>
      <c r="CS65" s="37"/>
      <c r="CT65" s="37"/>
      <c r="CU65" s="37"/>
      <c r="CV65" s="37"/>
      <c r="CW65" s="37"/>
      <c r="CX65" s="37"/>
      <c r="CY65" s="37"/>
      <c r="CZ65" s="37"/>
      <c r="DA65" s="37"/>
      <c r="DB65" s="37"/>
      <c r="DC65" s="37"/>
      <c r="DD65" s="37"/>
      <c r="DE65" s="37"/>
      <c r="DF65" s="37"/>
      <c r="DG65" s="37"/>
      <c r="DH65" s="37"/>
      <c r="DI65" s="37"/>
      <c r="DJ65" s="37"/>
      <c r="DK65" s="37"/>
      <c r="DL65" s="37"/>
      <c r="DM65" s="37"/>
      <c r="DN65" s="37"/>
      <c r="DO65" s="37"/>
      <c r="DP65" s="37"/>
      <c r="DQ65" s="37"/>
      <c r="DR65" s="37"/>
      <c r="DS65" s="37"/>
      <c r="DT65" s="37"/>
      <c r="DU65" s="37"/>
      <c r="DV65" s="37"/>
      <c r="DW65" s="37"/>
      <c r="DX65" s="37"/>
      <c r="DY65" s="37"/>
      <c r="DZ65" s="37"/>
      <c r="EA65" s="37"/>
      <c r="EB65" s="37"/>
      <c r="EC65" s="37"/>
      <c r="ED65" s="37"/>
      <c r="EE65" s="37"/>
      <c r="EF65" s="37"/>
      <c r="EG65" s="37"/>
      <c r="EH65" s="37"/>
      <c r="EI65" s="37"/>
      <c r="EJ65" s="37"/>
      <c r="EK65" s="37"/>
      <c r="EL65" s="37"/>
      <c r="EM65" s="37"/>
      <c r="EN65" s="37"/>
      <c r="EO65" s="37"/>
      <c r="EP65" s="37"/>
      <c r="EQ65" s="37"/>
      <c r="ER65" s="37"/>
      <c r="ES65" s="37"/>
      <c r="ET65" s="37"/>
      <c r="EU65" s="37"/>
      <c r="EV65" s="37"/>
      <c r="EW65" s="37"/>
      <c r="EX65" s="37"/>
      <c r="EY65" s="37"/>
      <c r="EZ65" s="37"/>
      <c r="FA65" s="37"/>
      <c r="FB65" s="37"/>
      <c r="FC65" s="37"/>
      <c r="FD65" s="37"/>
      <c r="FE65" s="37"/>
      <c r="FF65" s="37"/>
      <c r="FG65" s="37"/>
      <c r="FH65" s="37"/>
      <c r="FI65" s="37"/>
      <c r="FJ65" s="37"/>
      <c r="FK65" s="37"/>
      <c r="FL65" s="37"/>
      <c r="FM65" s="37"/>
      <c r="FN65" s="37"/>
      <c r="FO65" s="37"/>
      <c r="FP65" s="37"/>
      <c r="FQ65" s="37"/>
      <c r="FR65" s="37"/>
      <c r="FS65" s="37"/>
      <c r="FT65" s="37"/>
      <c r="FU65" s="37"/>
      <c r="FV65" s="37"/>
      <c r="FW65" s="37"/>
      <c r="FX65" s="37"/>
      <c r="FY65" s="37"/>
      <c r="FZ65" s="37"/>
      <c r="GA65" s="37"/>
      <c r="GB65" s="37"/>
      <c r="GC65" s="37"/>
      <c r="GD65" s="37"/>
      <c r="GE65" s="37"/>
      <c r="GF65" s="37"/>
      <c r="GG65" s="37"/>
      <c r="GH65" s="37"/>
      <c r="GI65" s="37"/>
      <c r="GJ65" s="37"/>
      <c r="GK65" s="37"/>
      <c r="GL65" s="37"/>
      <c r="GM65" s="37"/>
      <c r="GN65" s="37"/>
      <c r="GO65" s="37"/>
      <c r="GP65" s="37"/>
      <c r="GQ65" s="37"/>
      <c r="GR65" s="37"/>
      <c r="GS65" s="37"/>
      <c r="GT65" s="37"/>
      <c r="GU65" s="37"/>
      <c r="GV65" s="37"/>
      <c r="GW65" s="37"/>
      <c r="GX65" s="37"/>
      <c r="GY65" s="37"/>
      <c r="GZ65" s="37"/>
      <c r="HA65" s="37"/>
      <c r="HB65" s="37"/>
      <c r="HC65" s="37"/>
      <c r="HD65" s="37"/>
      <c r="HE65" s="37"/>
      <c r="HF65" s="37"/>
      <c r="HG65" s="37"/>
      <c r="HH65" s="37"/>
      <c r="HI65" s="37"/>
      <c r="HJ65" s="37"/>
      <c r="HK65" s="37"/>
      <c r="HL65" s="37"/>
      <c r="HM65" s="37"/>
      <c r="HN65" s="37"/>
      <c r="HO65" s="37"/>
      <c r="HP65" s="37"/>
      <c r="HQ65" s="37"/>
      <c r="HR65" s="37"/>
      <c r="HS65" s="37"/>
      <c r="HT65" s="37"/>
      <c r="HU65" s="37"/>
      <c r="HV65" s="37"/>
      <c r="HW65" s="37"/>
      <c r="HX65" s="37"/>
      <c r="HY65" s="37"/>
      <c r="HZ65" s="37"/>
      <c r="IA65" s="37"/>
      <c r="IB65" s="37"/>
      <c r="IC65" s="37"/>
    </row>
    <row r="66" spans="1:237" s="40" customFormat="1" x14ac:dyDescent="0.2">
      <c r="A66" s="62"/>
      <c r="B66" s="63"/>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c r="BS66" s="37"/>
      <c r="BT66" s="37"/>
      <c r="BU66" s="37"/>
      <c r="BV66" s="37"/>
      <c r="BW66" s="37"/>
      <c r="BX66" s="37"/>
      <c r="BY66" s="37"/>
      <c r="BZ66" s="37"/>
      <c r="CA66" s="37"/>
      <c r="CB66" s="37"/>
      <c r="CC66" s="37"/>
      <c r="CD66" s="37"/>
      <c r="CE66" s="37"/>
      <c r="CF66" s="37"/>
      <c r="CG66" s="37"/>
      <c r="CH66" s="37"/>
      <c r="CI66" s="37"/>
      <c r="CJ66" s="37"/>
      <c r="CK66" s="37"/>
      <c r="CL66" s="37"/>
      <c r="CM66" s="37"/>
      <c r="CN66" s="37"/>
      <c r="CO66" s="37"/>
      <c r="CP66" s="37"/>
      <c r="CQ66" s="37"/>
      <c r="CR66" s="37"/>
      <c r="CS66" s="37"/>
      <c r="CT66" s="37"/>
      <c r="CU66" s="37"/>
      <c r="CV66" s="37"/>
      <c r="CW66" s="37"/>
      <c r="CX66" s="37"/>
      <c r="CY66" s="37"/>
      <c r="CZ66" s="37"/>
      <c r="DA66" s="37"/>
      <c r="DB66" s="37"/>
      <c r="DC66" s="37"/>
      <c r="DD66" s="37"/>
      <c r="DE66" s="37"/>
      <c r="DF66" s="37"/>
      <c r="DG66" s="37"/>
      <c r="DH66" s="37"/>
      <c r="DI66" s="37"/>
      <c r="DJ66" s="37"/>
      <c r="DK66" s="37"/>
      <c r="DL66" s="37"/>
      <c r="DM66" s="37"/>
      <c r="DN66" s="37"/>
      <c r="DO66" s="37"/>
      <c r="DP66" s="37"/>
      <c r="DQ66" s="37"/>
      <c r="DR66" s="37"/>
      <c r="DS66" s="37"/>
      <c r="DT66" s="37"/>
      <c r="DU66" s="37"/>
      <c r="DV66" s="37"/>
      <c r="DW66" s="37"/>
      <c r="DX66" s="37"/>
      <c r="DY66" s="37"/>
      <c r="DZ66" s="37"/>
      <c r="EA66" s="37"/>
      <c r="EB66" s="37"/>
      <c r="EC66" s="37"/>
      <c r="ED66" s="37"/>
      <c r="EE66" s="37"/>
      <c r="EF66" s="37"/>
      <c r="EG66" s="37"/>
      <c r="EH66" s="37"/>
      <c r="EI66" s="37"/>
      <c r="EJ66" s="37"/>
      <c r="EK66" s="37"/>
      <c r="EL66" s="37"/>
      <c r="EM66" s="37"/>
      <c r="EN66" s="37"/>
      <c r="EO66" s="37"/>
      <c r="EP66" s="37"/>
      <c r="EQ66" s="37"/>
      <c r="ER66" s="37"/>
      <c r="ES66" s="37"/>
      <c r="ET66" s="37"/>
      <c r="EU66" s="37"/>
      <c r="EV66" s="37"/>
      <c r="EW66" s="37"/>
      <c r="EX66" s="37"/>
      <c r="EY66" s="37"/>
      <c r="EZ66" s="37"/>
      <c r="FA66" s="37"/>
      <c r="FB66" s="37"/>
      <c r="FC66" s="37"/>
      <c r="FD66" s="37"/>
      <c r="FE66" s="37"/>
      <c r="FF66" s="37"/>
      <c r="FG66" s="37"/>
      <c r="FH66" s="37"/>
      <c r="FI66" s="37"/>
      <c r="FJ66" s="37"/>
      <c r="FK66" s="37"/>
      <c r="FL66" s="37"/>
      <c r="FM66" s="37"/>
      <c r="FN66" s="37"/>
      <c r="FO66" s="37"/>
      <c r="FP66" s="37"/>
      <c r="FQ66" s="37"/>
      <c r="FR66" s="37"/>
      <c r="FS66" s="37"/>
      <c r="FT66" s="37"/>
      <c r="FU66" s="37"/>
      <c r="FV66" s="37"/>
      <c r="FW66" s="37"/>
      <c r="FX66" s="37"/>
      <c r="FY66" s="37"/>
      <c r="FZ66" s="37"/>
      <c r="GA66" s="37"/>
      <c r="GB66" s="37"/>
      <c r="GC66" s="37"/>
      <c r="GD66" s="37"/>
      <c r="GE66" s="37"/>
      <c r="GF66" s="37"/>
      <c r="GG66" s="37"/>
      <c r="GH66" s="37"/>
      <c r="GI66" s="37"/>
      <c r="GJ66" s="37"/>
      <c r="GK66" s="37"/>
      <c r="GL66" s="37"/>
      <c r="GM66" s="37"/>
      <c r="GN66" s="37"/>
      <c r="GO66" s="37"/>
      <c r="GP66" s="37"/>
      <c r="GQ66" s="37"/>
      <c r="GR66" s="37"/>
      <c r="GS66" s="37"/>
      <c r="GT66" s="37"/>
      <c r="GU66" s="37"/>
      <c r="GV66" s="37"/>
      <c r="GW66" s="37"/>
      <c r="GX66" s="37"/>
      <c r="GY66" s="37"/>
      <c r="GZ66" s="37"/>
      <c r="HA66" s="37"/>
      <c r="HB66" s="37"/>
      <c r="HC66" s="37"/>
      <c r="HD66" s="37"/>
      <c r="HE66" s="37"/>
      <c r="HF66" s="37"/>
      <c r="HG66" s="37"/>
      <c r="HH66" s="37"/>
      <c r="HI66" s="37"/>
      <c r="HJ66" s="37"/>
      <c r="HK66" s="37"/>
      <c r="HL66" s="37"/>
      <c r="HM66" s="37"/>
      <c r="HN66" s="37"/>
      <c r="HO66" s="37"/>
      <c r="HP66" s="37"/>
      <c r="HQ66" s="37"/>
      <c r="HR66" s="37"/>
      <c r="HS66" s="37"/>
      <c r="HT66" s="37"/>
      <c r="HU66" s="37"/>
      <c r="HV66" s="37"/>
      <c r="HW66" s="37"/>
      <c r="HX66" s="37"/>
      <c r="HY66" s="37"/>
      <c r="HZ66" s="37"/>
      <c r="IA66" s="37"/>
      <c r="IB66" s="37"/>
      <c r="IC66" s="37"/>
    </row>
    <row r="67" spans="1:237" s="40" customFormat="1" x14ac:dyDescent="0.2">
      <c r="A67" s="62"/>
      <c r="B67" s="63"/>
      <c r="J67" s="37"/>
      <c r="K67" s="37"/>
      <c r="L67" s="37"/>
      <c r="M67" s="37"/>
      <c r="N67" s="37"/>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c r="CO67" s="37"/>
      <c r="CP67" s="37"/>
      <c r="CQ67" s="37"/>
      <c r="CR67" s="37"/>
      <c r="CS67" s="37"/>
      <c r="CT67" s="37"/>
      <c r="CU67" s="37"/>
      <c r="CV67" s="37"/>
      <c r="CW67" s="37"/>
      <c r="CX67" s="37"/>
      <c r="CY67" s="37"/>
      <c r="CZ67" s="37"/>
      <c r="DA67" s="37"/>
      <c r="DB67" s="37"/>
      <c r="DC67" s="37"/>
      <c r="DD67" s="37"/>
      <c r="DE67" s="37"/>
      <c r="DF67" s="37"/>
      <c r="DG67" s="37"/>
      <c r="DH67" s="37"/>
      <c r="DI67" s="37"/>
      <c r="DJ67" s="37"/>
      <c r="DK67" s="37"/>
      <c r="DL67" s="37"/>
      <c r="DM67" s="37"/>
      <c r="DN67" s="37"/>
      <c r="DO67" s="37"/>
      <c r="DP67" s="37"/>
      <c r="DQ67" s="37"/>
      <c r="DR67" s="37"/>
      <c r="DS67" s="37"/>
      <c r="DT67" s="37"/>
      <c r="DU67" s="37"/>
      <c r="DV67" s="37"/>
      <c r="DW67" s="37"/>
      <c r="DX67" s="37"/>
      <c r="DY67" s="37"/>
      <c r="DZ67" s="37"/>
      <c r="EA67" s="37"/>
      <c r="EB67" s="37"/>
      <c r="EC67" s="37"/>
      <c r="ED67" s="37"/>
      <c r="EE67" s="37"/>
      <c r="EF67" s="37"/>
      <c r="EG67" s="37"/>
      <c r="EH67" s="37"/>
      <c r="EI67" s="37"/>
      <c r="EJ67" s="37"/>
      <c r="EK67" s="37"/>
      <c r="EL67" s="37"/>
      <c r="EM67" s="37"/>
      <c r="EN67" s="37"/>
      <c r="EO67" s="37"/>
      <c r="EP67" s="37"/>
      <c r="EQ67" s="37"/>
      <c r="ER67" s="37"/>
      <c r="ES67" s="37"/>
      <c r="ET67" s="37"/>
      <c r="EU67" s="37"/>
      <c r="EV67" s="37"/>
      <c r="EW67" s="37"/>
      <c r="EX67" s="37"/>
      <c r="EY67" s="37"/>
      <c r="EZ67" s="37"/>
      <c r="FA67" s="37"/>
      <c r="FB67" s="37"/>
      <c r="FC67" s="37"/>
      <c r="FD67" s="37"/>
      <c r="FE67" s="37"/>
      <c r="FF67" s="37"/>
      <c r="FG67" s="37"/>
      <c r="FH67" s="37"/>
      <c r="FI67" s="37"/>
      <c r="FJ67" s="37"/>
      <c r="FK67" s="37"/>
      <c r="FL67" s="37"/>
      <c r="FM67" s="37"/>
      <c r="FN67" s="37"/>
      <c r="FO67" s="37"/>
      <c r="FP67" s="37"/>
      <c r="FQ67" s="37"/>
      <c r="FR67" s="37"/>
      <c r="FS67" s="37"/>
      <c r="FT67" s="37"/>
      <c r="FU67" s="37"/>
      <c r="FV67" s="37"/>
      <c r="FW67" s="37"/>
      <c r="FX67" s="37"/>
      <c r="FY67" s="37"/>
      <c r="FZ67" s="37"/>
      <c r="GA67" s="37"/>
      <c r="GB67" s="37"/>
      <c r="GC67" s="37"/>
      <c r="GD67" s="37"/>
      <c r="GE67" s="37"/>
      <c r="GF67" s="37"/>
      <c r="GG67" s="37"/>
      <c r="GH67" s="37"/>
      <c r="GI67" s="37"/>
      <c r="GJ67" s="37"/>
      <c r="GK67" s="37"/>
      <c r="GL67" s="37"/>
      <c r="GM67" s="37"/>
      <c r="GN67" s="37"/>
      <c r="GO67" s="37"/>
      <c r="GP67" s="37"/>
      <c r="GQ67" s="37"/>
      <c r="GR67" s="37"/>
      <c r="GS67" s="37"/>
      <c r="GT67" s="37"/>
      <c r="GU67" s="37"/>
      <c r="GV67" s="37"/>
      <c r="GW67" s="37"/>
      <c r="GX67" s="37"/>
      <c r="GY67" s="37"/>
      <c r="GZ67" s="37"/>
      <c r="HA67" s="37"/>
      <c r="HB67" s="37"/>
      <c r="HC67" s="37"/>
      <c r="HD67" s="37"/>
      <c r="HE67" s="37"/>
      <c r="HF67" s="37"/>
      <c r="HG67" s="37"/>
      <c r="HH67" s="37"/>
      <c r="HI67" s="37"/>
      <c r="HJ67" s="37"/>
      <c r="HK67" s="37"/>
      <c r="HL67" s="37"/>
      <c r="HM67" s="37"/>
      <c r="HN67" s="37"/>
      <c r="HO67" s="37"/>
      <c r="HP67" s="37"/>
      <c r="HQ67" s="37"/>
      <c r="HR67" s="37"/>
      <c r="HS67" s="37"/>
      <c r="HT67" s="37"/>
      <c r="HU67" s="37"/>
      <c r="HV67" s="37"/>
      <c r="HW67" s="37"/>
      <c r="HX67" s="37"/>
      <c r="HY67" s="37"/>
      <c r="HZ67" s="37"/>
      <c r="IA67" s="37"/>
      <c r="IB67" s="37"/>
      <c r="IC67" s="37"/>
    </row>
    <row r="68" spans="1:237" s="40" customFormat="1" x14ac:dyDescent="0.2">
      <c r="A68" s="62"/>
      <c r="B68" s="63"/>
      <c r="J68" s="37"/>
      <c r="K68" s="37"/>
      <c r="L68" s="37"/>
      <c r="M68" s="37"/>
      <c r="N68" s="37"/>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37"/>
      <c r="CE68" s="37"/>
      <c r="CF68" s="37"/>
      <c r="CG68" s="37"/>
      <c r="CH68" s="37"/>
      <c r="CI68" s="37"/>
      <c r="CJ68" s="37"/>
      <c r="CK68" s="37"/>
      <c r="CL68" s="37"/>
      <c r="CM68" s="37"/>
      <c r="CN68" s="37"/>
      <c r="CO68" s="37"/>
      <c r="CP68" s="37"/>
      <c r="CQ68" s="37"/>
      <c r="CR68" s="37"/>
      <c r="CS68" s="37"/>
      <c r="CT68" s="37"/>
      <c r="CU68" s="37"/>
      <c r="CV68" s="37"/>
      <c r="CW68" s="37"/>
      <c r="CX68" s="37"/>
      <c r="CY68" s="37"/>
      <c r="CZ68" s="37"/>
      <c r="DA68" s="37"/>
      <c r="DB68" s="37"/>
      <c r="DC68" s="37"/>
      <c r="DD68" s="37"/>
      <c r="DE68" s="37"/>
      <c r="DF68" s="37"/>
      <c r="DG68" s="37"/>
      <c r="DH68" s="37"/>
      <c r="DI68" s="37"/>
      <c r="DJ68" s="37"/>
      <c r="DK68" s="37"/>
      <c r="DL68" s="37"/>
      <c r="DM68" s="37"/>
      <c r="DN68" s="37"/>
      <c r="DO68" s="37"/>
      <c r="DP68" s="37"/>
      <c r="DQ68" s="37"/>
      <c r="DR68" s="37"/>
      <c r="DS68" s="37"/>
      <c r="DT68" s="37"/>
      <c r="DU68" s="37"/>
      <c r="DV68" s="37"/>
      <c r="DW68" s="37"/>
      <c r="DX68" s="37"/>
      <c r="DY68" s="37"/>
      <c r="DZ68" s="37"/>
      <c r="EA68" s="37"/>
      <c r="EB68" s="37"/>
      <c r="EC68" s="37"/>
      <c r="ED68" s="37"/>
      <c r="EE68" s="37"/>
      <c r="EF68" s="37"/>
      <c r="EG68" s="37"/>
      <c r="EH68" s="37"/>
      <c r="EI68" s="37"/>
      <c r="EJ68" s="37"/>
      <c r="EK68" s="37"/>
      <c r="EL68" s="37"/>
      <c r="EM68" s="37"/>
      <c r="EN68" s="37"/>
      <c r="EO68" s="37"/>
      <c r="EP68" s="37"/>
      <c r="EQ68" s="37"/>
      <c r="ER68" s="37"/>
      <c r="ES68" s="37"/>
      <c r="ET68" s="37"/>
      <c r="EU68" s="37"/>
      <c r="EV68" s="37"/>
      <c r="EW68" s="37"/>
      <c r="EX68" s="37"/>
      <c r="EY68" s="37"/>
      <c r="EZ68" s="37"/>
      <c r="FA68" s="37"/>
      <c r="FB68" s="37"/>
      <c r="FC68" s="37"/>
      <c r="FD68" s="37"/>
      <c r="FE68" s="37"/>
      <c r="FF68" s="37"/>
      <c r="FG68" s="37"/>
      <c r="FH68" s="37"/>
      <c r="FI68" s="37"/>
      <c r="FJ68" s="37"/>
      <c r="FK68" s="37"/>
      <c r="FL68" s="37"/>
      <c r="FM68" s="37"/>
      <c r="FN68" s="37"/>
      <c r="FO68" s="37"/>
      <c r="FP68" s="37"/>
      <c r="FQ68" s="37"/>
      <c r="FR68" s="37"/>
      <c r="FS68" s="37"/>
      <c r="FT68" s="37"/>
      <c r="FU68" s="37"/>
      <c r="FV68" s="37"/>
      <c r="FW68" s="37"/>
      <c r="FX68" s="37"/>
      <c r="FY68" s="37"/>
      <c r="FZ68" s="37"/>
      <c r="GA68" s="37"/>
      <c r="GB68" s="37"/>
      <c r="GC68" s="37"/>
      <c r="GD68" s="37"/>
      <c r="GE68" s="37"/>
      <c r="GF68" s="37"/>
      <c r="GG68" s="37"/>
      <c r="GH68" s="37"/>
      <c r="GI68" s="37"/>
      <c r="GJ68" s="37"/>
      <c r="GK68" s="37"/>
      <c r="GL68" s="37"/>
      <c r="GM68" s="37"/>
      <c r="GN68" s="37"/>
      <c r="GO68" s="37"/>
      <c r="GP68" s="37"/>
      <c r="GQ68" s="37"/>
      <c r="GR68" s="37"/>
      <c r="GS68" s="37"/>
      <c r="GT68" s="37"/>
      <c r="GU68" s="37"/>
      <c r="GV68" s="37"/>
      <c r="GW68" s="37"/>
      <c r="GX68" s="37"/>
      <c r="GY68" s="37"/>
      <c r="GZ68" s="37"/>
      <c r="HA68" s="37"/>
      <c r="HB68" s="37"/>
      <c r="HC68" s="37"/>
      <c r="HD68" s="37"/>
      <c r="HE68" s="37"/>
      <c r="HF68" s="37"/>
      <c r="HG68" s="37"/>
      <c r="HH68" s="37"/>
      <c r="HI68" s="37"/>
      <c r="HJ68" s="37"/>
      <c r="HK68" s="37"/>
      <c r="HL68" s="37"/>
      <c r="HM68" s="37"/>
      <c r="HN68" s="37"/>
      <c r="HO68" s="37"/>
      <c r="HP68" s="37"/>
      <c r="HQ68" s="37"/>
      <c r="HR68" s="37"/>
      <c r="HS68" s="37"/>
      <c r="HT68" s="37"/>
      <c r="HU68" s="37"/>
      <c r="HV68" s="37"/>
      <c r="HW68" s="37"/>
      <c r="HX68" s="37"/>
      <c r="HY68" s="37"/>
      <c r="HZ68" s="37"/>
      <c r="IA68" s="37"/>
      <c r="IB68" s="37"/>
      <c r="IC68" s="37"/>
    </row>
    <row r="69" spans="1:237" s="40" customFormat="1" x14ac:dyDescent="0.2">
      <c r="A69" s="62"/>
      <c r="B69" s="63"/>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K69" s="37"/>
      <c r="DL69" s="37"/>
      <c r="DM69" s="37"/>
      <c r="DN69" s="37"/>
      <c r="DO69" s="37"/>
      <c r="DP69" s="37"/>
      <c r="DQ69" s="37"/>
      <c r="DR69" s="37"/>
      <c r="DS69" s="37"/>
      <c r="DT69" s="37"/>
      <c r="DU69" s="37"/>
      <c r="DV69" s="37"/>
      <c r="DW69" s="37"/>
      <c r="DX69" s="37"/>
      <c r="DY69" s="37"/>
      <c r="DZ69" s="37"/>
      <c r="EA69" s="37"/>
      <c r="EB69" s="37"/>
      <c r="EC69" s="37"/>
      <c r="ED69" s="37"/>
      <c r="EE69" s="37"/>
      <c r="EF69" s="37"/>
      <c r="EG69" s="37"/>
      <c r="EH69" s="37"/>
      <c r="EI69" s="37"/>
      <c r="EJ69" s="37"/>
      <c r="EK69" s="37"/>
      <c r="EL69" s="37"/>
      <c r="EM69" s="37"/>
      <c r="EN69" s="37"/>
      <c r="EO69" s="37"/>
      <c r="EP69" s="37"/>
      <c r="EQ69" s="37"/>
      <c r="ER69" s="37"/>
      <c r="ES69" s="37"/>
      <c r="ET69" s="37"/>
      <c r="EU69" s="37"/>
      <c r="EV69" s="37"/>
      <c r="EW69" s="37"/>
      <c r="EX69" s="37"/>
      <c r="EY69" s="37"/>
      <c r="EZ69" s="37"/>
      <c r="FA69" s="37"/>
      <c r="FB69" s="37"/>
      <c r="FC69" s="37"/>
      <c r="FD69" s="37"/>
      <c r="FE69" s="37"/>
      <c r="FF69" s="37"/>
      <c r="FG69" s="37"/>
      <c r="FH69" s="37"/>
      <c r="FI69" s="37"/>
      <c r="FJ69" s="37"/>
      <c r="FK69" s="37"/>
      <c r="FL69" s="37"/>
      <c r="FM69" s="37"/>
      <c r="FN69" s="37"/>
      <c r="FO69" s="37"/>
      <c r="FP69" s="37"/>
      <c r="FQ69" s="37"/>
      <c r="FR69" s="37"/>
      <c r="FS69" s="37"/>
      <c r="FT69" s="37"/>
      <c r="FU69" s="37"/>
      <c r="FV69" s="37"/>
      <c r="FW69" s="37"/>
      <c r="FX69" s="37"/>
      <c r="FY69" s="37"/>
      <c r="FZ69" s="37"/>
      <c r="GA69" s="37"/>
      <c r="GB69" s="37"/>
      <c r="GC69" s="37"/>
      <c r="GD69" s="37"/>
      <c r="GE69" s="37"/>
      <c r="GF69" s="37"/>
      <c r="GG69" s="37"/>
      <c r="GH69" s="37"/>
      <c r="GI69" s="37"/>
      <c r="GJ69" s="37"/>
      <c r="GK69" s="37"/>
      <c r="GL69" s="37"/>
      <c r="GM69" s="37"/>
      <c r="GN69" s="37"/>
      <c r="GO69" s="37"/>
      <c r="GP69" s="37"/>
      <c r="GQ69" s="37"/>
      <c r="GR69" s="37"/>
      <c r="GS69" s="37"/>
      <c r="GT69" s="37"/>
      <c r="GU69" s="37"/>
      <c r="GV69" s="37"/>
      <c r="GW69" s="37"/>
      <c r="GX69" s="37"/>
      <c r="GY69" s="37"/>
      <c r="GZ69" s="37"/>
      <c r="HA69" s="37"/>
      <c r="HB69" s="37"/>
      <c r="HC69" s="37"/>
      <c r="HD69" s="37"/>
      <c r="HE69" s="37"/>
      <c r="HF69" s="37"/>
      <c r="HG69" s="37"/>
      <c r="HH69" s="37"/>
      <c r="HI69" s="37"/>
      <c r="HJ69" s="37"/>
      <c r="HK69" s="37"/>
      <c r="HL69" s="37"/>
      <c r="HM69" s="37"/>
      <c r="HN69" s="37"/>
      <c r="HO69" s="37"/>
      <c r="HP69" s="37"/>
      <c r="HQ69" s="37"/>
      <c r="HR69" s="37"/>
      <c r="HS69" s="37"/>
      <c r="HT69" s="37"/>
      <c r="HU69" s="37"/>
      <c r="HV69" s="37"/>
      <c r="HW69" s="37"/>
      <c r="HX69" s="37"/>
      <c r="HY69" s="37"/>
      <c r="HZ69" s="37"/>
      <c r="IA69" s="37"/>
      <c r="IB69" s="37"/>
      <c r="IC69" s="37"/>
    </row>
    <row r="70" spans="1:237" s="40" customFormat="1" x14ac:dyDescent="0.2">
      <c r="A70" s="62"/>
      <c r="B70" s="63"/>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7"/>
      <c r="CF70" s="37"/>
      <c r="CG70" s="37"/>
      <c r="CH70" s="37"/>
      <c r="CI70" s="37"/>
      <c r="CJ70" s="37"/>
      <c r="CK70" s="37"/>
      <c r="CL70" s="37"/>
      <c r="CM70" s="37"/>
      <c r="CN70" s="37"/>
      <c r="CO70" s="37"/>
      <c r="CP70" s="37"/>
      <c r="CQ70" s="37"/>
      <c r="CR70" s="37"/>
      <c r="CS70" s="37"/>
      <c r="CT70" s="37"/>
      <c r="CU70" s="37"/>
      <c r="CV70" s="37"/>
      <c r="CW70" s="37"/>
      <c r="CX70" s="37"/>
      <c r="CY70" s="37"/>
      <c r="CZ70" s="37"/>
      <c r="DA70" s="37"/>
      <c r="DB70" s="37"/>
      <c r="DC70" s="37"/>
      <c r="DD70" s="37"/>
      <c r="DE70" s="37"/>
      <c r="DF70" s="37"/>
      <c r="DG70" s="37"/>
      <c r="DH70" s="37"/>
      <c r="DI70" s="37"/>
      <c r="DJ70" s="37"/>
      <c r="DK70" s="37"/>
      <c r="DL70" s="37"/>
      <c r="DM70" s="37"/>
      <c r="DN70" s="37"/>
      <c r="DO70" s="37"/>
      <c r="DP70" s="37"/>
      <c r="DQ70" s="37"/>
      <c r="DR70" s="37"/>
      <c r="DS70" s="37"/>
      <c r="DT70" s="37"/>
      <c r="DU70" s="37"/>
      <c r="DV70" s="37"/>
      <c r="DW70" s="37"/>
      <c r="DX70" s="37"/>
      <c r="DY70" s="37"/>
      <c r="DZ70" s="37"/>
      <c r="EA70" s="37"/>
      <c r="EB70" s="37"/>
      <c r="EC70" s="37"/>
      <c r="ED70" s="37"/>
      <c r="EE70" s="37"/>
      <c r="EF70" s="37"/>
      <c r="EG70" s="37"/>
      <c r="EH70" s="37"/>
      <c r="EI70" s="37"/>
      <c r="EJ70" s="37"/>
      <c r="EK70" s="37"/>
      <c r="EL70" s="37"/>
      <c r="EM70" s="37"/>
      <c r="EN70" s="37"/>
      <c r="EO70" s="37"/>
      <c r="EP70" s="37"/>
      <c r="EQ70" s="37"/>
      <c r="ER70" s="37"/>
      <c r="ES70" s="37"/>
      <c r="ET70" s="37"/>
      <c r="EU70" s="37"/>
      <c r="EV70" s="37"/>
      <c r="EW70" s="37"/>
      <c r="EX70" s="37"/>
      <c r="EY70" s="37"/>
      <c r="EZ70" s="37"/>
      <c r="FA70" s="37"/>
      <c r="FB70" s="37"/>
      <c r="FC70" s="37"/>
      <c r="FD70" s="37"/>
      <c r="FE70" s="37"/>
      <c r="FF70" s="37"/>
      <c r="FG70" s="37"/>
      <c r="FH70" s="37"/>
      <c r="FI70" s="37"/>
      <c r="FJ70" s="37"/>
      <c r="FK70" s="37"/>
      <c r="FL70" s="37"/>
      <c r="FM70" s="37"/>
      <c r="FN70" s="37"/>
      <c r="FO70" s="37"/>
      <c r="FP70" s="37"/>
      <c r="FQ70" s="37"/>
      <c r="FR70" s="37"/>
      <c r="FS70" s="37"/>
      <c r="FT70" s="37"/>
      <c r="FU70" s="37"/>
      <c r="FV70" s="37"/>
      <c r="FW70" s="37"/>
      <c r="FX70" s="37"/>
      <c r="FY70" s="37"/>
      <c r="FZ70" s="37"/>
      <c r="GA70" s="37"/>
      <c r="GB70" s="37"/>
      <c r="GC70" s="37"/>
      <c r="GD70" s="37"/>
      <c r="GE70" s="37"/>
      <c r="GF70" s="37"/>
      <c r="GG70" s="37"/>
      <c r="GH70" s="37"/>
      <c r="GI70" s="37"/>
      <c r="GJ70" s="37"/>
      <c r="GK70" s="37"/>
      <c r="GL70" s="37"/>
      <c r="GM70" s="37"/>
      <c r="GN70" s="37"/>
      <c r="GO70" s="37"/>
      <c r="GP70" s="37"/>
      <c r="GQ70" s="37"/>
      <c r="GR70" s="37"/>
      <c r="GS70" s="37"/>
      <c r="GT70" s="37"/>
      <c r="GU70" s="37"/>
      <c r="GV70" s="37"/>
      <c r="GW70" s="37"/>
      <c r="GX70" s="37"/>
      <c r="GY70" s="37"/>
      <c r="GZ70" s="37"/>
      <c r="HA70" s="37"/>
      <c r="HB70" s="37"/>
      <c r="HC70" s="37"/>
      <c r="HD70" s="37"/>
      <c r="HE70" s="37"/>
      <c r="HF70" s="37"/>
      <c r="HG70" s="37"/>
      <c r="HH70" s="37"/>
      <c r="HI70" s="37"/>
      <c r="HJ70" s="37"/>
      <c r="HK70" s="37"/>
      <c r="HL70" s="37"/>
      <c r="HM70" s="37"/>
      <c r="HN70" s="37"/>
      <c r="HO70" s="37"/>
      <c r="HP70" s="37"/>
      <c r="HQ70" s="37"/>
      <c r="HR70" s="37"/>
      <c r="HS70" s="37"/>
      <c r="HT70" s="37"/>
      <c r="HU70" s="37"/>
      <c r="HV70" s="37"/>
      <c r="HW70" s="37"/>
      <c r="HX70" s="37"/>
      <c r="HY70" s="37"/>
      <c r="HZ70" s="37"/>
      <c r="IA70" s="37"/>
      <c r="IB70" s="37"/>
      <c r="IC70" s="37"/>
    </row>
    <row r="71" spans="1:237" s="40" customFormat="1" x14ac:dyDescent="0.2">
      <c r="A71" s="62"/>
      <c r="B71" s="63"/>
      <c r="J71" s="37"/>
      <c r="K71" s="37"/>
      <c r="L71" s="37"/>
      <c r="M71" s="3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37"/>
      <c r="BL71" s="37"/>
      <c r="BM71" s="37"/>
      <c r="BN71" s="37"/>
      <c r="BO71" s="37"/>
      <c r="BP71" s="37"/>
      <c r="BQ71" s="37"/>
      <c r="BR71" s="37"/>
      <c r="BS71" s="37"/>
      <c r="BT71" s="37"/>
      <c r="BU71" s="37"/>
      <c r="BV71" s="37"/>
      <c r="BW71" s="37"/>
      <c r="BX71" s="37"/>
      <c r="BY71" s="37"/>
      <c r="BZ71" s="37"/>
      <c r="CA71" s="37"/>
      <c r="CB71" s="37"/>
      <c r="CC71" s="37"/>
      <c r="CD71" s="37"/>
      <c r="CE71" s="37"/>
      <c r="CF71" s="37"/>
      <c r="CG71" s="37"/>
      <c r="CH71" s="37"/>
      <c r="CI71" s="37"/>
      <c r="CJ71" s="37"/>
      <c r="CK71" s="37"/>
      <c r="CL71" s="37"/>
      <c r="CM71" s="37"/>
      <c r="CN71" s="37"/>
      <c r="CO71" s="37"/>
      <c r="CP71" s="37"/>
      <c r="CQ71" s="37"/>
      <c r="CR71" s="37"/>
      <c r="CS71" s="37"/>
      <c r="CT71" s="37"/>
      <c r="CU71" s="37"/>
      <c r="CV71" s="37"/>
      <c r="CW71" s="37"/>
      <c r="CX71" s="37"/>
      <c r="CY71" s="37"/>
      <c r="CZ71" s="37"/>
      <c r="DA71" s="37"/>
      <c r="DB71" s="37"/>
      <c r="DC71" s="37"/>
      <c r="DD71" s="37"/>
      <c r="DE71" s="37"/>
      <c r="DF71" s="37"/>
      <c r="DG71" s="37"/>
      <c r="DH71" s="37"/>
      <c r="DI71" s="37"/>
      <c r="DJ71" s="37"/>
      <c r="DK71" s="37"/>
      <c r="DL71" s="37"/>
      <c r="DM71" s="37"/>
      <c r="DN71" s="37"/>
      <c r="DO71" s="37"/>
      <c r="DP71" s="37"/>
      <c r="DQ71" s="37"/>
      <c r="DR71" s="37"/>
      <c r="DS71" s="37"/>
      <c r="DT71" s="37"/>
      <c r="DU71" s="37"/>
      <c r="DV71" s="37"/>
      <c r="DW71" s="37"/>
      <c r="DX71" s="37"/>
      <c r="DY71" s="37"/>
      <c r="DZ71" s="37"/>
      <c r="EA71" s="37"/>
      <c r="EB71" s="37"/>
      <c r="EC71" s="37"/>
      <c r="ED71" s="37"/>
      <c r="EE71" s="37"/>
      <c r="EF71" s="37"/>
      <c r="EG71" s="37"/>
      <c r="EH71" s="37"/>
      <c r="EI71" s="37"/>
      <c r="EJ71" s="37"/>
      <c r="EK71" s="37"/>
      <c r="EL71" s="37"/>
      <c r="EM71" s="37"/>
      <c r="EN71" s="37"/>
      <c r="EO71" s="37"/>
      <c r="EP71" s="37"/>
      <c r="EQ71" s="37"/>
      <c r="ER71" s="37"/>
      <c r="ES71" s="37"/>
      <c r="ET71" s="37"/>
      <c r="EU71" s="37"/>
      <c r="EV71" s="37"/>
      <c r="EW71" s="37"/>
      <c r="EX71" s="37"/>
      <c r="EY71" s="37"/>
      <c r="EZ71" s="37"/>
      <c r="FA71" s="37"/>
      <c r="FB71" s="37"/>
      <c r="FC71" s="37"/>
      <c r="FD71" s="37"/>
      <c r="FE71" s="37"/>
      <c r="FF71" s="37"/>
      <c r="FG71" s="37"/>
      <c r="FH71" s="37"/>
      <c r="FI71" s="37"/>
      <c r="FJ71" s="37"/>
      <c r="FK71" s="37"/>
      <c r="FL71" s="37"/>
      <c r="FM71" s="37"/>
      <c r="FN71" s="37"/>
      <c r="FO71" s="37"/>
      <c r="FP71" s="37"/>
      <c r="FQ71" s="37"/>
      <c r="FR71" s="37"/>
      <c r="FS71" s="37"/>
      <c r="FT71" s="37"/>
      <c r="FU71" s="37"/>
      <c r="FV71" s="37"/>
      <c r="FW71" s="37"/>
      <c r="FX71" s="37"/>
      <c r="FY71" s="37"/>
      <c r="FZ71" s="37"/>
      <c r="GA71" s="37"/>
      <c r="GB71" s="37"/>
      <c r="GC71" s="37"/>
      <c r="GD71" s="37"/>
      <c r="GE71" s="37"/>
      <c r="GF71" s="37"/>
      <c r="GG71" s="37"/>
      <c r="GH71" s="37"/>
      <c r="GI71" s="37"/>
      <c r="GJ71" s="37"/>
      <c r="GK71" s="37"/>
      <c r="GL71" s="37"/>
      <c r="GM71" s="37"/>
      <c r="GN71" s="37"/>
      <c r="GO71" s="37"/>
      <c r="GP71" s="37"/>
      <c r="GQ71" s="37"/>
      <c r="GR71" s="37"/>
      <c r="GS71" s="37"/>
      <c r="GT71" s="37"/>
      <c r="GU71" s="37"/>
      <c r="GV71" s="37"/>
      <c r="GW71" s="37"/>
      <c r="GX71" s="37"/>
      <c r="GY71" s="37"/>
      <c r="GZ71" s="37"/>
      <c r="HA71" s="37"/>
      <c r="HB71" s="37"/>
      <c r="HC71" s="37"/>
      <c r="HD71" s="37"/>
      <c r="HE71" s="37"/>
      <c r="HF71" s="37"/>
      <c r="HG71" s="37"/>
      <c r="HH71" s="37"/>
      <c r="HI71" s="37"/>
      <c r="HJ71" s="37"/>
      <c r="HK71" s="37"/>
      <c r="HL71" s="37"/>
      <c r="HM71" s="37"/>
      <c r="HN71" s="37"/>
      <c r="HO71" s="37"/>
      <c r="HP71" s="37"/>
      <c r="HQ71" s="37"/>
      <c r="HR71" s="37"/>
      <c r="HS71" s="37"/>
      <c r="HT71" s="37"/>
      <c r="HU71" s="37"/>
      <c r="HV71" s="37"/>
      <c r="HW71" s="37"/>
      <c r="HX71" s="37"/>
      <c r="HY71" s="37"/>
      <c r="HZ71" s="37"/>
      <c r="IA71" s="37"/>
      <c r="IB71" s="37"/>
      <c r="IC71" s="37"/>
    </row>
    <row r="72" spans="1:237" s="40" customFormat="1" x14ac:dyDescent="0.2">
      <c r="A72" s="62"/>
      <c r="B72" s="63"/>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K72" s="37"/>
      <c r="DL72" s="37"/>
      <c r="DM72" s="37"/>
      <c r="DN72" s="37"/>
      <c r="DO72" s="37"/>
      <c r="DP72" s="37"/>
      <c r="DQ72" s="37"/>
      <c r="DR72" s="37"/>
      <c r="DS72" s="37"/>
      <c r="DT72" s="37"/>
      <c r="DU72" s="37"/>
      <c r="DV72" s="37"/>
      <c r="DW72" s="37"/>
      <c r="DX72" s="37"/>
      <c r="DY72" s="37"/>
      <c r="DZ72" s="37"/>
      <c r="EA72" s="37"/>
      <c r="EB72" s="37"/>
      <c r="EC72" s="37"/>
      <c r="ED72" s="37"/>
      <c r="EE72" s="37"/>
      <c r="EF72" s="37"/>
      <c r="EG72" s="37"/>
      <c r="EH72" s="37"/>
      <c r="EI72" s="37"/>
      <c r="EJ72" s="37"/>
      <c r="EK72" s="37"/>
      <c r="EL72" s="37"/>
      <c r="EM72" s="37"/>
      <c r="EN72" s="37"/>
      <c r="EO72" s="37"/>
      <c r="EP72" s="37"/>
      <c r="EQ72" s="37"/>
      <c r="ER72" s="37"/>
      <c r="ES72" s="37"/>
      <c r="ET72" s="37"/>
      <c r="EU72" s="37"/>
      <c r="EV72" s="37"/>
      <c r="EW72" s="37"/>
      <c r="EX72" s="37"/>
      <c r="EY72" s="37"/>
      <c r="EZ72" s="37"/>
      <c r="FA72" s="37"/>
      <c r="FB72" s="37"/>
      <c r="FC72" s="37"/>
      <c r="FD72" s="37"/>
      <c r="FE72" s="37"/>
      <c r="FF72" s="37"/>
      <c r="FG72" s="37"/>
      <c r="FH72" s="37"/>
      <c r="FI72" s="37"/>
      <c r="FJ72" s="37"/>
      <c r="FK72" s="37"/>
      <c r="FL72" s="37"/>
      <c r="FM72" s="37"/>
      <c r="FN72" s="37"/>
      <c r="FO72" s="37"/>
      <c r="FP72" s="37"/>
      <c r="FQ72" s="37"/>
      <c r="FR72" s="37"/>
      <c r="FS72" s="37"/>
      <c r="FT72" s="37"/>
      <c r="FU72" s="37"/>
      <c r="FV72" s="37"/>
      <c r="FW72" s="37"/>
      <c r="FX72" s="37"/>
      <c r="FY72" s="37"/>
      <c r="FZ72" s="37"/>
      <c r="GA72" s="37"/>
      <c r="GB72" s="37"/>
      <c r="GC72" s="37"/>
      <c r="GD72" s="37"/>
      <c r="GE72" s="37"/>
      <c r="GF72" s="37"/>
      <c r="GG72" s="37"/>
      <c r="GH72" s="37"/>
      <c r="GI72" s="37"/>
      <c r="GJ72" s="37"/>
      <c r="GK72" s="37"/>
      <c r="GL72" s="37"/>
      <c r="GM72" s="37"/>
      <c r="GN72" s="37"/>
      <c r="GO72" s="37"/>
      <c r="GP72" s="37"/>
      <c r="GQ72" s="37"/>
      <c r="GR72" s="37"/>
      <c r="GS72" s="37"/>
      <c r="GT72" s="37"/>
      <c r="GU72" s="37"/>
      <c r="GV72" s="37"/>
      <c r="GW72" s="37"/>
      <c r="GX72" s="37"/>
      <c r="GY72" s="37"/>
      <c r="GZ72" s="37"/>
      <c r="HA72" s="37"/>
      <c r="HB72" s="37"/>
      <c r="HC72" s="37"/>
      <c r="HD72" s="37"/>
      <c r="HE72" s="37"/>
      <c r="HF72" s="37"/>
      <c r="HG72" s="37"/>
      <c r="HH72" s="37"/>
      <c r="HI72" s="37"/>
      <c r="HJ72" s="37"/>
      <c r="HK72" s="37"/>
      <c r="HL72" s="37"/>
      <c r="HM72" s="37"/>
      <c r="HN72" s="37"/>
      <c r="HO72" s="37"/>
      <c r="HP72" s="37"/>
      <c r="HQ72" s="37"/>
      <c r="HR72" s="37"/>
      <c r="HS72" s="37"/>
      <c r="HT72" s="37"/>
      <c r="HU72" s="37"/>
      <c r="HV72" s="37"/>
      <c r="HW72" s="37"/>
      <c r="HX72" s="37"/>
      <c r="HY72" s="37"/>
      <c r="HZ72" s="37"/>
      <c r="IA72" s="37"/>
      <c r="IB72" s="37"/>
      <c r="IC72" s="37"/>
    </row>
    <row r="73" spans="1:237" s="40" customFormat="1" x14ac:dyDescent="0.2">
      <c r="A73" s="62"/>
      <c r="B73" s="63"/>
      <c r="D73" s="57" t="str">
        <f>"El Campello, "&amp; DAY(FECHA!$C$8) &amp; " de " &amp; VLOOKUP(MONTH(FECHA!$C$8),FECHA!$K$2:$L$13,2) &amp; " de " &amp; YEAR(FECHA!$C$8)</f>
        <v>El Campello, 5 de Septiembre de 2025</v>
      </c>
      <c r="J73" s="37"/>
      <c r="K73" s="37"/>
      <c r="L73" s="37"/>
      <c r="M73" s="3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c r="CF73" s="37"/>
      <c r="CG73" s="37"/>
      <c r="CH73" s="37"/>
      <c r="CI73" s="37"/>
      <c r="CJ73" s="37"/>
      <c r="CK73" s="37"/>
      <c r="CL73" s="37"/>
      <c r="CM73" s="37"/>
      <c r="CN73" s="37"/>
      <c r="CO73" s="37"/>
      <c r="CP73" s="37"/>
      <c r="CQ73" s="37"/>
      <c r="CR73" s="37"/>
      <c r="CS73" s="37"/>
      <c r="CT73" s="37"/>
      <c r="CU73" s="37"/>
      <c r="CV73" s="37"/>
      <c r="CW73" s="37"/>
      <c r="CX73" s="37"/>
      <c r="CY73" s="37"/>
      <c r="CZ73" s="37"/>
      <c r="DA73" s="37"/>
      <c r="DB73" s="37"/>
      <c r="DC73" s="37"/>
      <c r="DD73" s="37"/>
      <c r="DE73" s="37"/>
      <c r="DF73" s="37"/>
      <c r="DG73" s="37"/>
      <c r="DH73" s="37"/>
      <c r="DI73" s="37"/>
      <c r="DJ73" s="37"/>
      <c r="DK73" s="37"/>
      <c r="DL73" s="37"/>
      <c r="DM73" s="37"/>
      <c r="DN73" s="37"/>
      <c r="DO73" s="37"/>
      <c r="DP73" s="37"/>
      <c r="DQ73" s="37"/>
      <c r="DR73" s="37"/>
      <c r="DS73" s="37"/>
      <c r="DT73" s="37"/>
      <c r="DU73" s="37"/>
      <c r="DV73" s="37"/>
      <c r="DW73" s="37"/>
      <c r="DX73" s="37"/>
      <c r="DY73" s="37"/>
      <c r="DZ73" s="37"/>
      <c r="EA73" s="37"/>
      <c r="EB73" s="37"/>
      <c r="EC73" s="37"/>
      <c r="ED73" s="37"/>
      <c r="EE73" s="37"/>
      <c r="EF73" s="37"/>
      <c r="EG73" s="37"/>
      <c r="EH73" s="37"/>
      <c r="EI73" s="37"/>
      <c r="EJ73" s="37"/>
      <c r="EK73" s="37"/>
      <c r="EL73" s="37"/>
      <c r="EM73" s="37"/>
      <c r="EN73" s="37"/>
      <c r="EO73" s="37"/>
      <c r="EP73" s="37"/>
      <c r="EQ73" s="37"/>
      <c r="ER73" s="37"/>
      <c r="ES73" s="37"/>
      <c r="ET73" s="37"/>
      <c r="EU73" s="37"/>
      <c r="EV73" s="37"/>
      <c r="EW73" s="37"/>
      <c r="EX73" s="37"/>
      <c r="EY73" s="37"/>
      <c r="EZ73" s="37"/>
      <c r="FA73" s="37"/>
      <c r="FB73" s="37"/>
      <c r="FC73" s="37"/>
      <c r="FD73" s="37"/>
      <c r="FE73" s="37"/>
      <c r="FF73" s="37"/>
      <c r="FG73" s="37"/>
      <c r="FH73" s="37"/>
      <c r="FI73" s="37"/>
      <c r="FJ73" s="37"/>
      <c r="FK73" s="37"/>
      <c r="FL73" s="37"/>
      <c r="FM73" s="37"/>
      <c r="FN73" s="37"/>
      <c r="FO73" s="37"/>
      <c r="FP73" s="37"/>
      <c r="FQ73" s="37"/>
      <c r="FR73" s="37"/>
      <c r="FS73" s="37"/>
      <c r="FT73" s="37"/>
      <c r="FU73" s="37"/>
      <c r="FV73" s="37"/>
      <c r="FW73" s="37"/>
      <c r="FX73" s="37"/>
      <c r="FY73" s="37"/>
      <c r="FZ73" s="37"/>
      <c r="GA73" s="37"/>
      <c r="GB73" s="37"/>
      <c r="GC73" s="37"/>
      <c r="GD73" s="37"/>
      <c r="GE73" s="37"/>
      <c r="GF73" s="37"/>
      <c r="GG73" s="37"/>
      <c r="GH73" s="37"/>
      <c r="GI73" s="37"/>
      <c r="GJ73" s="37"/>
      <c r="GK73" s="37"/>
      <c r="GL73" s="37"/>
      <c r="GM73" s="37"/>
      <c r="GN73" s="37"/>
      <c r="GO73" s="37"/>
      <c r="GP73" s="37"/>
      <c r="GQ73" s="37"/>
      <c r="GR73" s="37"/>
      <c r="GS73" s="37"/>
      <c r="GT73" s="37"/>
      <c r="GU73" s="37"/>
      <c r="GV73" s="37"/>
      <c r="GW73" s="37"/>
      <c r="GX73" s="37"/>
      <c r="GY73" s="37"/>
      <c r="GZ73" s="37"/>
      <c r="HA73" s="37"/>
      <c r="HB73" s="37"/>
      <c r="HC73" s="37"/>
      <c r="HD73" s="37"/>
      <c r="HE73" s="37"/>
      <c r="HF73" s="37"/>
      <c r="HG73" s="37"/>
      <c r="HH73" s="37"/>
      <c r="HI73" s="37"/>
      <c r="HJ73" s="37"/>
      <c r="HK73" s="37"/>
      <c r="HL73" s="37"/>
      <c r="HM73" s="37"/>
      <c r="HN73" s="37"/>
      <c r="HO73" s="37"/>
      <c r="HP73" s="37"/>
      <c r="HQ73" s="37"/>
      <c r="HR73" s="37"/>
      <c r="HS73" s="37"/>
      <c r="HT73" s="37"/>
      <c r="HU73" s="37"/>
      <c r="HV73" s="37"/>
      <c r="HW73" s="37"/>
      <c r="HX73" s="37"/>
      <c r="HY73" s="37"/>
      <c r="HZ73" s="37"/>
      <c r="IA73" s="37"/>
      <c r="IB73" s="37"/>
      <c r="IC73" s="37"/>
    </row>
    <row r="74" spans="1:237" s="40" customFormat="1" x14ac:dyDescent="0.2">
      <c r="A74" s="62"/>
      <c r="B74" s="63"/>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c r="CA74" s="37"/>
      <c r="CB74" s="37"/>
      <c r="CC74" s="37"/>
      <c r="CD74" s="37"/>
      <c r="CE74" s="37"/>
      <c r="CF74" s="37"/>
      <c r="CG74" s="37"/>
      <c r="CH74" s="37"/>
      <c r="CI74" s="37"/>
      <c r="CJ74" s="37"/>
      <c r="CK74" s="37"/>
      <c r="CL74" s="37"/>
      <c r="CM74" s="37"/>
      <c r="CN74" s="37"/>
      <c r="CO74" s="37"/>
      <c r="CP74" s="37"/>
      <c r="CQ74" s="37"/>
      <c r="CR74" s="37"/>
      <c r="CS74" s="37"/>
      <c r="CT74" s="37"/>
      <c r="CU74" s="37"/>
      <c r="CV74" s="37"/>
      <c r="CW74" s="37"/>
      <c r="CX74" s="37"/>
      <c r="CY74" s="37"/>
      <c r="CZ74" s="37"/>
      <c r="DA74" s="37"/>
      <c r="DB74" s="37"/>
      <c r="DC74" s="37"/>
      <c r="DD74" s="37"/>
      <c r="DE74" s="37"/>
      <c r="DF74" s="37"/>
      <c r="DG74" s="37"/>
      <c r="DH74" s="37"/>
      <c r="DI74" s="37"/>
      <c r="DJ74" s="37"/>
      <c r="DK74" s="37"/>
      <c r="DL74" s="37"/>
      <c r="DM74" s="37"/>
      <c r="DN74" s="37"/>
      <c r="DO74" s="37"/>
      <c r="DP74" s="37"/>
      <c r="DQ74" s="37"/>
      <c r="DR74" s="37"/>
      <c r="DS74" s="37"/>
      <c r="DT74" s="37"/>
      <c r="DU74" s="37"/>
      <c r="DV74" s="37"/>
      <c r="DW74" s="37"/>
      <c r="DX74" s="37"/>
      <c r="DY74" s="37"/>
      <c r="DZ74" s="37"/>
      <c r="EA74" s="37"/>
      <c r="EB74" s="37"/>
      <c r="EC74" s="37"/>
      <c r="ED74" s="37"/>
      <c r="EE74" s="37"/>
      <c r="EF74" s="37"/>
      <c r="EG74" s="37"/>
      <c r="EH74" s="37"/>
      <c r="EI74" s="37"/>
      <c r="EJ74" s="37"/>
      <c r="EK74" s="37"/>
      <c r="EL74" s="37"/>
      <c r="EM74" s="37"/>
      <c r="EN74" s="37"/>
      <c r="EO74" s="37"/>
      <c r="EP74" s="37"/>
      <c r="EQ74" s="37"/>
      <c r="ER74" s="37"/>
      <c r="ES74" s="37"/>
      <c r="ET74" s="37"/>
      <c r="EU74" s="37"/>
      <c r="EV74" s="37"/>
      <c r="EW74" s="37"/>
      <c r="EX74" s="37"/>
      <c r="EY74" s="37"/>
      <c r="EZ74" s="37"/>
      <c r="FA74" s="37"/>
      <c r="FB74" s="37"/>
      <c r="FC74" s="37"/>
      <c r="FD74" s="37"/>
      <c r="FE74" s="37"/>
      <c r="FF74" s="37"/>
      <c r="FG74" s="37"/>
      <c r="FH74" s="37"/>
      <c r="FI74" s="37"/>
      <c r="FJ74" s="37"/>
      <c r="FK74" s="37"/>
      <c r="FL74" s="37"/>
      <c r="FM74" s="37"/>
      <c r="FN74" s="37"/>
      <c r="FO74" s="37"/>
      <c r="FP74" s="37"/>
      <c r="FQ74" s="37"/>
      <c r="FR74" s="37"/>
      <c r="FS74" s="37"/>
      <c r="FT74" s="37"/>
      <c r="FU74" s="37"/>
      <c r="FV74" s="37"/>
      <c r="FW74" s="37"/>
      <c r="FX74" s="37"/>
      <c r="FY74" s="37"/>
      <c r="FZ74" s="37"/>
      <c r="GA74" s="37"/>
      <c r="GB74" s="37"/>
      <c r="GC74" s="37"/>
      <c r="GD74" s="37"/>
      <c r="GE74" s="37"/>
      <c r="GF74" s="37"/>
      <c r="GG74" s="37"/>
      <c r="GH74" s="37"/>
      <c r="GI74" s="37"/>
      <c r="GJ74" s="37"/>
      <c r="GK74" s="37"/>
      <c r="GL74" s="37"/>
      <c r="GM74" s="37"/>
      <c r="GN74" s="37"/>
      <c r="GO74" s="37"/>
      <c r="GP74" s="37"/>
      <c r="GQ74" s="37"/>
      <c r="GR74" s="37"/>
      <c r="GS74" s="37"/>
      <c r="GT74" s="37"/>
      <c r="GU74" s="37"/>
      <c r="GV74" s="37"/>
      <c r="GW74" s="37"/>
      <c r="GX74" s="37"/>
      <c r="GY74" s="37"/>
      <c r="GZ74" s="37"/>
      <c r="HA74" s="37"/>
      <c r="HB74" s="37"/>
      <c r="HC74" s="37"/>
      <c r="HD74" s="37"/>
      <c r="HE74" s="37"/>
      <c r="HF74" s="37"/>
      <c r="HG74" s="37"/>
      <c r="HH74" s="37"/>
      <c r="HI74" s="37"/>
      <c r="HJ74" s="37"/>
      <c r="HK74" s="37"/>
      <c r="HL74" s="37"/>
      <c r="HM74" s="37"/>
      <c r="HN74" s="37"/>
      <c r="HO74" s="37"/>
      <c r="HP74" s="37"/>
      <c r="HQ74" s="37"/>
      <c r="HR74" s="37"/>
      <c r="HS74" s="37"/>
      <c r="HT74" s="37"/>
      <c r="HU74" s="37"/>
      <c r="HV74" s="37"/>
      <c r="HW74" s="37"/>
      <c r="HX74" s="37"/>
      <c r="HY74" s="37"/>
      <c r="HZ74" s="37"/>
      <c r="IA74" s="37"/>
      <c r="IB74" s="37"/>
      <c r="IC74" s="37"/>
    </row>
    <row r="75" spans="1:237" s="40" customFormat="1" x14ac:dyDescent="0.2">
      <c r="A75" s="62"/>
      <c r="B75" s="63"/>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K75" s="37"/>
      <c r="DL75" s="37"/>
      <c r="DM75" s="37"/>
      <c r="DN75" s="37"/>
      <c r="DO75" s="37"/>
      <c r="DP75" s="37"/>
      <c r="DQ75" s="37"/>
      <c r="DR75" s="37"/>
      <c r="DS75" s="37"/>
      <c r="DT75" s="37"/>
      <c r="DU75" s="37"/>
      <c r="DV75" s="37"/>
      <c r="DW75" s="37"/>
      <c r="DX75" s="37"/>
      <c r="DY75" s="37"/>
      <c r="DZ75" s="37"/>
      <c r="EA75" s="37"/>
      <c r="EB75" s="37"/>
      <c r="EC75" s="37"/>
      <c r="ED75" s="37"/>
      <c r="EE75" s="37"/>
      <c r="EF75" s="37"/>
      <c r="EG75" s="37"/>
      <c r="EH75" s="37"/>
      <c r="EI75" s="37"/>
      <c r="EJ75" s="37"/>
      <c r="EK75" s="37"/>
      <c r="EL75" s="37"/>
      <c r="EM75" s="37"/>
      <c r="EN75" s="37"/>
      <c r="EO75" s="37"/>
      <c r="EP75" s="37"/>
      <c r="EQ75" s="37"/>
      <c r="ER75" s="37"/>
      <c r="ES75" s="37"/>
      <c r="ET75" s="37"/>
      <c r="EU75" s="37"/>
      <c r="EV75" s="37"/>
      <c r="EW75" s="37"/>
      <c r="EX75" s="37"/>
      <c r="EY75" s="37"/>
      <c r="EZ75" s="37"/>
      <c r="FA75" s="37"/>
      <c r="FB75" s="37"/>
      <c r="FC75" s="37"/>
      <c r="FD75" s="37"/>
      <c r="FE75" s="37"/>
      <c r="FF75" s="37"/>
      <c r="FG75" s="37"/>
      <c r="FH75" s="37"/>
      <c r="FI75" s="37"/>
      <c r="FJ75" s="37"/>
      <c r="FK75" s="37"/>
      <c r="FL75" s="37"/>
      <c r="FM75" s="37"/>
      <c r="FN75" s="37"/>
      <c r="FO75" s="37"/>
      <c r="FP75" s="37"/>
      <c r="FQ75" s="37"/>
      <c r="FR75" s="37"/>
      <c r="FS75" s="37"/>
      <c r="FT75" s="37"/>
      <c r="FU75" s="37"/>
      <c r="FV75" s="37"/>
      <c r="FW75" s="37"/>
      <c r="FX75" s="37"/>
      <c r="FY75" s="37"/>
      <c r="FZ75" s="37"/>
      <c r="GA75" s="37"/>
      <c r="GB75" s="37"/>
      <c r="GC75" s="37"/>
      <c r="GD75" s="37"/>
      <c r="GE75" s="37"/>
      <c r="GF75" s="37"/>
      <c r="GG75" s="37"/>
      <c r="GH75" s="37"/>
      <c r="GI75" s="37"/>
      <c r="GJ75" s="37"/>
      <c r="GK75" s="37"/>
      <c r="GL75" s="37"/>
      <c r="GM75" s="37"/>
      <c r="GN75" s="37"/>
      <c r="GO75" s="37"/>
      <c r="GP75" s="37"/>
      <c r="GQ75" s="37"/>
      <c r="GR75" s="37"/>
      <c r="GS75" s="37"/>
      <c r="GT75" s="37"/>
      <c r="GU75" s="37"/>
      <c r="GV75" s="37"/>
      <c r="GW75" s="37"/>
      <c r="GX75" s="37"/>
      <c r="GY75" s="37"/>
      <c r="GZ75" s="37"/>
      <c r="HA75" s="37"/>
      <c r="HB75" s="37"/>
      <c r="HC75" s="37"/>
      <c r="HD75" s="37"/>
      <c r="HE75" s="37"/>
      <c r="HF75" s="37"/>
      <c r="HG75" s="37"/>
      <c r="HH75" s="37"/>
      <c r="HI75" s="37"/>
      <c r="HJ75" s="37"/>
      <c r="HK75" s="37"/>
      <c r="HL75" s="37"/>
      <c r="HM75" s="37"/>
      <c r="HN75" s="37"/>
      <c r="HO75" s="37"/>
      <c r="HP75" s="37"/>
      <c r="HQ75" s="37"/>
      <c r="HR75" s="37"/>
      <c r="HS75" s="37"/>
      <c r="HT75" s="37"/>
      <c r="HU75" s="37"/>
      <c r="HV75" s="37"/>
      <c r="HW75" s="37"/>
      <c r="HX75" s="37"/>
      <c r="HY75" s="37"/>
      <c r="HZ75" s="37"/>
      <c r="IA75" s="37"/>
      <c r="IB75" s="37"/>
      <c r="IC75" s="37"/>
    </row>
    <row r="76" spans="1:237" s="40" customFormat="1" x14ac:dyDescent="0.2">
      <c r="A76" s="62"/>
      <c r="B76" s="63"/>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c r="CA76" s="37"/>
      <c r="CB76" s="37"/>
      <c r="CC76" s="37"/>
      <c r="CD76" s="37"/>
      <c r="CE76" s="37"/>
      <c r="CF76" s="37"/>
      <c r="CG76" s="37"/>
      <c r="CH76" s="37"/>
      <c r="CI76" s="37"/>
      <c r="CJ76" s="37"/>
      <c r="CK76" s="37"/>
      <c r="CL76" s="37"/>
      <c r="CM76" s="37"/>
      <c r="CN76" s="37"/>
      <c r="CO76" s="37"/>
      <c r="CP76" s="37"/>
      <c r="CQ76" s="37"/>
      <c r="CR76" s="37"/>
      <c r="CS76" s="37"/>
      <c r="CT76" s="37"/>
      <c r="CU76" s="37"/>
      <c r="CV76" s="37"/>
      <c r="CW76" s="37"/>
      <c r="CX76" s="37"/>
      <c r="CY76" s="37"/>
      <c r="CZ76" s="37"/>
      <c r="DA76" s="37"/>
      <c r="DB76" s="37"/>
      <c r="DC76" s="37"/>
      <c r="DD76" s="37"/>
      <c r="DE76" s="37"/>
      <c r="DF76" s="37"/>
      <c r="DG76" s="37"/>
      <c r="DH76" s="37"/>
      <c r="DI76" s="37"/>
      <c r="DJ76" s="37"/>
      <c r="DK76" s="37"/>
      <c r="DL76" s="37"/>
      <c r="DM76" s="37"/>
      <c r="DN76" s="37"/>
      <c r="DO76" s="37"/>
      <c r="DP76" s="37"/>
      <c r="DQ76" s="37"/>
      <c r="DR76" s="37"/>
      <c r="DS76" s="37"/>
      <c r="DT76" s="37"/>
      <c r="DU76" s="37"/>
      <c r="DV76" s="37"/>
      <c r="DW76" s="37"/>
      <c r="DX76" s="37"/>
      <c r="DY76" s="37"/>
      <c r="DZ76" s="37"/>
      <c r="EA76" s="37"/>
      <c r="EB76" s="37"/>
      <c r="EC76" s="37"/>
      <c r="ED76" s="37"/>
      <c r="EE76" s="37"/>
      <c r="EF76" s="37"/>
      <c r="EG76" s="37"/>
      <c r="EH76" s="37"/>
      <c r="EI76" s="37"/>
      <c r="EJ76" s="37"/>
      <c r="EK76" s="37"/>
      <c r="EL76" s="37"/>
      <c r="EM76" s="37"/>
      <c r="EN76" s="37"/>
      <c r="EO76" s="37"/>
      <c r="EP76" s="37"/>
      <c r="EQ76" s="37"/>
      <c r="ER76" s="37"/>
      <c r="ES76" s="37"/>
      <c r="ET76" s="37"/>
      <c r="EU76" s="37"/>
      <c r="EV76" s="37"/>
      <c r="EW76" s="37"/>
      <c r="EX76" s="37"/>
      <c r="EY76" s="37"/>
      <c r="EZ76" s="37"/>
      <c r="FA76" s="37"/>
      <c r="FB76" s="37"/>
      <c r="FC76" s="37"/>
      <c r="FD76" s="37"/>
      <c r="FE76" s="37"/>
      <c r="FF76" s="37"/>
      <c r="FG76" s="37"/>
      <c r="FH76" s="37"/>
      <c r="FI76" s="37"/>
      <c r="FJ76" s="37"/>
      <c r="FK76" s="37"/>
      <c r="FL76" s="37"/>
      <c r="FM76" s="37"/>
      <c r="FN76" s="37"/>
      <c r="FO76" s="37"/>
      <c r="FP76" s="37"/>
      <c r="FQ76" s="37"/>
      <c r="FR76" s="37"/>
      <c r="FS76" s="37"/>
      <c r="FT76" s="37"/>
      <c r="FU76" s="37"/>
      <c r="FV76" s="37"/>
      <c r="FW76" s="37"/>
      <c r="FX76" s="37"/>
      <c r="FY76" s="37"/>
      <c r="FZ76" s="37"/>
      <c r="GA76" s="37"/>
      <c r="GB76" s="37"/>
      <c r="GC76" s="37"/>
      <c r="GD76" s="37"/>
      <c r="GE76" s="37"/>
      <c r="GF76" s="37"/>
      <c r="GG76" s="37"/>
      <c r="GH76" s="37"/>
      <c r="GI76" s="37"/>
      <c r="GJ76" s="37"/>
      <c r="GK76" s="37"/>
      <c r="GL76" s="37"/>
      <c r="GM76" s="37"/>
      <c r="GN76" s="37"/>
      <c r="GO76" s="37"/>
      <c r="GP76" s="37"/>
      <c r="GQ76" s="37"/>
      <c r="GR76" s="37"/>
      <c r="GS76" s="37"/>
      <c r="GT76" s="37"/>
      <c r="GU76" s="37"/>
      <c r="GV76" s="37"/>
      <c r="GW76" s="37"/>
      <c r="GX76" s="37"/>
      <c r="GY76" s="37"/>
      <c r="GZ76" s="37"/>
      <c r="HA76" s="37"/>
      <c r="HB76" s="37"/>
      <c r="HC76" s="37"/>
      <c r="HD76" s="37"/>
      <c r="HE76" s="37"/>
      <c r="HF76" s="37"/>
      <c r="HG76" s="37"/>
      <c r="HH76" s="37"/>
      <c r="HI76" s="37"/>
      <c r="HJ76" s="37"/>
      <c r="HK76" s="37"/>
      <c r="HL76" s="37"/>
      <c r="HM76" s="37"/>
      <c r="HN76" s="37"/>
      <c r="HO76" s="37"/>
      <c r="HP76" s="37"/>
      <c r="HQ76" s="37"/>
      <c r="HR76" s="37"/>
      <c r="HS76" s="37"/>
      <c r="HT76" s="37"/>
      <c r="HU76" s="37"/>
      <c r="HV76" s="37"/>
      <c r="HW76" s="37"/>
      <c r="HX76" s="37"/>
      <c r="HY76" s="37"/>
      <c r="HZ76" s="37"/>
      <c r="IA76" s="37"/>
      <c r="IB76" s="37"/>
      <c r="IC76" s="37"/>
    </row>
    <row r="77" spans="1:237" s="40" customFormat="1" x14ac:dyDescent="0.2">
      <c r="A77" s="62"/>
      <c r="B77" s="63"/>
      <c r="J77" s="37"/>
      <c r="K77" s="37"/>
      <c r="L77" s="37"/>
      <c r="M77" s="3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7"/>
      <c r="CF77" s="37"/>
      <c r="CG77" s="37"/>
      <c r="CH77" s="37"/>
      <c r="CI77" s="37"/>
      <c r="CJ77" s="37"/>
      <c r="CK77" s="37"/>
      <c r="CL77" s="37"/>
      <c r="CM77" s="37"/>
      <c r="CN77" s="37"/>
      <c r="CO77" s="37"/>
      <c r="CP77" s="37"/>
      <c r="CQ77" s="37"/>
      <c r="CR77" s="37"/>
      <c r="CS77" s="37"/>
      <c r="CT77" s="37"/>
      <c r="CU77" s="37"/>
      <c r="CV77" s="37"/>
      <c r="CW77" s="37"/>
      <c r="CX77" s="37"/>
      <c r="CY77" s="37"/>
      <c r="CZ77" s="37"/>
      <c r="DA77" s="37"/>
      <c r="DB77" s="37"/>
      <c r="DC77" s="37"/>
      <c r="DD77" s="37"/>
      <c r="DE77" s="37"/>
      <c r="DF77" s="37"/>
      <c r="DG77" s="37"/>
      <c r="DH77" s="37"/>
      <c r="DI77" s="37"/>
      <c r="DJ77" s="37"/>
      <c r="DK77" s="37"/>
      <c r="DL77" s="37"/>
      <c r="DM77" s="37"/>
      <c r="DN77" s="37"/>
      <c r="DO77" s="37"/>
      <c r="DP77" s="37"/>
      <c r="DQ77" s="37"/>
      <c r="DR77" s="37"/>
      <c r="DS77" s="37"/>
      <c r="DT77" s="37"/>
      <c r="DU77" s="37"/>
      <c r="DV77" s="37"/>
      <c r="DW77" s="37"/>
      <c r="DX77" s="37"/>
      <c r="DY77" s="37"/>
      <c r="DZ77" s="37"/>
      <c r="EA77" s="37"/>
      <c r="EB77" s="37"/>
      <c r="EC77" s="37"/>
      <c r="ED77" s="37"/>
      <c r="EE77" s="37"/>
      <c r="EF77" s="37"/>
      <c r="EG77" s="37"/>
      <c r="EH77" s="37"/>
      <c r="EI77" s="37"/>
      <c r="EJ77" s="37"/>
      <c r="EK77" s="37"/>
      <c r="EL77" s="37"/>
      <c r="EM77" s="37"/>
      <c r="EN77" s="37"/>
      <c r="EO77" s="37"/>
      <c r="EP77" s="37"/>
      <c r="EQ77" s="37"/>
      <c r="ER77" s="37"/>
      <c r="ES77" s="37"/>
      <c r="ET77" s="37"/>
      <c r="EU77" s="37"/>
      <c r="EV77" s="37"/>
      <c r="EW77" s="37"/>
      <c r="EX77" s="37"/>
      <c r="EY77" s="37"/>
      <c r="EZ77" s="37"/>
      <c r="FA77" s="37"/>
      <c r="FB77" s="37"/>
      <c r="FC77" s="37"/>
      <c r="FD77" s="37"/>
      <c r="FE77" s="37"/>
      <c r="FF77" s="37"/>
      <c r="FG77" s="37"/>
      <c r="FH77" s="37"/>
      <c r="FI77" s="37"/>
      <c r="FJ77" s="37"/>
      <c r="FK77" s="37"/>
      <c r="FL77" s="37"/>
      <c r="FM77" s="37"/>
      <c r="FN77" s="37"/>
      <c r="FO77" s="37"/>
      <c r="FP77" s="37"/>
      <c r="FQ77" s="37"/>
      <c r="FR77" s="37"/>
      <c r="FS77" s="37"/>
      <c r="FT77" s="37"/>
      <c r="FU77" s="37"/>
      <c r="FV77" s="37"/>
      <c r="FW77" s="37"/>
      <c r="FX77" s="37"/>
      <c r="FY77" s="37"/>
      <c r="FZ77" s="37"/>
      <c r="GA77" s="37"/>
      <c r="GB77" s="37"/>
      <c r="GC77" s="37"/>
      <c r="GD77" s="37"/>
      <c r="GE77" s="37"/>
      <c r="GF77" s="37"/>
      <c r="GG77" s="37"/>
      <c r="GH77" s="37"/>
      <c r="GI77" s="37"/>
      <c r="GJ77" s="37"/>
      <c r="GK77" s="37"/>
      <c r="GL77" s="37"/>
      <c r="GM77" s="37"/>
      <c r="GN77" s="37"/>
      <c r="GO77" s="37"/>
      <c r="GP77" s="37"/>
      <c r="GQ77" s="37"/>
      <c r="GR77" s="37"/>
      <c r="GS77" s="37"/>
      <c r="GT77" s="37"/>
      <c r="GU77" s="37"/>
      <c r="GV77" s="37"/>
      <c r="GW77" s="37"/>
      <c r="GX77" s="37"/>
      <c r="GY77" s="37"/>
      <c r="GZ77" s="37"/>
      <c r="HA77" s="37"/>
      <c r="HB77" s="37"/>
      <c r="HC77" s="37"/>
      <c r="HD77" s="37"/>
      <c r="HE77" s="37"/>
      <c r="HF77" s="37"/>
      <c r="HG77" s="37"/>
      <c r="HH77" s="37"/>
      <c r="HI77" s="37"/>
      <c r="HJ77" s="37"/>
      <c r="HK77" s="37"/>
      <c r="HL77" s="37"/>
      <c r="HM77" s="37"/>
      <c r="HN77" s="37"/>
      <c r="HO77" s="37"/>
      <c r="HP77" s="37"/>
      <c r="HQ77" s="37"/>
      <c r="HR77" s="37"/>
      <c r="HS77" s="37"/>
      <c r="HT77" s="37"/>
      <c r="HU77" s="37"/>
      <c r="HV77" s="37"/>
      <c r="HW77" s="37"/>
      <c r="HX77" s="37"/>
      <c r="HY77" s="37"/>
      <c r="HZ77" s="37"/>
      <c r="IA77" s="37"/>
      <c r="IB77" s="37"/>
      <c r="IC77" s="37"/>
    </row>
    <row r="78" spans="1:237" s="40" customFormat="1" x14ac:dyDescent="0.2">
      <c r="A78" s="62"/>
      <c r="B78" s="63"/>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K78" s="37"/>
      <c r="DL78" s="37"/>
      <c r="DM78" s="37"/>
      <c r="DN78" s="37"/>
      <c r="DO78" s="37"/>
      <c r="DP78" s="37"/>
      <c r="DQ78" s="37"/>
      <c r="DR78" s="37"/>
      <c r="DS78" s="37"/>
      <c r="DT78" s="37"/>
      <c r="DU78" s="37"/>
      <c r="DV78" s="37"/>
      <c r="DW78" s="37"/>
      <c r="DX78" s="37"/>
      <c r="DY78" s="37"/>
      <c r="DZ78" s="37"/>
      <c r="EA78" s="37"/>
      <c r="EB78" s="37"/>
      <c r="EC78" s="37"/>
      <c r="ED78" s="37"/>
      <c r="EE78" s="37"/>
      <c r="EF78" s="37"/>
      <c r="EG78" s="37"/>
      <c r="EH78" s="37"/>
      <c r="EI78" s="37"/>
      <c r="EJ78" s="37"/>
      <c r="EK78" s="37"/>
      <c r="EL78" s="37"/>
      <c r="EM78" s="37"/>
      <c r="EN78" s="37"/>
      <c r="EO78" s="37"/>
      <c r="EP78" s="37"/>
      <c r="EQ78" s="37"/>
      <c r="ER78" s="37"/>
      <c r="ES78" s="37"/>
      <c r="ET78" s="37"/>
      <c r="EU78" s="37"/>
      <c r="EV78" s="37"/>
      <c r="EW78" s="37"/>
      <c r="EX78" s="37"/>
      <c r="EY78" s="37"/>
      <c r="EZ78" s="37"/>
      <c r="FA78" s="37"/>
      <c r="FB78" s="37"/>
      <c r="FC78" s="37"/>
      <c r="FD78" s="37"/>
      <c r="FE78" s="37"/>
      <c r="FF78" s="37"/>
      <c r="FG78" s="37"/>
      <c r="FH78" s="37"/>
      <c r="FI78" s="37"/>
      <c r="FJ78" s="37"/>
      <c r="FK78" s="37"/>
      <c r="FL78" s="37"/>
      <c r="FM78" s="37"/>
      <c r="FN78" s="37"/>
      <c r="FO78" s="37"/>
      <c r="FP78" s="37"/>
      <c r="FQ78" s="37"/>
      <c r="FR78" s="37"/>
      <c r="FS78" s="37"/>
      <c r="FT78" s="37"/>
      <c r="FU78" s="37"/>
      <c r="FV78" s="37"/>
      <c r="FW78" s="37"/>
      <c r="FX78" s="37"/>
      <c r="FY78" s="37"/>
      <c r="FZ78" s="37"/>
      <c r="GA78" s="37"/>
      <c r="GB78" s="37"/>
      <c r="GC78" s="37"/>
      <c r="GD78" s="37"/>
      <c r="GE78" s="37"/>
      <c r="GF78" s="37"/>
      <c r="GG78" s="37"/>
      <c r="GH78" s="37"/>
      <c r="GI78" s="37"/>
      <c r="GJ78" s="37"/>
      <c r="GK78" s="37"/>
      <c r="GL78" s="37"/>
      <c r="GM78" s="37"/>
      <c r="GN78" s="37"/>
      <c r="GO78" s="37"/>
      <c r="GP78" s="37"/>
      <c r="GQ78" s="37"/>
      <c r="GR78" s="37"/>
      <c r="GS78" s="37"/>
      <c r="GT78" s="37"/>
      <c r="GU78" s="37"/>
      <c r="GV78" s="37"/>
      <c r="GW78" s="37"/>
      <c r="GX78" s="37"/>
      <c r="GY78" s="37"/>
      <c r="GZ78" s="37"/>
      <c r="HA78" s="37"/>
      <c r="HB78" s="37"/>
      <c r="HC78" s="37"/>
      <c r="HD78" s="37"/>
      <c r="HE78" s="37"/>
      <c r="HF78" s="37"/>
      <c r="HG78" s="37"/>
      <c r="HH78" s="37"/>
      <c r="HI78" s="37"/>
      <c r="HJ78" s="37"/>
      <c r="HK78" s="37"/>
      <c r="HL78" s="37"/>
      <c r="HM78" s="37"/>
      <c r="HN78" s="37"/>
      <c r="HO78" s="37"/>
      <c r="HP78" s="37"/>
      <c r="HQ78" s="37"/>
      <c r="HR78" s="37"/>
      <c r="HS78" s="37"/>
      <c r="HT78" s="37"/>
      <c r="HU78" s="37"/>
      <c r="HV78" s="37"/>
      <c r="HW78" s="37"/>
      <c r="HX78" s="37"/>
      <c r="HY78" s="37"/>
      <c r="HZ78" s="37"/>
      <c r="IA78" s="37"/>
      <c r="IB78" s="37"/>
      <c r="IC78" s="37"/>
    </row>
    <row r="79" spans="1:237" s="40" customFormat="1" x14ac:dyDescent="0.2">
      <c r="A79" s="62"/>
      <c r="B79" s="63"/>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7"/>
      <c r="BY79" s="37"/>
      <c r="BZ79" s="37"/>
      <c r="CA79" s="37"/>
      <c r="CB79" s="37"/>
      <c r="CC79" s="37"/>
      <c r="CD79" s="37"/>
      <c r="CE79" s="37"/>
      <c r="CF79" s="37"/>
      <c r="CG79" s="37"/>
      <c r="CH79" s="37"/>
      <c r="CI79" s="37"/>
      <c r="CJ79" s="37"/>
      <c r="CK79" s="37"/>
      <c r="CL79" s="37"/>
      <c r="CM79" s="37"/>
      <c r="CN79" s="37"/>
      <c r="CO79" s="37"/>
      <c r="CP79" s="37"/>
      <c r="CQ79" s="37"/>
      <c r="CR79" s="37"/>
      <c r="CS79" s="37"/>
      <c r="CT79" s="37"/>
      <c r="CU79" s="37"/>
      <c r="CV79" s="37"/>
      <c r="CW79" s="37"/>
      <c r="CX79" s="37"/>
      <c r="CY79" s="37"/>
      <c r="CZ79" s="37"/>
      <c r="DA79" s="37"/>
      <c r="DB79" s="37"/>
      <c r="DC79" s="37"/>
      <c r="DD79" s="37"/>
      <c r="DE79" s="37"/>
      <c r="DF79" s="37"/>
      <c r="DG79" s="37"/>
      <c r="DH79" s="37"/>
      <c r="DI79" s="37"/>
      <c r="DJ79" s="37"/>
      <c r="DK79" s="37"/>
      <c r="DL79" s="37"/>
      <c r="DM79" s="37"/>
      <c r="DN79" s="37"/>
      <c r="DO79" s="37"/>
      <c r="DP79" s="37"/>
      <c r="DQ79" s="37"/>
      <c r="DR79" s="37"/>
      <c r="DS79" s="37"/>
      <c r="DT79" s="37"/>
      <c r="DU79" s="37"/>
      <c r="DV79" s="37"/>
      <c r="DW79" s="37"/>
      <c r="DX79" s="37"/>
      <c r="DY79" s="37"/>
      <c r="DZ79" s="37"/>
      <c r="EA79" s="37"/>
      <c r="EB79" s="37"/>
      <c r="EC79" s="37"/>
      <c r="ED79" s="37"/>
      <c r="EE79" s="37"/>
      <c r="EF79" s="37"/>
      <c r="EG79" s="37"/>
      <c r="EH79" s="37"/>
      <c r="EI79" s="37"/>
      <c r="EJ79" s="37"/>
      <c r="EK79" s="37"/>
      <c r="EL79" s="37"/>
      <c r="EM79" s="37"/>
      <c r="EN79" s="37"/>
      <c r="EO79" s="37"/>
      <c r="EP79" s="37"/>
      <c r="EQ79" s="37"/>
      <c r="ER79" s="37"/>
      <c r="ES79" s="37"/>
      <c r="ET79" s="37"/>
      <c r="EU79" s="37"/>
      <c r="EV79" s="37"/>
      <c r="EW79" s="37"/>
      <c r="EX79" s="37"/>
      <c r="EY79" s="37"/>
      <c r="EZ79" s="37"/>
      <c r="FA79" s="37"/>
      <c r="FB79" s="37"/>
      <c r="FC79" s="37"/>
      <c r="FD79" s="37"/>
      <c r="FE79" s="37"/>
      <c r="FF79" s="37"/>
      <c r="FG79" s="37"/>
      <c r="FH79" s="37"/>
      <c r="FI79" s="37"/>
      <c r="FJ79" s="37"/>
      <c r="FK79" s="37"/>
      <c r="FL79" s="37"/>
      <c r="FM79" s="37"/>
      <c r="FN79" s="37"/>
      <c r="FO79" s="37"/>
      <c r="FP79" s="37"/>
      <c r="FQ79" s="37"/>
      <c r="FR79" s="37"/>
      <c r="FS79" s="37"/>
      <c r="FT79" s="37"/>
      <c r="FU79" s="37"/>
      <c r="FV79" s="37"/>
      <c r="FW79" s="37"/>
      <c r="FX79" s="37"/>
      <c r="FY79" s="37"/>
      <c r="FZ79" s="37"/>
      <c r="GA79" s="37"/>
      <c r="GB79" s="37"/>
      <c r="GC79" s="37"/>
      <c r="GD79" s="37"/>
      <c r="GE79" s="37"/>
      <c r="GF79" s="37"/>
      <c r="GG79" s="37"/>
      <c r="GH79" s="37"/>
      <c r="GI79" s="37"/>
      <c r="GJ79" s="37"/>
      <c r="GK79" s="37"/>
      <c r="GL79" s="37"/>
      <c r="GM79" s="37"/>
      <c r="GN79" s="37"/>
      <c r="GO79" s="37"/>
      <c r="GP79" s="37"/>
      <c r="GQ79" s="37"/>
      <c r="GR79" s="37"/>
      <c r="GS79" s="37"/>
      <c r="GT79" s="37"/>
      <c r="GU79" s="37"/>
      <c r="GV79" s="37"/>
      <c r="GW79" s="37"/>
      <c r="GX79" s="37"/>
      <c r="GY79" s="37"/>
      <c r="GZ79" s="37"/>
      <c r="HA79" s="37"/>
      <c r="HB79" s="37"/>
      <c r="HC79" s="37"/>
      <c r="HD79" s="37"/>
      <c r="HE79" s="37"/>
      <c r="HF79" s="37"/>
      <c r="HG79" s="37"/>
      <c r="HH79" s="37"/>
      <c r="HI79" s="37"/>
      <c r="HJ79" s="37"/>
      <c r="HK79" s="37"/>
      <c r="HL79" s="37"/>
      <c r="HM79" s="37"/>
      <c r="HN79" s="37"/>
      <c r="HO79" s="37"/>
      <c r="HP79" s="37"/>
      <c r="HQ79" s="37"/>
      <c r="HR79" s="37"/>
      <c r="HS79" s="37"/>
      <c r="HT79" s="37"/>
      <c r="HU79" s="37"/>
      <c r="HV79" s="37"/>
      <c r="HW79" s="37"/>
      <c r="HX79" s="37"/>
      <c r="HY79" s="37"/>
      <c r="HZ79" s="37"/>
      <c r="IA79" s="37"/>
      <c r="IB79" s="37"/>
      <c r="IC79" s="37"/>
    </row>
    <row r="80" spans="1:237" s="40" customFormat="1" x14ac:dyDescent="0.2">
      <c r="A80" s="62"/>
      <c r="B80" s="63"/>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7"/>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K80" s="37"/>
      <c r="DL80" s="37"/>
      <c r="DM80" s="37"/>
      <c r="DN80" s="37"/>
      <c r="DO80" s="37"/>
      <c r="DP80" s="37"/>
      <c r="DQ80" s="37"/>
      <c r="DR80" s="37"/>
      <c r="DS80" s="37"/>
      <c r="DT80" s="37"/>
      <c r="DU80" s="37"/>
      <c r="DV80" s="37"/>
      <c r="DW80" s="37"/>
      <c r="DX80" s="37"/>
      <c r="DY80" s="37"/>
      <c r="DZ80" s="37"/>
      <c r="EA80" s="37"/>
      <c r="EB80" s="37"/>
      <c r="EC80" s="37"/>
      <c r="ED80" s="37"/>
      <c r="EE80" s="37"/>
      <c r="EF80" s="37"/>
      <c r="EG80" s="37"/>
      <c r="EH80" s="37"/>
      <c r="EI80" s="37"/>
      <c r="EJ80" s="37"/>
      <c r="EK80" s="37"/>
      <c r="EL80" s="37"/>
      <c r="EM80" s="37"/>
      <c r="EN80" s="37"/>
      <c r="EO80" s="37"/>
      <c r="EP80" s="37"/>
      <c r="EQ80" s="37"/>
      <c r="ER80" s="37"/>
      <c r="ES80" s="37"/>
      <c r="ET80" s="37"/>
      <c r="EU80" s="37"/>
      <c r="EV80" s="37"/>
      <c r="EW80" s="37"/>
      <c r="EX80" s="37"/>
      <c r="EY80" s="37"/>
      <c r="EZ80" s="37"/>
      <c r="FA80" s="37"/>
      <c r="FB80" s="37"/>
      <c r="FC80" s="37"/>
      <c r="FD80" s="37"/>
      <c r="FE80" s="37"/>
      <c r="FF80" s="37"/>
      <c r="FG80" s="37"/>
      <c r="FH80" s="37"/>
      <c r="FI80" s="37"/>
      <c r="FJ80" s="37"/>
      <c r="FK80" s="37"/>
      <c r="FL80" s="37"/>
      <c r="FM80" s="37"/>
      <c r="FN80" s="37"/>
      <c r="FO80" s="37"/>
      <c r="FP80" s="37"/>
      <c r="FQ80" s="37"/>
      <c r="FR80" s="37"/>
      <c r="FS80" s="37"/>
      <c r="FT80" s="37"/>
      <c r="FU80" s="37"/>
      <c r="FV80" s="37"/>
      <c r="FW80" s="37"/>
      <c r="FX80" s="37"/>
      <c r="FY80" s="37"/>
      <c r="FZ80" s="37"/>
      <c r="GA80" s="37"/>
      <c r="GB80" s="37"/>
      <c r="GC80" s="37"/>
      <c r="GD80" s="37"/>
      <c r="GE80" s="37"/>
      <c r="GF80" s="37"/>
      <c r="GG80" s="37"/>
      <c r="GH80" s="37"/>
      <c r="GI80" s="37"/>
      <c r="GJ80" s="37"/>
      <c r="GK80" s="37"/>
      <c r="GL80" s="37"/>
      <c r="GM80" s="37"/>
      <c r="GN80" s="37"/>
      <c r="GO80" s="37"/>
      <c r="GP80" s="37"/>
      <c r="GQ80" s="37"/>
      <c r="GR80" s="37"/>
      <c r="GS80" s="37"/>
      <c r="GT80" s="37"/>
      <c r="GU80" s="37"/>
      <c r="GV80" s="37"/>
      <c r="GW80" s="37"/>
      <c r="GX80" s="37"/>
      <c r="GY80" s="37"/>
      <c r="GZ80" s="37"/>
      <c r="HA80" s="37"/>
      <c r="HB80" s="37"/>
      <c r="HC80" s="37"/>
      <c r="HD80" s="37"/>
      <c r="HE80" s="37"/>
      <c r="HF80" s="37"/>
      <c r="HG80" s="37"/>
      <c r="HH80" s="37"/>
      <c r="HI80" s="37"/>
      <c r="HJ80" s="37"/>
      <c r="HK80" s="37"/>
      <c r="HL80" s="37"/>
      <c r="HM80" s="37"/>
      <c r="HN80" s="37"/>
      <c r="HO80" s="37"/>
      <c r="HP80" s="37"/>
      <c r="HQ80" s="37"/>
      <c r="HR80" s="37"/>
      <c r="HS80" s="37"/>
      <c r="HT80" s="37"/>
      <c r="HU80" s="37"/>
      <c r="HV80" s="37"/>
      <c r="HW80" s="37"/>
      <c r="HX80" s="37"/>
      <c r="HY80" s="37"/>
      <c r="HZ80" s="37"/>
      <c r="IA80" s="37"/>
      <c r="IB80" s="37"/>
      <c r="IC80" s="37"/>
    </row>
    <row r="81" spans="1:237" s="40" customFormat="1" x14ac:dyDescent="0.2">
      <c r="A81" s="62"/>
      <c r="B81" s="63"/>
      <c r="J81" s="37"/>
      <c r="K81" s="37"/>
      <c r="L81" s="37"/>
      <c r="M81" s="3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37"/>
      <c r="BQ81" s="37"/>
      <c r="BR81" s="37"/>
      <c r="BS81" s="37"/>
      <c r="BT81" s="37"/>
      <c r="BU81" s="37"/>
      <c r="BV81" s="37"/>
      <c r="BW81" s="37"/>
      <c r="BX81" s="37"/>
      <c r="BY81" s="37"/>
      <c r="BZ81" s="37"/>
      <c r="CA81" s="37"/>
      <c r="CB81" s="37"/>
      <c r="CC81" s="37"/>
      <c r="CD81" s="37"/>
      <c r="CE81" s="37"/>
      <c r="CF81" s="37"/>
      <c r="CG81" s="37"/>
      <c r="CH81" s="37"/>
      <c r="CI81" s="37"/>
      <c r="CJ81" s="37"/>
      <c r="CK81" s="37"/>
      <c r="CL81" s="37"/>
      <c r="CM81" s="37"/>
      <c r="CN81" s="37"/>
      <c r="CO81" s="37"/>
      <c r="CP81" s="37"/>
      <c r="CQ81" s="37"/>
      <c r="CR81" s="37"/>
      <c r="CS81" s="37"/>
      <c r="CT81" s="37"/>
      <c r="CU81" s="37"/>
      <c r="CV81" s="37"/>
      <c r="CW81" s="37"/>
      <c r="CX81" s="37"/>
      <c r="CY81" s="37"/>
      <c r="CZ81" s="37"/>
      <c r="DA81" s="37"/>
      <c r="DB81" s="37"/>
      <c r="DC81" s="37"/>
      <c r="DD81" s="37"/>
      <c r="DE81" s="37"/>
      <c r="DF81" s="37"/>
      <c r="DG81" s="37"/>
      <c r="DH81" s="37"/>
      <c r="DI81" s="37"/>
      <c r="DJ81" s="37"/>
      <c r="DK81" s="37"/>
      <c r="DL81" s="37"/>
      <c r="DM81" s="37"/>
      <c r="DN81" s="37"/>
      <c r="DO81" s="37"/>
      <c r="DP81" s="37"/>
      <c r="DQ81" s="37"/>
      <c r="DR81" s="37"/>
      <c r="DS81" s="37"/>
      <c r="DT81" s="37"/>
      <c r="DU81" s="37"/>
      <c r="DV81" s="37"/>
      <c r="DW81" s="37"/>
      <c r="DX81" s="37"/>
      <c r="DY81" s="37"/>
      <c r="DZ81" s="37"/>
      <c r="EA81" s="37"/>
      <c r="EB81" s="37"/>
      <c r="EC81" s="37"/>
      <c r="ED81" s="37"/>
      <c r="EE81" s="37"/>
      <c r="EF81" s="37"/>
      <c r="EG81" s="37"/>
      <c r="EH81" s="37"/>
      <c r="EI81" s="37"/>
      <c r="EJ81" s="37"/>
      <c r="EK81" s="37"/>
      <c r="EL81" s="37"/>
      <c r="EM81" s="37"/>
      <c r="EN81" s="37"/>
      <c r="EO81" s="37"/>
      <c r="EP81" s="37"/>
      <c r="EQ81" s="37"/>
      <c r="ER81" s="37"/>
      <c r="ES81" s="37"/>
      <c r="ET81" s="37"/>
      <c r="EU81" s="37"/>
      <c r="EV81" s="37"/>
      <c r="EW81" s="37"/>
      <c r="EX81" s="37"/>
      <c r="EY81" s="37"/>
      <c r="EZ81" s="37"/>
      <c r="FA81" s="37"/>
      <c r="FB81" s="37"/>
      <c r="FC81" s="37"/>
      <c r="FD81" s="37"/>
      <c r="FE81" s="37"/>
      <c r="FF81" s="37"/>
      <c r="FG81" s="37"/>
      <c r="FH81" s="37"/>
      <c r="FI81" s="37"/>
      <c r="FJ81" s="37"/>
      <c r="FK81" s="37"/>
      <c r="FL81" s="37"/>
      <c r="FM81" s="37"/>
      <c r="FN81" s="37"/>
      <c r="FO81" s="37"/>
      <c r="FP81" s="37"/>
      <c r="FQ81" s="37"/>
      <c r="FR81" s="37"/>
      <c r="FS81" s="37"/>
      <c r="FT81" s="37"/>
      <c r="FU81" s="37"/>
      <c r="FV81" s="37"/>
      <c r="FW81" s="37"/>
      <c r="FX81" s="37"/>
      <c r="FY81" s="37"/>
      <c r="FZ81" s="37"/>
      <c r="GA81" s="37"/>
      <c r="GB81" s="37"/>
      <c r="GC81" s="37"/>
      <c r="GD81" s="37"/>
      <c r="GE81" s="37"/>
      <c r="GF81" s="37"/>
      <c r="GG81" s="37"/>
      <c r="GH81" s="37"/>
      <c r="GI81" s="37"/>
      <c r="GJ81" s="37"/>
      <c r="GK81" s="37"/>
      <c r="GL81" s="37"/>
      <c r="GM81" s="37"/>
      <c r="GN81" s="37"/>
      <c r="GO81" s="37"/>
      <c r="GP81" s="37"/>
      <c r="GQ81" s="37"/>
      <c r="GR81" s="37"/>
      <c r="GS81" s="37"/>
      <c r="GT81" s="37"/>
      <c r="GU81" s="37"/>
      <c r="GV81" s="37"/>
      <c r="GW81" s="37"/>
      <c r="GX81" s="37"/>
      <c r="GY81" s="37"/>
      <c r="GZ81" s="37"/>
      <c r="HA81" s="37"/>
      <c r="HB81" s="37"/>
      <c r="HC81" s="37"/>
      <c r="HD81" s="37"/>
      <c r="HE81" s="37"/>
      <c r="HF81" s="37"/>
      <c r="HG81" s="37"/>
      <c r="HH81" s="37"/>
      <c r="HI81" s="37"/>
      <c r="HJ81" s="37"/>
      <c r="HK81" s="37"/>
      <c r="HL81" s="37"/>
      <c r="HM81" s="37"/>
      <c r="HN81" s="37"/>
      <c r="HO81" s="37"/>
      <c r="HP81" s="37"/>
      <c r="HQ81" s="37"/>
      <c r="HR81" s="37"/>
      <c r="HS81" s="37"/>
      <c r="HT81" s="37"/>
      <c r="HU81" s="37"/>
      <c r="HV81" s="37"/>
      <c r="HW81" s="37"/>
      <c r="HX81" s="37"/>
      <c r="HY81" s="37"/>
      <c r="HZ81" s="37"/>
      <c r="IA81" s="37"/>
      <c r="IB81" s="37"/>
      <c r="IC81" s="37"/>
    </row>
    <row r="82" spans="1:237" s="40" customFormat="1" x14ac:dyDescent="0.2">
      <c r="A82" s="62"/>
      <c r="B82" s="63"/>
      <c r="J82" s="37"/>
      <c r="K82" s="37"/>
      <c r="L82" s="37"/>
      <c r="M82" s="3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37"/>
      <c r="CA82" s="37"/>
      <c r="CB82" s="37"/>
      <c r="CC82" s="37"/>
      <c r="CD82" s="37"/>
      <c r="CE82" s="37"/>
      <c r="CF82" s="37"/>
      <c r="CG82" s="37"/>
      <c r="CH82" s="37"/>
      <c r="CI82" s="37"/>
      <c r="CJ82" s="37"/>
      <c r="CK82" s="37"/>
      <c r="CL82" s="37"/>
      <c r="CM82" s="37"/>
      <c r="CN82" s="37"/>
      <c r="CO82" s="37"/>
      <c r="CP82" s="37"/>
      <c r="CQ82" s="37"/>
      <c r="CR82" s="37"/>
      <c r="CS82" s="37"/>
      <c r="CT82" s="37"/>
      <c r="CU82" s="37"/>
      <c r="CV82" s="37"/>
      <c r="CW82" s="37"/>
      <c r="CX82" s="37"/>
      <c r="CY82" s="37"/>
      <c r="CZ82" s="37"/>
      <c r="DA82" s="37"/>
      <c r="DB82" s="37"/>
      <c r="DC82" s="37"/>
      <c r="DD82" s="37"/>
      <c r="DE82" s="37"/>
      <c r="DF82" s="37"/>
      <c r="DG82" s="37"/>
      <c r="DH82" s="37"/>
      <c r="DI82" s="37"/>
      <c r="DJ82" s="37"/>
      <c r="DK82" s="37"/>
      <c r="DL82" s="37"/>
      <c r="DM82" s="37"/>
      <c r="DN82" s="37"/>
      <c r="DO82" s="37"/>
      <c r="DP82" s="37"/>
      <c r="DQ82" s="37"/>
      <c r="DR82" s="37"/>
      <c r="DS82" s="37"/>
      <c r="DT82" s="37"/>
      <c r="DU82" s="37"/>
      <c r="DV82" s="37"/>
      <c r="DW82" s="37"/>
      <c r="DX82" s="37"/>
      <c r="DY82" s="37"/>
      <c r="DZ82" s="37"/>
      <c r="EA82" s="37"/>
      <c r="EB82" s="37"/>
      <c r="EC82" s="37"/>
      <c r="ED82" s="37"/>
      <c r="EE82" s="37"/>
      <c r="EF82" s="37"/>
      <c r="EG82" s="37"/>
      <c r="EH82" s="37"/>
      <c r="EI82" s="37"/>
      <c r="EJ82" s="37"/>
      <c r="EK82" s="37"/>
      <c r="EL82" s="37"/>
      <c r="EM82" s="37"/>
      <c r="EN82" s="37"/>
      <c r="EO82" s="37"/>
      <c r="EP82" s="37"/>
      <c r="EQ82" s="37"/>
      <c r="ER82" s="37"/>
      <c r="ES82" s="37"/>
      <c r="ET82" s="37"/>
      <c r="EU82" s="37"/>
      <c r="EV82" s="37"/>
      <c r="EW82" s="37"/>
      <c r="EX82" s="37"/>
      <c r="EY82" s="37"/>
      <c r="EZ82" s="37"/>
      <c r="FA82" s="37"/>
      <c r="FB82" s="37"/>
      <c r="FC82" s="37"/>
      <c r="FD82" s="37"/>
      <c r="FE82" s="37"/>
      <c r="FF82" s="37"/>
      <c r="FG82" s="37"/>
      <c r="FH82" s="37"/>
      <c r="FI82" s="37"/>
      <c r="FJ82" s="37"/>
      <c r="FK82" s="37"/>
      <c r="FL82" s="37"/>
      <c r="FM82" s="37"/>
      <c r="FN82" s="37"/>
      <c r="FO82" s="37"/>
      <c r="FP82" s="37"/>
      <c r="FQ82" s="37"/>
      <c r="FR82" s="37"/>
      <c r="FS82" s="37"/>
      <c r="FT82" s="37"/>
      <c r="FU82" s="37"/>
      <c r="FV82" s="37"/>
      <c r="FW82" s="37"/>
      <c r="FX82" s="37"/>
      <c r="FY82" s="37"/>
      <c r="FZ82" s="37"/>
      <c r="GA82" s="37"/>
      <c r="GB82" s="37"/>
      <c r="GC82" s="37"/>
      <c r="GD82" s="37"/>
      <c r="GE82" s="37"/>
      <c r="GF82" s="37"/>
      <c r="GG82" s="37"/>
      <c r="GH82" s="37"/>
      <c r="GI82" s="37"/>
      <c r="GJ82" s="37"/>
      <c r="GK82" s="37"/>
      <c r="GL82" s="37"/>
      <c r="GM82" s="37"/>
      <c r="GN82" s="37"/>
      <c r="GO82" s="37"/>
      <c r="GP82" s="37"/>
      <c r="GQ82" s="37"/>
      <c r="GR82" s="37"/>
      <c r="GS82" s="37"/>
      <c r="GT82" s="37"/>
      <c r="GU82" s="37"/>
      <c r="GV82" s="37"/>
      <c r="GW82" s="37"/>
      <c r="GX82" s="37"/>
      <c r="GY82" s="37"/>
      <c r="GZ82" s="37"/>
      <c r="HA82" s="37"/>
      <c r="HB82" s="37"/>
      <c r="HC82" s="37"/>
      <c r="HD82" s="37"/>
      <c r="HE82" s="37"/>
      <c r="HF82" s="37"/>
      <c r="HG82" s="37"/>
      <c r="HH82" s="37"/>
      <c r="HI82" s="37"/>
      <c r="HJ82" s="37"/>
      <c r="HK82" s="37"/>
      <c r="HL82" s="37"/>
      <c r="HM82" s="37"/>
      <c r="HN82" s="37"/>
      <c r="HO82" s="37"/>
      <c r="HP82" s="37"/>
      <c r="HQ82" s="37"/>
      <c r="HR82" s="37"/>
      <c r="HS82" s="37"/>
      <c r="HT82" s="37"/>
      <c r="HU82" s="37"/>
      <c r="HV82" s="37"/>
      <c r="HW82" s="37"/>
      <c r="HX82" s="37"/>
      <c r="HY82" s="37"/>
      <c r="HZ82" s="37"/>
      <c r="IA82" s="37"/>
      <c r="IB82" s="37"/>
      <c r="IC82" s="37"/>
    </row>
    <row r="83" spans="1:237" s="40" customFormat="1" x14ac:dyDescent="0.2">
      <c r="A83" s="62"/>
      <c r="B83" s="63"/>
      <c r="J83" s="37"/>
      <c r="K83" s="37"/>
      <c r="L83" s="37"/>
      <c r="M83" s="3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c r="BS83" s="37"/>
      <c r="BT83" s="37"/>
      <c r="BU83" s="37"/>
      <c r="BV83" s="37"/>
      <c r="BW83" s="37"/>
      <c r="BX83" s="37"/>
      <c r="BY83" s="37"/>
      <c r="BZ83" s="37"/>
      <c r="CA83" s="37"/>
      <c r="CB83" s="37"/>
      <c r="CC83" s="37"/>
      <c r="CD83" s="37"/>
      <c r="CE83" s="37"/>
      <c r="CF83" s="37"/>
      <c r="CG83" s="37"/>
      <c r="CH83" s="37"/>
      <c r="CI83" s="37"/>
      <c r="CJ83" s="37"/>
      <c r="CK83" s="37"/>
      <c r="CL83" s="37"/>
      <c r="CM83" s="37"/>
      <c r="CN83" s="37"/>
      <c r="CO83" s="37"/>
      <c r="CP83" s="37"/>
      <c r="CQ83" s="37"/>
      <c r="CR83" s="37"/>
      <c r="CS83" s="37"/>
      <c r="CT83" s="37"/>
      <c r="CU83" s="37"/>
      <c r="CV83" s="37"/>
      <c r="CW83" s="37"/>
      <c r="CX83" s="37"/>
      <c r="CY83" s="37"/>
      <c r="CZ83" s="37"/>
      <c r="DA83" s="37"/>
      <c r="DB83" s="37"/>
      <c r="DC83" s="37"/>
      <c r="DD83" s="37"/>
      <c r="DE83" s="37"/>
      <c r="DF83" s="37"/>
      <c r="DG83" s="37"/>
      <c r="DH83" s="37"/>
      <c r="DI83" s="37"/>
      <c r="DJ83" s="37"/>
      <c r="DK83" s="37"/>
      <c r="DL83" s="37"/>
      <c r="DM83" s="37"/>
      <c r="DN83" s="37"/>
      <c r="DO83" s="37"/>
      <c r="DP83" s="37"/>
      <c r="DQ83" s="37"/>
      <c r="DR83" s="37"/>
      <c r="DS83" s="37"/>
      <c r="DT83" s="37"/>
      <c r="DU83" s="37"/>
      <c r="DV83" s="37"/>
      <c r="DW83" s="37"/>
      <c r="DX83" s="37"/>
      <c r="DY83" s="37"/>
      <c r="DZ83" s="37"/>
      <c r="EA83" s="37"/>
      <c r="EB83" s="37"/>
      <c r="EC83" s="37"/>
      <c r="ED83" s="37"/>
      <c r="EE83" s="37"/>
      <c r="EF83" s="37"/>
      <c r="EG83" s="37"/>
      <c r="EH83" s="37"/>
      <c r="EI83" s="37"/>
      <c r="EJ83" s="37"/>
      <c r="EK83" s="37"/>
      <c r="EL83" s="37"/>
      <c r="EM83" s="37"/>
      <c r="EN83" s="37"/>
      <c r="EO83" s="37"/>
      <c r="EP83" s="37"/>
      <c r="EQ83" s="37"/>
      <c r="ER83" s="37"/>
      <c r="ES83" s="37"/>
      <c r="ET83" s="37"/>
      <c r="EU83" s="37"/>
      <c r="EV83" s="37"/>
      <c r="EW83" s="37"/>
      <c r="EX83" s="37"/>
      <c r="EY83" s="37"/>
      <c r="EZ83" s="37"/>
      <c r="FA83" s="37"/>
      <c r="FB83" s="37"/>
      <c r="FC83" s="37"/>
      <c r="FD83" s="37"/>
      <c r="FE83" s="37"/>
      <c r="FF83" s="37"/>
      <c r="FG83" s="37"/>
      <c r="FH83" s="37"/>
      <c r="FI83" s="37"/>
      <c r="FJ83" s="37"/>
      <c r="FK83" s="37"/>
      <c r="FL83" s="37"/>
      <c r="FM83" s="37"/>
      <c r="FN83" s="37"/>
      <c r="FO83" s="37"/>
      <c r="FP83" s="37"/>
      <c r="FQ83" s="37"/>
      <c r="FR83" s="37"/>
      <c r="FS83" s="37"/>
      <c r="FT83" s="37"/>
      <c r="FU83" s="37"/>
      <c r="FV83" s="37"/>
      <c r="FW83" s="37"/>
      <c r="FX83" s="37"/>
      <c r="FY83" s="37"/>
      <c r="FZ83" s="37"/>
      <c r="GA83" s="37"/>
      <c r="GB83" s="37"/>
      <c r="GC83" s="37"/>
      <c r="GD83" s="37"/>
      <c r="GE83" s="37"/>
      <c r="GF83" s="37"/>
      <c r="GG83" s="37"/>
      <c r="GH83" s="37"/>
      <c r="GI83" s="37"/>
      <c r="GJ83" s="37"/>
      <c r="GK83" s="37"/>
      <c r="GL83" s="37"/>
      <c r="GM83" s="37"/>
      <c r="GN83" s="37"/>
      <c r="GO83" s="37"/>
      <c r="GP83" s="37"/>
      <c r="GQ83" s="37"/>
      <c r="GR83" s="37"/>
      <c r="GS83" s="37"/>
      <c r="GT83" s="37"/>
      <c r="GU83" s="37"/>
      <c r="GV83" s="37"/>
      <c r="GW83" s="37"/>
      <c r="GX83" s="37"/>
      <c r="GY83" s="37"/>
      <c r="GZ83" s="37"/>
      <c r="HA83" s="37"/>
      <c r="HB83" s="37"/>
      <c r="HC83" s="37"/>
      <c r="HD83" s="37"/>
      <c r="HE83" s="37"/>
      <c r="HF83" s="37"/>
      <c r="HG83" s="37"/>
      <c r="HH83" s="37"/>
      <c r="HI83" s="37"/>
      <c r="HJ83" s="37"/>
      <c r="HK83" s="37"/>
      <c r="HL83" s="37"/>
      <c r="HM83" s="37"/>
      <c r="HN83" s="37"/>
      <c r="HO83" s="37"/>
      <c r="HP83" s="37"/>
      <c r="HQ83" s="37"/>
      <c r="HR83" s="37"/>
      <c r="HS83" s="37"/>
      <c r="HT83" s="37"/>
      <c r="HU83" s="37"/>
      <c r="HV83" s="37"/>
      <c r="HW83" s="37"/>
      <c r="HX83" s="37"/>
      <c r="HY83" s="37"/>
      <c r="HZ83" s="37"/>
      <c r="IA83" s="37"/>
      <c r="IB83" s="37"/>
      <c r="IC83" s="37"/>
    </row>
    <row r="84" spans="1:237" s="40" customFormat="1" x14ac:dyDescent="0.2">
      <c r="A84" s="62"/>
      <c r="B84" s="63"/>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37"/>
      <c r="CA84" s="37"/>
      <c r="CB84" s="37"/>
      <c r="CC84" s="37"/>
      <c r="CD84" s="37"/>
      <c r="CE84" s="37"/>
      <c r="CF84" s="37"/>
      <c r="CG84" s="37"/>
      <c r="CH84" s="37"/>
      <c r="CI84" s="37"/>
      <c r="CJ84" s="37"/>
      <c r="CK84" s="37"/>
      <c r="CL84" s="37"/>
      <c r="CM84" s="37"/>
      <c r="CN84" s="37"/>
      <c r="CO84" s="37"/>
      <c r="CP84" s="37"/>
      <c r="CQ84" s="37"/>
      <c r="CR84" s="37"/>
      <c r="CS84" s="37"/>
      <c r="CT84" s="37"/>
      <c r="CU84" s="37"/>
      <c r="CV84" s="37"/>
      <c r="CW84" s="37"/>
      <c r="CX84" s="37"/>
      <c r="CY84" s="37"/>
      <c r="CZ84" s="37"/>
      <c r="DA84" s="37"/>
      <c r="DB84" s="37"/>
      <c r="DC84" s="37"/>
      <c r="DD84" s="37"/>
      <c r="DE84" s="37"/>
      <c r="DF84" s="37"/>
      <c r="DG84" s="37"/>
      <c r="DH84" s="37"/>
      <c r="DI84" s="37"/>
      <c r="DJ84" s="37"/>
      <c r="DK84" s="37"/>
      <c r="DL84" s="37"/>
      <c r="DM84" s="37"/>
      <c r="DN84" s="37"/>
      <c r="DO84" s="37"/>
      <c r="DP84" s="37"/>
      <c r="DQ84" s="37"/>
      <c r="DR84" s="37"/>
      <c r="DS84" s="37"/>
      <c r="DT84" s="37"/>
      <c r="DU84" s="37"/>
      <c r="DV84" s="37"/>
      <c r="DW84" s="37"/>
      <c r="DX84" s="37"/>
      <c r="DY84" s="37"/>
      <c r="DZ84" s="37"/>
      <c r="EA84" s="37"/>
      <c r="EB84" s="37"/>
      <c r="EC84" s="37"/>
      <c r="ED84" s="37"/>
      <c r="EE84" s="37"/>
      <c r="EF84" s="37"/>
      <c r="EG84" s="37"/>
      <c r="EH84" s="37"/>
      <c r="EI84" s="37"/>
      <c r="EJ84" s="37"/>
      <c r="EK84" s="37"/>
      <c r="EL84" s="37"/>
      <c r="EM84" s="37"/>
      <c r="EN84" s="37"/>
      <c r="EO84" s="37"/>
      <c r="EP84" s="37"/>
      <c r="EQ84" s="37"/>
      <c r="ER84" s="37"/>
      <c r="ES84" s="37"/>
      <c r="ET84" s="37"/>
      <c r="EU84" s="37"/>
      <c r="EV84" s="37"/>
      <c r="EW84" s="37"/>
      <c r="EX84" s="37"/>
      <c r="EY84" s="37"/>
      <c r="EZ84" s="37"/>
      <c r="FA84" s="37"/>
      <c r="FB84" s="37"/>
      <c r="FC84" s="37"/>
      <c r="FD84" s="37"/>
      <c r="FE84" s="37"/>
      <c r="FF84" s="37"/>
      <c r="FG84" s="37"/>
      <c r="FH84" s="37"/>
      <c r="FI84" s="37"/>
      <c r="FJ84" s="37"/>
      <c r="FK84" s="37"/>
      <c r="FL84" s="37"/>
      <c r="FM84" s="37"/>
      <c r="FN84" s="37"/>
      <c r="FO84" s="37"/>
      <c r="FP84" s="37"/>
      <c r="FQ84" s="37"/>
      <c r="FR84" s="37"/>
      <c r="FS84" s="37"/>
      <c r="FT84" s="37"/>
      <c r="FU84" s="37"/>
      <c r="FV84" s="37"/>
      <c r="FW84" s="37"/>
      <c r="FX84" s="37"/>
      <c r="FY84" s="37"/>
      <c r="FZ84" s="37"/>
      <c r="GA84" s="37"/>
      <c r="GB84" s="37"/>
      <c r="GC84" s="37"/>
      <c r="GD84" s="37"/>
      <c r="GE84" s="37"/>
      <c r="GF84" s="37"/>
      <c r="GG84" s="37"/>
      <c r="GH84" s="37"/>
      <c r="GI84" s="37"/>
      <c r="GJ84" s="37"/>
      <c r="GK84" s="37"/>
      <c r="GL84" s="37"/>
      <c r="GM84" s="37"/>
      <c r="GN84" s="37"/>
      <c r="GO84" s="37"/>
      <c r="GP84" s="37"/>
      <c r="GQ84" s="37"/>
      <c r="GR84" s="37"/>
      <c r="GS84" s="37"/>
      <c r="GT84" s="37"/>
      <c r="GU84" s="37"/>
      <c r="GV84" s="37"/>
      <c r="GW84" s="37"/>
      <c r="GX84" s="37"/>
      <c r="GY84" s="37"/>
      <c r="GZ84" s="37"/>
      <c r="HA84" s="37"/>
      <c r="HB84" s="37"/>
      <c r="HC84" s="37"/>
      <c r="HD84" s="37"/>
      <c r="HE84" s="37"/>
      <c r="HF84" s="37"/>
      <c r="HG84" s="37"/>
      <c r="HH84" s="37"/>
      <c r="HI84" s="37"/>
      <c r="HJ84" s="37"/>
      <c r="HK84" s="37"/>
      <c r="HL84" s="37"/>
      <c r="HM84" s="37"/>
      <c r="HN84" s="37"/>
      <c r="HO84" s="37"/>
      <c r="HP84" s="37"/>
      <c r="HQ84" s="37"/>
      <c r="HR84" s="37"/>
      <c r="HS84" s="37"/>
      <c r="HT84" s="37"/>
      <c r="HU84" s="37"/>
      <c r="HV84" s="37"/>
      <c r="HW84" s="37"/>
      <c r="HX84" s="37"/>
      <c r="HY84" s="37"/>
      <c r="HZ84" s="37"/>
      <c r="IA84" s="37"/>
      <c r="IB84" s="37"/>
      <c r="IC84" s="37"/>
    </row>
    <row r="85" spans="1:237" s="40" customFormat="1" x14ac:dyDescent="0.2">
      <c r="A85" s="62"/>
      <c r="B85" s="63"/>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7"/>
      <c r="BY85" s="37"/>
      <c r="BZ85" s="37"/>
      <c r="CA85" s="37"/>
      <c r="CB85" s="37"/>
      <c r="CC85" s="37"/>
      <c r="CD85" s="37"/>
      <c r="CE85" s="37"/>
      <c r="CF85" s="37"/>
      <c r="CG85" s="37"/>
      <c r="CH85" s="37"/>
      <c r="CI85" s="37"/>
      <c r="CJ85" s="37"/>
      <c r="CK85" s="37"/>
      <c r="CL85" s="37"/>
      <c r="CM85" s="37"/>
      <c r="CN85" s="37"/>
      <c r="CO85" s="37"/>
      <c r="CP85" s="37"/>
      <c r="CQ85" s="37"/>
      <c r="CR85" s="37"/>
      <c r="CS85" s="37"/>
      <c r="CT85" s="37"/>
      <c r="CU85" s="37"/>
      <c r="CV85" s="37"/>
      <c r="CW85" s="37"/>
      <c r="CX85" s="37"/>
      <c r="CY85" s="37"/>
      <c r="CZ85" s="37"/>
      <c r="DA85" s="37"/>
      <c r="DB85" s="37"/>
      <c r="DC85" s="37"/>
      <c r="DD85" s="37"/>
      <c r="DE85" s="37"/>
      <c r="DF85" s="37"/>
      <c r="DG85" s="37"/>
      <c r="DH85" s="37"/>
      <c r="DI85" s="37"/>
      <c r="DJ85" s="37"/>
      <c r="DK85" s="37"/>
      <c r="DL85" s="37"/>
      <c r="DM85" s="37"/>
      <c r="DN85" s="37"/>
      <c r="DO85" s="37"/>
      <c r="DP85" s="37"/>
      <c r="DQ85" s="37"/>
      <c r="DR85" s="37"/>
      <c r="DS85" s="37"/>
      <c r="DT85" s="37"/>
      <c r="DU85" s="37"/>
      <c r="DV85" s="37"/>
      <c r="DW85" s="37"/>
      <c r="DX85" s="37"/>
      <c r="DY85" s="37"/>
      <c r="DZ85" s="37"/>
      <c r="EA85" s="37"/>
      <c r="EB85" s="37"/>
      <c r="EC85" s="37"/>
      <c r="ED85" s="37"/>
      <c r="EE85" s="37"/>
      <c r="EF85" s="37"/>
      <c r="EG85" s="37"/>
      <c r="EH85" s="37"/>
      <c r="EI85" s="37"/>
      <c r="EJ85" s="37"/>
      <c r="EK85" s="37"/>
      <c r="EL85" s="37"/>
      <c r="EM85" s="37"/>
      <c r="EN85" s="37"/>
      <c r="EO85" s="37"/>
      <c r="EP85" s="37"/>
      <c r="EQ85" s="37"/>
      <c r="ER85" s="37"/>
      <c r="ES85" s="37"/>
      <c r="ET85" s="37"/>
      <c r="EU85" s="37"/>
      <c r="EV85" s="37"/>
      <c r="EW85" s="37"/>
      <c r="EX85" s="37"/>
      <c r="EY85" s="37"/>
      <c r="EZ85" s="37"/>
      <c r="FA85" s="37"/>
      <c r="FB85" s="37"/>
      <c r="FC85" s="37"/>
      <c r="FD85" s="37"/>
      <c r="FE85" s="37"/>
      <c r="FF85" s="37"/>
      <c r="FG85" s="37"/>
      <c r="FH85" s="37"/>
      <c r="FI85" s="37"/>
      <c r="FJ85" s="37"/>
      <c r="FK85" s="37"/>
      <c r="FL85" s="37"/>
      <c r="FM85" s="37"/>
      <c r="FN85" s="37"/>
      <c r="FO85" s="37"/>
      <c r="FP85" s="37"/>
      <c r="FQ85" s="37"/>
      <c r="FR85" s="37"/>
      <c r="FS85" s="37"/>
      <c r="FT85" s="37"/>
      <c r="FU85" s="37"/>
      <c r="FV85" s="37"/>
      <c r="FW85" s="37"/>
      <c r="FX85" s="37"/>
      <c r="FY85" s="37"/>
      <c r="FZ85" s="37"/>
      <c r="GA85" s="37"/>
      <c r="GB85" s="37"/>
      <c r="GC85" s="37"/>
      <c r="GD85" s="37"/>
      <c r="GE85" s="37"/>
      <c r="GF85" s="37"/>
      <c r="GG85" s="37"/>
      <c r="GH85" s="37"/>
      <c r="GI85" s="37"/>
      <c r="GJ85" s="37"/>
      <c r="GK85" s="37"/>
      <c r="GL85" s="37"/>
      <c r="GM85" s="37"/>
      <c r="GN85" s="37"/>
      <c r="GO85" s="37"/>
      <c r="GP85" s="37"/>
      <c r="GQ85" s="37"/>
      <c r="GR85" s="37"/>
      <c r="GS85" s="37"/>
      <c r="GT85" s="37"/>
      <c r="GU85" s="37"/>
      <c r="GV85" s="37"/>
      <c r="GW85" s="37"/>
      <c r="GX85" s="37"/>
      <c r="GY85" s="37"/>
      <c r="GZ85" s="37"/>
      <c r="HA85" s="37"/>
      <c r="HB85" s="37"/>
      <c r="HC85" s="37"/>
      <c r="HD85" s="37"/>
      <c r="HE85" s="37"/>
      <c r="HF85" s="37"/>
      <c r="HG85" s="37"/>
      <c r="HH85" s="37"/>
      <c r="HI85" s="37"/>
      <c r="HJ85" s="37"/>
      <c r="HK85" s="37"/>
      <c r="HL85" s="37"/>
      <c r="HM85" s="37"/>
      <c r="HN85" s="37"/>
      <c r="HO85" s="37"/>
      <c r="HP85" s="37"/>
      <c r="HQ85" s="37"/>
      <c r="HR85" s="37"/>
      <c r="HS85" s="37"/>
      <c r="HT85" s="37"/>
      <c r="HU85" s="37"/>
      <c r="HV85" s="37"/>
      <c r="HW85" s="37"/>
      <c r="HX85" s="37"/>
      <c r="HY85" s="37"/>
      <c r="HZ85" s="37"/>
      <c r="IA85" s="37"/>
      <c r="IB85" s="37"/>
      <c r="IC85" s="37"/>
    </row>
    <row r="86" spans="1:237" s="40" customFormat="1" x14ac:dyDescent="0.2">
      <c r="A86" s="62"/>
      <c r="B86" s="63"/>
      <c r="J86" s="37"/>
      <c r="K86" s="37"/>
      <c r="L86" s="37"/>
      <c r="M86" s="3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c r="BA86" s="37"/>
      <c r="BB86" s="37"/>
      <c r="BC86" s="37"/>
      <c r="BD86" s="37"/>
      <c r="BE86" s="37"/>
      <c r="BF86" s="37"/>
      <c r="BG86" s="37"/>
      <c r="BH86" s="37"/>
      <c r="BI86" s="37"/>
      <c r="BJ86" s="37"/>
      <c r="BK86" s="37"/>
      <c r="BL86" s="37"/>
      <c r="BM86" s="37"/>
      <c r="BN86" s="37"/>
      <c r="BO86" s="37"/>
      <c r="BP86" s="37"/>
      <c r="BQ86" s="37"/>
      <c r="BR86" s="37"/>
      <c r="BS86" s="37"/>
      <c r="BT86" s="37"/>
      <c r="BU86" s="37"/>
      <c r="BV86" s="37"/>
      <c r="BW86" s="37"/>
      <c r="BX86" s="37"/>
      <c r="BY86" s="37"/>
      <c r="BZ86" s="37"/>
      <c r="CA86" s="37"/>
      <c r="CB86" s="37"/>
      <c r="CC86" s="37"/>
      <c r="CD86" s="37"/>
      <c r="CE86" s="37"/>
      <c r="CF86" s="37"/>
      <c r="CG86" s="37"/>
      <c r="CH86" s="37"/>
      <c r="CI86" s="37"/>
      <c r="CJ86" s="37"/>
      <c r="CK86" s="37"/>
      <c r="CL86" s="37"/>
      <c r="CM86" s="37"/>
      <c r="CN86" s="37"/>
      <c r="CO86" s="37"/>
      <c r="CP86" s="37"/>
      <c r="CQ86" s="37"/>
      <c r="CR86" s="37"/>
      <c r="CS86" s="37"/>
      <c r="CT86" s="37"/>
      <c r="CU86" s="37"/>
      <c r="CV86" s="37"/>
      <c r="CW86" s="37"/>
      <c r="CX86" s="37"/>
      <c r="CY86" s="37"/>
      <c r="CZ86" s="37"/>
      <c r="DA86" s="37"/>
      <c r="DB86" s="37"/>
      <c r="DC86" s="37"/>
      <c r="DD86" s="37"/>
      <c r="DE86" s="37"/>
      <c r="DF86" s="37"/>
      <c r="DG86" s="37"/>
      <c r="DH86" s="37"/>
      <c r="DI86" s="37"/>
      <c r="DJ86" s="37"/>
      <c r="DK86" s="37"/>
      <c r="DL86" s="37"/>
      <c r="DM86" s="37"/>
      <c r="DN86" s="37"/>
      <c r="DO86" s="37"/>
      <c r="DP86" s="37"/>
      <c r="DQ86" s="37"/>
      <c r="DR86" s="37"/>
      <c r="DS86" s="37"/>
      <c r="DT86" s="37"/>
      <c r="DU86" s="37"/>
      <c r="DV86" s="37"/>
      <c r="DW86" s="37"/>
      <c r="DX86" s="37"/>
      <c r="DY86" s="37"/>
      <c r="DZ86" s="37"/>
      <c r="EA86" s="37"/>
      <c r="EB86" s="37"/>
      <c r="EC86" s="37"/>
      <c r="ED86" s="37"/>
      <c r="EE86" s="37"/>
      <c r="EF86" s="37"/>
      <c r="EG86" s="37"/>
      <c r="EH86" s="37"/>
      <c r="EI86" s="37"/>
      <c r="EJ86" s="37"/>
      <c r="EK86" s="37"/>
      <c r="EL86" s="37"/>
      <c r="EM86" s="37"/>
      <c r="EN86" s="37"/>
      <c r="EO86" s="37"/>
      <c r="EP86" s="37"/>
      <c r="EQ86" s="37"/>
      <c r="ER86" s="37"/>
      <c r="ES86" s="37"/>
      <c r="ET86" s="37"/>
      <c r="EU86" s="37"/>
      <c r="EV86" s="37"/>
      <c r="EW86" s="37"/>
      <c r="EX86" s="37"/>
      <c r="EY86" s="37"/>
      <c r="EZ86" s="37"/>
      <c r="FA86" s="37"/>
      <c r="FB86" s="37"/>
      <c r="FC86" s="37"/>
      <c r="FD86" s="37"/>
      <c r="FE86" s="37"/>
      <c r="FF86" s="37"/>
      <c r="FG86" s="37"/>
      <c r="FH86" s="37"/>
      <c r="FI86" s="37"/>
      <c r="FJ86" s="37"/>
      <c r="FK86" s="37"/>
      <c r="FL86" s="37"/>
      <c r="FM86" s="37"/>
      <c r="FN86" s="37"/>
      <c r="FO86" s="37"/>
      <c r="FP86" s="37"/>
      <c r="FQ86" s="37"/>
      <c r="FR86" s="37"/>
      <c r="FS86" s="37"/>
      <c r="FT86" s="37"/>
      <c r="FU86" s="37"/>
      <c r="FV86" s="37"/>
      <c r="FW86" s="37"/>
      <c r="FX86" s="37"/>
      <c r="FY86" s="37"/>
      <c r="FZ86" s="37"/>
      <c r="GA86" s="37"/>
      <c r="GB86" s="37"/>
      <c r="GC86" s="37"/>
      <c r="GD86" s="37"/>
      <c r="GE86" s="37"/>
      <c r="GF86" s="37"/>
      <c r="GG86" s="37"/>
      <c r="GH86" s="37"/>
      <c r="GI86" s="37"/>
      <c r="GJ86" s="37"/>
      <c r="GK86" s="37"/>
      <c r="GL86" s="37"/>
      <c r="GM86" s="37"/>
      <c r="GN86" s="37"/>
      <c r="GO86" s="37"/>
      <c r="GP86" s="37"/>
      <c r="GQ86" s="37"/>
      <c r="GR86" s="37"/>
      <c r="GS86" s="37"/>
      <c r="GT86" s="37"/>
      <c r="GU86" s="37"/>
      <c r="GV86" s="37"/>
      <c r="GW86" s="37"/>
      <c r="GX86" s="37"/>
      <c r="GY86" s="37"/>
      <c r="GZ86" s="37"/>
      <c r="HA86" s="37"/>
      <c r="HB86" s="37"/>
      <c r="HC86" s="37"/>
      <c r="HD86" s="37"/>
      <c r="HE86" s="37"/>
      <c r="HF86" s="37"/>
      <c r="HG86" s="37"/>
      <c r="HH86" s="37"/>
      <c r="HI86" s="37"/>
      <c r="HJ86" s="37"/>
      <c r="HK86" s="37"/>
      <c r="HL86" s="37"/>
      <c r="HM86" s="37"/>
      <c r="HN86" s="37"/>
      <c r="HO86" s="37"/>
      <c r="HP86" s="37"/>
      <c r="HQ86" s="37"/>
      <c r="HR86" s="37"/>
      <c r="HS86" s="37"/>
      <c r="HT86" s="37"/>
      <c r="HU86" s="37"/>
      <c r="HV86" s="37"/>
      <c r="HW86" s="37"/>
      <c r="HX86" s="37"/>
      <c r="HY86" s="37"/>
      <c r="HZ86" s="37"/>
      <c r="IA86" s="37"/>
      <c r="IB86" s="37"/>
      <c r="IC86" s="37"/>
    </row>
    <row r="87" spans="1:237" s="40" customFormat="1" x14ac:dyDescent="0.2">
      <c r="A87" s="62"/>
      <c r="B87" s="63"/>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37"/>
      <c r="BT87" s="37"/>
      <c r="BU87" s="37"/>
      <c r="BV87" s="37"/>
      <c r="BW87" s="37"/>
      <c r="BX87" s="37"/>
      <c r="BY87" s="37"/>
      <c r="BZ87" s="37"/>
      <c r="CA87" s="37"/>
      <c r="CB87" s="37"/>
      <c r="CC87" s="37"/>
      <c r="CD87" s="37"/>
      <c r="CE87" s="37"/>
      <c r="CF87" s="37"/>
      <c r="CG87" s="37"/>
      <c r="CH87" s="37"/>
      <c r="CI87" s="37"/>
      <c r="CJ87" s="37"/>
      <c r="CK87" s="37"/>
      <c r="CL87" s="37"/>
      <c r="CM87" s="37"/>
      <c r="CN87" s="37"/>
      <c r="CO87" s="37"/>
      <c r="CP87" s="37"/>
      <c r="CQ87" s="37"/>
      <c r="CR87" s="37"/>
      <c r="CS87" s="37"/>
      <c r="CT87" s="37"/>
      <c r="CU87" s="37"/>
      <c r="CV87" s="37"/>
      <c r="CW87" s="37"/>
      <c r="CX87" s="37"/>
      <c r="CY87" s="37"/>
      <c r="CZ87" s="37"/>
      <c r="DA87" s="37"/>
      <c r="DB87" s="37"/>
      <c r="DC87" s="37"/>
      <c r="DD87" s="37"/>
      <c r="DE87" s="37"/>
      <c r="DF87" s="37"/>
      <c r="DG87" s="37"/>
      <c r="DH87" s="37"/>
      <c r="DI87" s="37"/>
      <c r="DJ87" s="37"/>
      <c r="DK87" s="37"/>
      <c r="DL87" s="37"/>
      <c r="DM87" s="37"/>
      <c r="DN87" s="37"/>
      <c r="DO87" s="37"/>
      <c r="DP87" s="37"/>
      <c r="DQ87" s="37"/>
      <c r="DR87" s="37"/>
      <c r="DS87" s="37"/>
      <c r="DT87" s="37"/>
      <c r="DU87" s="37"/>
      <c r="DV87" s="37"/>
      <c r="DW87" s="37"/>
      <c r="DX87" s="37"/>
      <c r="DY87" s="37"/>
      <c r="DZ87" s="37"/>
      <c r="EA87" s="37"/>
      <c r="EB87" s="37"/>
      <c r="EC87" s="37"/>
      <c r="ED87" s="37"/>
      <c r="EE87" s="37"/>
      <c r="EF87" s="37"/>
      <c r="EG87" s="37"/>
      <c r="EH87" s="37"/>
      <c r="EI87" s="37"/>
      <c r="EJ87" s="37"/>
      <c r="EK87" s="37"/>
      <c r="EL87" s="37"/>
      <c r="EM87" s="37"/>
      <c r="EN87" s="37"/>
      <c r="EO87" s="37"/>
      <c r="EP87" s="37"/>
      <c r="EQ87" s="37"/>
      <c r="ER87" s="37"/>
      <c r="ES87" s="37"/>
      <c r="ET87" s="37"/>
      <c r="EU87" s="37"/>
      <c r="EV87" s="37"/>
      <c r="EW87" s="37"/>
      <c r="EX87" s="37"/>
      <c r="EY87" s="37"/>
      <c r="EZ87" s="37"/>
      <c r="FA87" s="37"/>
      <c r="FB87" s="37"/>
      <c r="FC87" s="37"/>
      <c r="FD87" s="37"/>
      <c r="FE87" s="37"/>
      <c r="FF87" s="37"/>
      <c r="FG87" s="37"/>
      <c r="FH87" s="37"/>
      <c r="FI87" s="37"/>
      <c r="FJ87" s="37"/>
      <c r="FK87" s="37"/>
      <c r="FL87" s="37"/>
      <c r="FM87" s="37"/>
      <c r="FN87" s="37"/>
      <c r="FO87" s="37"/>
      <c r="FP87" s="37"/>
      <c r="FQ87" s="37"/>
      <c r="FR87" s="37"/>
      <c r="FS87" s="37"/>
      <c r="FT87" s="37"/>
      <c r="FU87" s="37"/>
      <c r="FV87" s="37"/>
      <c r="FW87" s="37"/>
      <c r="FX87" s="37"/>
      <c r="FY87" s="37"/>
      <c r="FZ87" s="37"/>
      <c r="GA87" s="37"/>
      <c r="GB87" s="37"/>
      <c r="GC87" s="37"/>
      <c r="GD87" s="37"/>
      <c r="GE87" s="37"/>
      <c r="GF87" s="37"/>
      <c r="GG87" s="37"/>
      <c r="GH87" s="37"/>
      <c r="GI87" s="37"/>
      <c r="GJ87" s="37"/>
      <c r="GK87" s="37"/>
      <c r="GL87" s="37"/>
      <c r="GM87" s="37"/>
      <c r="GN87" s="37"/>
      <c r="GO87" s="37"/>
      <c r="GP87" s="37"/>
      <c r="GQ87" s="37"/>
      <c r="GR87" s="37"/>
      <c r="GS87" s="37"/>
      <c r="GT87" s="37"/>
      <c r="GU87" s="37"/>
      <c r="GV87" s="37"/>
      <c r="GW87" s="37"/>
      <c r="GX87" s="37"/>
      <c r="GY87" s="37"/>
      <c r="GZ87" s="37"/>
      <c r="HA87" s="37"/>
      <c r="HB87" s="37"/>
      <c r="HC87" s="37"/>
      <c r="HD87" s="37"/>
      <c r="HE87" s="37"/>
      <c r="HF87" s="37"/>
      <c r="HG87" s="37"/>
      <c r="HH87" s="37"/>
      <c r="HI87" s="37"/>
      <c r="HJ87" s="37"/>
      <c r="HK87" s="37"/>
      <c r="HL87" s="37"/>
      <c r="HM87" s="37"/>
      <c r="HN87" s="37"/>
      <c r="HO87" s="37"/>
      <c r="HP87" s="37"/>
      <c r="HQ87" s="37"/>
      <c r="HR87" s="37"/>
      <c r="HS87" s="37"/>
      <c r="HT87" s="37"/>
      <c r="HU87" s="37"/>
      <c r="HV87" s="37"/>
      <c r="HW87" s="37"/>
      <c r="HX87" s="37"/>
      <c r="HY87" s="37"/>
      <c r="HZ87" s="37"/>
      <c r="IA87" s="37"/>
      <c r="IB87" s="37"/>
      <c r="IC87" s="37"/>
    </row>
    <row r="88" spans="1:237" s="40" customFormat="1" x14ac:dyDescent="0.2">
      <c r="A88" s="62"/>
      <c r="B88" s="63"/>
      <c r="J88" s="37"/>
      <c r="K88" s="37"/>
      <c r="L88" s="37"/>
      <c r="M88" s="3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c r="BB88" s="37"/>
      <c r="BC88" s="37"/>
      <c r="BD88" s="37"/>
      <c r="BE88" s="37"/>
      <c r="BF88" s="37"/>
      <c r="BG88" s="37"/>
      <c r="BH88" s="37"/>
      <c r="BI88" s="37"/>
      <c r="BJ88" s="37"/>
      <c r="BK88" s="37"/>
      <c r="BL88" s="37"/>
      <c r="BM88" s="37"/>
      <c r="BN88" s="37"/>
      <c r="BO88" s="37"/>
      <c r="BP88" s="37"/>
      <c r="BQ88" s="37"/>
      <c r="BR88" s="37"/>
      <c r="BS88" s="37"/>
      <c r="BT88" s="37"/>
      <c r="BU88" s="37"/>
      <c r="BV88" s="37"/>
      <c r="BW88" s="37"/>
      <c r="BX88" s="37"/>
      <c r="BY88" s="37"/>
      <c r="BZ88" s="37"/>
      <c r="CA88" s="37"/>
      <c r="CB88" s="37"/>
      <c r="CC88" s="37"/>
      <c r="CD88" s="37"/>
      <c r="CE88" s="37"/>
      <c r="CF88" s="37"/>
      <c r="CG88" s="37"/>
      <c r="CH88" s="37"/>
      <c r="CI88" s="37"/>
      <c r="CJ88" s="37"/>
      <c r="CK88" s="37"/>
      <c r="CL88" s="37"/>
      <c r="CM88" s="37"/>
      <c r="CN88" s="37"/>
      <c r="CO88" s="37"/>
      <c r="CP88" s="37"/>
      <c r="CQ88" s="37"/>
      <c r="CR88" s="37"/>
      <c r="CS88" s="37"/>
      <c r="CT88" s="37"/>
      <c r="CU88" s="37"/>
      <c r="CV88" s="37"/>
      <c r="CW88" s="37"/>
      <c r="CX88" s="37"/>
      <c r="CY88" s="37"/>
      <c r="CZ88" s="37"/>
      <c r="DA88" s="37"/>
      <c r="DB88" s="37"/>
      <c r="DC88" s="37"/>
      <c r="DD88" s="37"/>
      <c r="DE88" s="37"/>
      <c r="DF88" s="37"/>
      <c r="DG88" s="37"/>
      <c r="DH88" s="37"/>
      <c r="DI88" s="37"/>
      <c r="DJ88" s="37"/>
      <c r="DK88" s="37"/>
      <c r="DL88" s="37"/>
      <c r="DM88" s="37"/>
      <c r="DN88" s="37"/>
      <c r="DO88" s="37"/>
      <c r="DP88" s="37"/>
      <c r="DQ88" s="37"/>
      <c r="DR88" s="37"/>
      <c r="DS88" s="37"/>
      <c r="DT88" s="37"/>
      <c r="DU88" s="37"/>
      <c r="DV88" s="37"/>
      <c r="DW88" s="37"/>
      <c r="DX88" s="37"/>
      <c r="DY88" s="37"/>
      <c r="DZ88" s="37"/>
      <c r="EA88" s="37"/>
      <c r="EB88" s="37"/>
      <c r="EC88" s="37"/>
      <c r="ED88" s="37"/>
      <c r="EE88" s="37"/>
      <c r="EF88" s="37"/>
      <c r="EG88" s="37"/>
      <c r="EH88" s="37"/>
      <c r="EI88" s="37"/>
      <c r="EJ88" s="37"/>
      <c r="EK88" s="37"/>
      <c r="EL88" s="37"/>
      <c r="EM88" s="37"/>
      <c r="EN88" s="37"/>
      <c r="EO88" s="37"/>
      <c r="EP88" s="37"/>
      <c r="EQ88" s="37"/>
      <c r="ER88" s="37"/>
      <c r="ES88" s="37"/>
      <c r="ET88" s="37"/>
      <c r="EU88" s="37"/>
      <c r="EV88" s="37"/>
      <c r="EW88" s="37"/>
      <c r="EX88" s="37"/>
      <c r="EY88" s="37"/>
      <c r="EZ88" s="37"/>
      <c r="FA88" s="37"/>
      <c r="FB88" s="37"/>
      <c r="FC88" s="37"/>
      <c r="FD88" s="37"/>
      <c r="FE88" s="37"/>
      <c r="FF88" s="37"/>
      <c r="FG88" s="37"/>
      <c r="FH88" s="37"/>
      <c r="FI88" s="37"/>
      <c r="FJ88" s="37"/>
      <c r="FK88" s="37"/>
      <c r="FL88" s="37"/>
      <c r="FM88" s="37"/>
      <c r="FN88" s="37"/>
      <c r="FO88" s="37"/>
      <c r="FP88" s="37"/>
      <c r="FQ88" s="37"/>
      <c r="FR88" s="37"/>
      <c r="FS88" s="37"/>
      <c r="FT88" s="37"/>
      <c r="FU88" s="37"/>
      <c r="FV88" s="37"/>
      <c r="FW88" s="37"/>
      <c r="FX88" s="37"/>
      <c r="FY88" s="37"/>
      <c r="FZ88" s="37"/>
      <c r="GA88" s="37"/>
      <c r="GB88" s="37"/>
      <c r="GC88" s="37"/>
      <c r="GD88" s="37"/>
      <c r="GE88" s="37"/>
      <c r="GF88" s="37"/>
      <c r="GG88" s="37"/>
      <c r="GH88" s="37"/>
      <c r="GI88" s="37"/>
      <c r="GJ88" s="37"/>
      <c r="GK88" s="37"/>
      <c r="GL88" s="37"/>
      <c r="GM88" s="37"/>
      <c r="GN88" s="37"/>
      <c r="GO88" s="37"/>
      <c r="GP88" s="37"/>
      <c r="GQ88" s="37"/>
      <c r="GR88" s="37"/>
      <c r="GS88" s="37"/>
      <c r="GT88" s="37"/>
      <c r="GU88" s="37"/>
      <c r="GV88" s="37"/>
      <c r="GW88" s="37"/>
      <c r="GX88" s="37"/>
      <c r="GY88" s="37"/>
      <c r="GZ88" s="37"/>
      <c r="HA88" s="37"/>
      <c r="HB88" s="37"/>
      <c r="HC88" s="37"/>
      <c r="HD88" s="37"/>
      <c r="HE88" s="37"/>
      <c r="HF88" s="37"/>
      <c r="HG88" s="37"/>
      <c r="HH88" s="37"/>
      <c r="HI88" s="37"/>
      <c r="HJ88" s="37"/>
      <c r="HK88" s="37"/>
      <c r="HL88" s="37"/>
      <c r="HM88" s="37"/>
      <c r="HN88" s="37"/>
      <c r="HO88" s="37"/>
      <c r="HP88" s="37"/>
      <c r="HQ88" s="37"/>
      <c r="HR88" s="37"/>
      <c r="HS88" s="37"/>
      <c r="HT88" s="37"/>
      <c r="HU88" s="37"/>
      <c r="HV88" s="37"/>
      <c r="HW88" s="37"/>
      <c r="HX88" s="37"/>
      <c r="HY88" s="37"/>
      <c r="HZ88" s="37"/>
      <c r="IA88" s="37"/>
      <c r="IB88" s="37"/>
      <c r="IC88" s="37"/>
    </row>
    <row r="89" spans="1:237" s="40" customFormat="1" x14ac:dyDescent="0.2">
      <c r="A89" s="62"/>
      <c r="B89" s="63"/>
      <c r="J89" s="37"/>
      <c r="K89" s="37"/>
      <c r="L89" s="37"/>
      <c r="M89" s="3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c r="BK89" s="37"/>
      <c r="BL89" s="37"/>
      <c r="BM89" s="37"/>
      <c r="BN89" s="37"/>
      <c r="BO89" s="37"/>
      <c r="BP89" s="37"/>
      <c r="BQ89" s="37"/>
      <c r="BR89" s="37"/>
      <c r="BS89" s="37"/>
      <c r="BT89" s="37"/>
      <c r="BU89" s="37"/>
      <c r="BV89" s="37"/>
      <c r="BW89" s="37"/>
      <c r="BX89" s="37"/>
      <c r="BY89" s="37"/>
      <c r="BZ89" s="37"/>
      <c r="CA89" s="37"/>
      <c r="CB89" s="37"/>
      <c r="CC89" s="37"/>
      <c r="CD89" s="37"/>
      <c r="CE89" s="37"/>
      <c r="CF89" s="37"/>
      <c r="CG89" s="37"/>
      <c r="CH89" s="37"/>
      <c r="CI89" s="37"/>
      <c r="CJ89" s="37"/>
      <c r="CK89" s="37"/>
      <c r="CL89" s="37"/>
      <c r="CM89" s="37"/>
      <c r="CN89" s="37"/>
      <c r="CO89" s="37"/>
      <c r="CP89" s="37"/>
      <c r="CQ89" s="37"/>
      <c r="CR89" s="37"/>
      <c r="CS89" s="37"/>
      <c r="CT89" s="37"/>
      <c r="CU89" s="37"/>
      <c r="CV89" s="37"/>
      <c r="CW89" s="37"/>
      <c r="CX89" s="37"/>
      <c r="CY89" s="37"/>
      <c r="CZ89" s="37"/>
      <c r="DA89" s="37"/>
      <c r="DB89" s="37"/>
      <c r="DC89" s="37"/>
      <c r="DD89" s="37"/>
      <c r="DE89" s="37"/>
      <c r="DF89" s="37"/>
      <c r="DG89" s="37"/>
      <c r="DH89" s="37"/>
      <c r="DI89" s="37"/>
      <c r="DJ89" s="37"/>
      <c r="DK89" s="37"/>
      <c r="DL89" s="37"/>
      <c r="DM89" s="37"/>
      <c r="DN89" s="37"/>
      <c r="DO89" s="37"/>
      <c r="DP89" s="37"/>
      <c r="DQ89" s="37"/>
      <c r="DR89" s="37"/>
      <c r="DS89" s="37"/>
      <c r="DT89" s="37"/>
      <c r="DU89" s="37"/>
      <c r="DV89" s="37"/>
      <c r="DW89" s="37"/>
      <c r="DX89" s="37"/>
      <c r="DY89" s="37"/>
      <c r="DZ89" s="37"/>
      <c r="EA89" s="37"/>
      <c r="EB89" s="37"/>
      <c r="EC89" s="37"/>
      <c r="ED89" s="37"/>
      <c r="EE89" s="37"/>
      <c r="EF89" s="37"/>
      <c r="EG89" s="37"/>
      <c r="EH89" s="37"/>
      <c r="EI89" s="37"/>
      <c r="EJ89" s="37"/>
      <c r="EK89" s="37"/>
      <c r="EL89" s="37"/>
      <c r="EM89" s="37"/>
      <c r="EN89" s="37"/>
      <c r="EO89" s="37"/>
      <c r="EP89" s="37"/>
      <c r="EQ89" s="37"/>
      <c r="ER89" s="37"/>
      <c r="ES89" s="37"/>
      <c r="ET89" s="37"/>
      <c r="EU89" s="37"/>
      <c r="EV89" s="37"/>
      <c r="EW89" s="37"/>
      <c r="EX89" s="37"/>
      <c r="EY89" s="37"/>
      <c r="EZ89" s="37"/>
      <c r="FA89" s="37"/>
      <c r="FB89" s="37"/>
      <c r="FC89" s="37"/>
      <c r="FD89" s="37"/>
      <c r="FE89" s="37"/>
      <c r="FF89" s="37"/>
      <c r="FG89" s="37"/>
      <c r="FH89" s="37"/>
      <c r="FI89" s="37"/>
      <c r="FJ89" s="37"/>
      <c r="FK89" s="37"/>
      <c r="FL89" s="37"/>
      <c r="FM89" s="37"/>
      <c r="FN89" s="37"/>
      <c r="FO89" s="37"/>
      <c r="FP89" s="37"/>
      <c r="FQ89" s="37"/>
      <c r="FR89" s="37"/>
      <c r="FS89" s="37"/>
      <c r="FT89" s="37"/>
      <c r="FU89" s="37"/>
      <c r="FV89" s="37"/>
      <c r="FW89" s="37"/>
      <c r="FX89" s="37"/>
      <c r="FY89" s="37"/>
      <c r="FZ89" s="37"/>
      <c r="GA89" s="37"/>
      <c r="GB89" s="37"/>
      <c r="GC89" s="37"/>
      <c r="GD89" s="37"/>
      <c r="GE89" s="37"/>
      <c r="GF89" s="37"/>
      <c r="GG89" s="37"/>
      <c r="GH89" s="37"/>
      <c r="GI89" s="37"/>
      <c r="GJ89" s="37"/>
      <c r="GK89" s="37"/>
      <c r="GL89" s="37"/>
      <c r="GM89" s="37"/>
      <c r="GN89" s="37"/>
      <c r="GO89" s="37"/>
      <c r="GP89" s="37"/>
      <c r="GQ89" s="37"/>
      <c r="GR89" s="37"/>
      <c r="GS89" s="37"/>
      <c r="GT89" s="37"/>
      <c r="GU89" s="37"/>
      <c r="GV89" s="37"/>
      <c r="GW89" s="37"/>
      <c r="GX89" s="37"/>
      <c r="GY89" s="37"/>
      <c r="GZ89" s="37"/>
      <c r="HA89" s="37"/>
      <c r="HB89" s="37"/>
      <c r="HC89" s="37"/>
      <c r="HD89" s="37"/>
      <c r="HE89" s="37"/>
      <c r="HF89" s="37"/>
      <c r="HG89" s="37"/>
      <c r="HH89" s="37"/>
      <c r="HI89" s="37"/>
      <c r="HJ89" s="37"/>
      <c r="HK89" s="37"/>
      <c r="HL89" s="37"/>
      <c r="HM89" s="37"/>
      <c r="HN89" s="37"/>
      <c r="HO89" s="37"/>
      <c r="HP89" s="37"/>
      <c r="HQ89" s="37"/>
      <c r="HR89" s="37"/>
      <c r="HS89" s="37"/>
      <c r="HT89" s="37"/>
      <c r="HU89" s="37"/>
      <c r="HV89" s="37"/>
      <c r="HW89" s="37"/>
      <c r="HX89" s="37"/>
      <c r="HY89" s="37"/>
      <c r="HZ89" s="37"/>
      <c r="IA89" s="37"/>
      <c r="IB89" s="37"/>
      <c r="IC89" s="37"/>
    </row>
    <row r="90" spans="1:237" s="40" customFormat="1" x14ac:dyDescent="0.2">
      <c r="A90" s="62"/>
      <c r="B90" s="63"/>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7"/>
      <c r="BY90" s="37"/>
      <c r="BZ90" s="37"/>
      <c r="CA90" s="37"/>
      <c r="CB90" s="37"/>
      <c r="CC90" s="37"/>
      <c r="CD90" s="37"/>
      <c r="CE90" s="37"/>
      <c r="CF90" s="37"/>
      <c r="CG90" s="37"/>
      <c r="CH90" s="37"/>
      <c r="CI90" s="37"/>
      <c r="CJ90" s="37"/>
      <c r="CK90" s="37"/>
      <c r="CL90" s="37"/>
      <c r="CM90" s="37"/>
      <c r="CN90" s="37"/>
      <c r="CO90" s="37"/>
      <c r="CP90" s="37"/>
      <c r="CQ90" s="37"/>
      <c r="CR90" s="37"/>
      <c r="CS90" s="37"/>
      <c r="CT90" s="37"/>
      <c r="CU90" s="37"/>
      <c r="CV90" s="37"/>
      <c r="CW90" s="37"/>
      <c r="CX90" s="37"/>
      <c r="CY90" s="37"/>
      <c r="CZ90" s="37"/>
      <c r="DA90" s="37"/>
      <c r="DB90" s="37"/>
      <c r="DC90" s="37"/>
      <c r="DD90" s="37"/>
      <c r="DE90" s="37"/>
      <c r="DF90" s="37"/>
      <c r="DG90" s="37"/>
      <c r="DH90" s="37"/>
      <c r="DI90" s="37"/>
      <c r="DJ90" s="37"/>
      <c r="DK90" s="37"/>
      <c r="DL90" s="37"/>
      <c r="DM90" s="37"/>
      <c r="DN90" s="37"/>
      <c r="DO90" s="37"/>
      <c r="DP90" s="37"/>
      <c r="DQ90" s="37"/>
      <c r="DR90" s="37"/>
      <c r="DS90" s="37"/>
      <c r="DT90" s="37"/>
      <c r="DU90" s="37"/>
      <c r="DV90" s="37"/>
      <c r="DW90" s="37"/>
      <c r="DX90" s="37"/>
      <c r="DY90" s="37"/>
      <c r="DZ90" s="37"/>
      <c r="EA90" s="37"/>
      <c r="EB90" s="37"/>
      <c r="EC90" s="37"/>
      <c r="ED90" s="37"/>
      <c r="EE90" s="37"/>
      <c r="EF90" s="37"/>
      <c r="EG90" s="37"/>
      <c r="EH90" s="37"/>
      <c r="EI90" s="37"/>
      <c r="EJ90" s="37"/>
      <c r="EK90" s="37"/>
      <c r="EL90" s="37"/>
      <c r="EM90" s="37"/>
      <c r="EN90" s="37"/>
      <c r="EO90" s="37"/>
      <c r="EP90" s="37"/>
      <c r="EQ90" s="37"/>
      <c r="ER90" s="37"/>
      <c r="ES90" s="37"/>
      <c r="ET90" s="37"/>
      <c r="EU90" s="37"/>
      <c r="EV90" s="37"/>
      <c r="EW90" s="37"/>
      <c r="EX90" s="37"/>
      <c r="EY90" s="37"/>
      <c r="EZ90" s="37"/>
      <c r="FA90" s="37"/>
      <c r="FB90" s="37"/>
      <c r="FC90" s="37"/>
      <c r="FD90" s="37"/>
      <c r="FE90" s="37"/>
      <c r="FF90" s="37"/>
      <c r="FG90" s="37"/>
      <c r="FH90" s="37"/>
      <c r="FI90" s="37"/>
      <c r="FJ90" s="37"/>
      <c r="FK90" s="37"/>
      <c r="FL90" s="37"/>
      <c r="FM90" s="37"/>
      <c r="FN90" s="37"/>
      <c r="FO90" s="37"/>
      <c r="FP90" s="37"/>
      <c r="FQ90" s="37"/>
      <c r="FR90" s="37"/>
      <c r="FS90" s="37"/>
      <c r="FT90" s="37"/>
      <c r="FU90" s="37"/>
      <c r="FV90" s="37"/>
      <c r="FW90" s="37"/>
      <c r="FX90" s="37"/>
      <c r="FY90" s="37"/>
      <c r="FZ90" s="37"/>
      <c r="GA90" s="37"/>
      <c r="GB90" s="37"/>
      <c r="GC90" s="37"/>
      <c r="GD90" s="37"/>
      <c r="GE90" s="37"/>
      <c r="GF90" s="37"/>
      <c r="GG90" s="37"/>
      <c r="GH90" s="37"/>
      <c r="GI90" s="37"/>
      <c r="GJ90" s="37"/>
      <c r="GK90" s="37"/>
      <c r="GL90" s="37"/>
      <c r="GM90" s="37"/>
      <c r="GN90" s="37"/>
      <c r="GO90" s="37"/>
      <c r="GP90" s="37"/>
      <c r="GQ90" s="37"/>
      <c r="GR90" s="37"/>
      <c r="GS90" s="37"/>
      <c r="GT90" s="37"/>
      <c r="GU90" s="37"/>
      <c r="GV90" s="37"/>
      <c r="GW90" s="37"/>
      <c r="GX90" s="37"/>
      <c r="GY90" s="37"/>
      <c r="GZ90" s="37"/>
      <c r="HA90" s="37"/>
      <c r="HB90" s="37"/>
      <c r="HC90" s="37"/>
      <c r="HD90" s="37"/>
      <c r="HE90" s="37"/>
      <c r="HF90" s="37"/>
      <c r="HG90" s="37"/>
      <c r="HH90" s="37"/>
      <c r="HI90" s="37"/>
      <c r="HJ90" s="37"/>
      <c r="HK90" s="37"/>
      <c r="HL90" s="37"/>
      <c r="HM90" s="37"/>
      <c r="HN90" s="37"/>
      <c r="HO90" s="37"/>
      <c r="HP90" s="37"/>
      <c r="HQ90" s="37"/>
      <c r="HR90" s="37"/>
      <c r="HS90" s="37"/>
      <c r="HT90" s="37"/>
      <c r="HU90" s="37"/>
      <c r="HV90" s="37"/>
      <c r="HW90" s="37"/>
      <c r="HX90" s="37"/>
      <c r="HY90" s="37"/>
      <c r="HZ90" s="37"/>
      <c r="IA90" s="37"/>
      <c r="IB90" s="37"/>
      <c r="IC90" s="37"/>
    </row>
    <row r="91" spans="1:237" s="40" customFormat="1" x14ac:dyDescent="0.2">
      <c r="A91" s="62"/>
      <c r="B91" s="63"/>
      <c r="J91" s="37"/>
      <c r="K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7"/>
      <c r="BR91" s="37"/>
      <c r="BS91" s="37"/>
      <c r="BT91" s="37"/>
      <c r="BU91" s="37"/>
      <c r="BV91" s="37"/>
      <c r="BW91" s="37"/>
      <c r="BX91" s="37"/>
      <c r="BY91" s="37"/>
      <c r="BZ91" s="37"/>
      <c r="CA91" s="37"/>
      <c r="CB91" s="37"/>
      <c r="CC91" s="37"/>
      <c r="CD91" s="37"/>
      <c r="CE91" s="37"/>
      <c r="CF91" s="37"/>
      <c r="CG91" s="37"/>
      <c r="CH91" s="37"/>
      <c r="CI91" s="37"/>
      <c r="CJ91" s="37"/>
      <c r="CK91" s="37"/>
      <c r="CL91" s="37"/>
      <c r="CM91" s="37"/>
      <c r="CN91" s="37"/>
      <c r="CO91" s="37"/>
      <c r="CP91" s="37"/>
      <c r="CQ91" s="37"/>
      <c r="CR91" s="37"/>
      <c r="CS91" s="37"/>
      <c r="CT91" s="37"/>
      <c r="CU91" s="37"/>
      <c r="CV91" s="37"/>
      <c r="CW91" s="37"/>
      <c r="CX91" s="37"/>
      <c r="CY91" s="37"/>
      <c r="CZ91" s="37"/>
      <c r="DA91" s="37"/>
      <c r="DB91" s="37"/>
      <c r="DC91" s="37"/>
      <c r="DD91" s="37"/>
      <c r="DE91" s="37"/>
      <c r="DF91" s="37"/>
      <c r="DG91" s="37"/>
      <c r="DH91" s="37"/>
      <c r="DI91" s="37"/>
      <c r="DJ91" s="37"/>
      <c r="DK91" s="37"/>
      <c r="DL91" s="37"/>
      <c r="DM91" s="37"/>
      <c r="DN91" s="37"/>
      <c r="DO91" s="37"/>
      <c r="DP91" s="37"/>
      <c r="DQ91" s="37"/>
      <c r="DR91" s="37"/>
      <c r="DS91" s="37"/>
      <c r="DT91" s="37"/>
      <c r="DU91" s="37"/>
      <c r="DV91" s="37"/>
      <c r="DW91" s="37"/>
      <c r="DX91" s="37"/>
      <c r="DY91" s="37"/>
      <c r="DZ91" s="37"/>
      <c r="EA91" s="37"/>
      <c r="EB91" s="37"/>
      <c r="EC91" s="37"/>
      <c r="ED91" s="37"/>
      <c r="EE91" s="37"/>
      <c r="EF91" s="37"/>
      <c r="EG91" s="37"/>
      <c r="EH91" s="37"/>
      <c r="EI91" s="37"/>
      <c r="EJ91" s="37"/>
      <c r="EK91" s="37"/>
      <c r="EL91" s="37"/>
      <c r="EM91" s="37"/>
      <c r="EN91" s="37"/>
      <c r="EO91" s="37"/>
      <c r="EP91" s="37"/>
      <c r="EQ91" s="37"/>
      <c r="ER91" s="37"/>
      <c r="ES91" s="37"/>
      <c r="ET91" s="37"/>
      <c r="EU91" s="37"/>
      <c r="EV91" s="37"/>
      <c r="EW91" s="37"/>
      <c r="EX91" s="37"/>
      <c r="EY91" s="37"/>
      <c r="EZ91" s="37"/>
      <c r="FA91" s="37"/>
      <c r="FB91" s="37"/>
      <c r="FC91" s="37"/>
      <c r="FD91" s="37"/>
      <c r="FE91" s="37"/>
      <c r="FF91" s="37"/>
      <c r="FG91" s="37"/>
      <c r="FH91" s="37"/>
      <c r="FI91" s="37"/>
      <c r="FJ91" s="37"/>
      <c r="FK91" s="37"/>
      <c r="FL91" s="37"/>
      <c r="FM91" s="37"/>
      <c r="FN91" s="37"/>
      <c r="FO91" s="37"/>
      <c r="FP91" s="37"/>
      <c r="FQ91" s="37"/>
      <c r="FR91" s="37"/>
      <c r="FS91" s="37"/>
      <c r="FT91" s="37"/>
      <c r="FU91" s="37"/>
      <c r="FV91" s="37"/>
      <c r="FW91" s="37"/>
      <c r="FX91" s="37"/>
      <c r="FY91" s="37"/>
      <c r="FZ91" s="37"/>
      <c r="GA91" s="37"/>
      <c r="GB91" s="37"/>
      <c r="GC91" s="37"/>
      <c r="GD91" s="37"/>
      <c r="GE91" s="37"/>
      <c r="GF91" s="37"/>
      <c r="GG91" s="37"/>
      <c r="GH91" s="37"/>
      <c r="GI91" s="37"/>
      <c r="GJ91" s="37"/>
      <c r="GK91" s="37"/>
      <c r="GL91" s="37"/>
      <c r="GM91" s="37"/>
      <c r="GN91" s="37"/>
      <c r="GO91" s="37"/>
      <c r="GP91" s="37"/>
      <c r="GQ91" s="37"/>
      <c r="GR91" s="37"/>
      <c r="GS91" s="37"/>
      <c r="GT91" s="37"/>
      <c r="GU91" s="37"/>
      <c r="GV91" s="37"/>
      <c r="GW91" s="37"/>
      <c r="GX91" s="37"/>
      <c r="GY91" s="37"/>
      <c r="GZ91" s="37"/>
      <c r="HA91" s="37"/>
      <c r="HB91" s="37"/>
      <c r="HC91" s="37"/>
      <c r="HD91" s="37"/>
      <c r="HE91" s="37"/>
      <c r="HF91" s="37"/>
      <c r="HG91" s="37"/>
      <c r="HH91" s="37"/>
      <c r="HI91" s="37"/>
      <c r="HJ91" s="37"/>
      <c r="HK91" s="37"/>
      <c r="HL91" s="37"/>
      <c r="HM91" s="37"/>
      <c r="HN91" s="37"/>
      <c r="HO91" s="37"/>
      <c r="HP91" s="37"/>
      <c r="HQ91" s="37"/>
      <c r="HR91" s="37"/>
      <c r="HS91" s="37"/>
      <c r="HT91" s="37"/>
      <c r="HU91" s="37"/>
      <c r="HV91" s="37"/>
      <c r="HW91" s="37"/>
      <c r="HX91" s="37"/>
      <c r="HY91" s="37"/>
      <c r="HZ91" s="37"/>
      <c r="IA91" s="37"/>
      <c r="IB91" s="37"/>
      <c r="IC91" s="37"/>
    </row>
    <row r="92" spans="1:237" s="40" customFormat="1" x14ac:dyDescent="0.2">
      <c r="A92" s="62"/>
      <c r="B92" s="63"/>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37"/>
      <c r="BL92" s="37"/>
      <c r="BM92" s="37"/>
      <c r="BN92" s="37"/>
      <c r="BO92" s="37"/>
      <c r="BP92" s="37"/>
      <c r="BQ92" s="37"/>
      <c r="BR92" s="37"/>
      <c r="BS92" s="37"/>
      <c r="BT92" s="37"/>
      <c r="BU92" s="37"/>
      <c r="BV92" s="37"/>
      <c r="BW92" s="37"/>
      <c r="BX92" s="37"/>
      <c r="BY92" s="37"/>
      <c r="BZ92" s="37"/>
      <c r="CA92" s="37"/>
      <c r="CB92" s="37"/>
      <c r="CC92" s="37"/>
      <c r="CD92" s="37"/>
      <c r="CE92" s="37"/>
      <c r="CF92" s="37"/>
      <c r="CG92" s="37"/>
      <c r="CH92" s="37"/>
      <c r="CI92" s="37"/>
      <c r="CJ92" s="37"/>
      <c r="CK92" s="37"/>
      <c r="CL92" s="37"/>
      <c r="CM92" s="37"/>
      <c r="CN92" s="37"/>
      <c r="CO92" s="37"/>
      <c r="CP92" s="37"/>
      <c r="CQ92" s="37"/>
      <c r="CR92" s="37"/>
      <c r="CS92" s="37"/>
      <c r="CT92" s="37"/>
      <c r="CU92" s="37"/>
      <c r="CV92" s="37"/>
      <c r="CW92" s="37"/>
      <c r="CX92" s="37"/>
      <c r="CY92" s="37"/>
      <c r="CZ92" s="37"/>
      <c r="DA92" s="37"/>
      <c r="DB92" s="37"/>
      <c r="DC92" s="37"/>
      <c r="DD92" s="37"/>
      <c r="DE92" s="37"/>
      <c r="DF92" s="37"/>
      <c r="DG92" s="37"/>
      <c r="DH92" s="37"/>
      <c r="DI92" s="37"/>
      <c r="DJ92" s="37"/>
      <c r="DK92" s="37"/>
      <c r="DL92" s="37"/>
      <c r="DM92" s="37"/>
      <c r="DN92" s="37"/>
      <c r="DO92" s="37"/>
      <c r="DP92" s="37"/>
      <c r="DQ92" s="37"/>
      <c r="DR92" s="37"/>
      <c r="DS92" s="37"/>
      <c r="DT92" s="37"/>
      <c r="DU92" s="37"/>
      <c r="DV92" s="37"/>
      <c r="DW92" s="37"/>
      <c r="DX92" s="37"/>
      <c r="DY92" s="37"/>
      <c r="DZ92" s="37"/>
      <c r="EA92" s="37"/>
      <c r="EB92" s="37"/>
      <c r="EC92" s="37"/>
      <c r="ED92" s="37"/>
      <c r="EE92" s="37"/>
      <c r="EF92" s="37"/>
      <c r="EG92" s="37"/>
      <c r="EH92" s="37"/>
      <c r="EI92" s="37"/>
      <c r="EJ92" s="37"/>
      <c r="EK92" s="37"/>
      <c r="EL92" s="37"/>
      <c r="EM92" s="37"/>
      <c r="EN92" s="37"/>
      <c r="EO92" s="37"/>
      <c r="EP92" s="37"/>
      <c r="EQ92" s="37"/>
      <c r="ER92" s="37"/>
      <c r="ES92" s="37"/>
      <c r="ET92" s="37"/>
      <c r="EU92" s="37"/>
      <c r="EV92" s="37"/>
      <c r="EW92" s="37"/>
      <c r="EX92" s="37"/>
      <c r="EY92" s="37"/>
      <c r="EZ92" s="37"/>
      <c r="FA92" s="37"/>
      <c r="FB92" s="37"/>
      <c r="FC92" s="37"/>
      <c r="FD92" s="37"/>
      <c r="FE92" s="37"/>
      <c r="FF92" s="37"/>
      <c r="FG92" s="37"/>
      <c r="FH92" s="37"/>
      <c r="FI92" s="37"/>
      <c r="FJ92" s="37"/>
      <c r="FK92" s="37"/>
      <c r="FL92" s="37"/>
      <c r="FM92" s="37"/>
      <c r="FN92" s="37"/>
      <c r="FO92" s="37"/>
      <c r="FP92" s="37"/>
      <c r="FQ92" s="37"/>
      <c r="FR92" s="37"/>
      <c r="FS92" s="37"/>
      <c r="FT92" s="37"/>
      <c r="FU92" s="37"/>
      <c r="FV92" s="37"/>
      <c r="FW92" s="37"/>
      <c r="FX92" s="37"/>
      <c r="FY92" s="37"/>
      <c r="FZ92" s="37"/>
      <c r="GA92" s="37"/>
      <c r="GB92" s="37"/>
      <c r="GC92" s="37"/>
      <c r="GD92" s="37"/>
      <c r="GE92" s="37"/>
      <c r="GF92" s="37"/>
      <c r="GG92" s="37"/>
      <c r="GH92" s="37"/>
      <c r="GI92" s="37"/>
      <c r="GJ92" s="37"/>
      <c r="GK92" s="37"/>
      <c r="GL92" s="37"/>
      <c r="GM92" s="37"/>
      <c r="GN92" s="37"/>
      <c r="GO92" s="37"/>
      <c r="GP92" s="37"/>
      <c r="GQ92" s="37"/>
      <c r="GR92" s="37"/>
      <c r="GS92" s="37"/>
      <c r="GT92" s="37"/>
      <c r="GU92" s="37"/>
      <c r="GV92" s="37"/>
      <c r="GW92" s="37"/>
      <c r="GX92" s="37"/>
      <c r="GY92" s="37"/>
      <c r="GZ92" s="37"/>
      <c r="HA92" s="37"/>
      <c r="HB92" s="37"/>
      <c r="HC92" s="37"/>
      <c r="HD92" s="37"/>
      <c r="HE92" s="37"/>
      <c r="HF92" s="37"/>
      <c r="HG92" s="37"/>
      <c r="HH92" s="37"/>
      <c r="HI92" s="37"/>
      <c r="HJ92" s="37"/>
      <c r="HK92" s="37"/>
      <c r="HL92" s="37"/>
      <c r="HM92" s="37"/>
      <c r="HN92" s="37"/>
      <c r="HO92" s="37"/>
      <c r="HP92" s="37"/>
      <c r="HQ92" s="37"/>
      <c r="HR92" s="37"/>
      <c r="HS92" s="37"/>
      <c r="HT92" s="37"/>
      <c r="HU92" s="37"/>
      <c r="HV92" s="37"/>
      <c r="HW92" s="37"/>
      <c r="HX92" s="37"/>
      <c r="HY92" s="37"/>
      <c r="HZ92" s="37"/>
      <c r="IA92" s="37"/>
      <c r="IB92" s="37"/>
      <c r="IC92" s="37"/>
    </row>
    <row r="93" spans="1:237" s="40" customFormat="1" x14ac:dyDescent="0.2">
      <c r="A93" s="62"/>
      <c r="B93" s="63"/>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c r="BC93" s="37"/>
      <c r="BD93" s="37"/>
      <c r="BE93" s="37"/>
      <c r="BF93" s="37"/>
      <c r="BG93" s="37"/>
      <c r="BH93" s="37"/>
      <c r="BI93" s="37"/>
      <c r="BJ93" s="37"/>
      <c r="BK93" s="37"/>
      <c r="BL93" s="37"/>
      <c r="BM93" s="37"/>
      <c r="BN93" s="37"/>
      <c r="BO93" s="37"/>
      <c r="BP93" s="37"/>
      <c r="BQ93" s="37"/>
      <c r="BR93" s="37"/>
      <c r="BS93" s="37"/>
      <c r="BT93" s="37"/>
      <c r="BU93" s="37"/>
      <c r="BV93" s="37"/>
      <c r="BW93" s="37"/>
      <c r="BX93" s="37"/>
      <c r="BY93" s="37"/>
      <c r="BZ93" s="37"/>
      <c r="CA93" s="37"/>
      <c r="CB93" s="37"/>
      <c r="CC93" s="37"/>
      <c r="CD93" s="37"/>
      <c r="CE93" s="37"/>
      <c r="CF93" s="37"/>
      <c r="CG93" s="37"/>
      <c r="CH93" s="37"/>
      <c r="CI93" s="37"/>
      <c r="CJ93" s="37"/>
      <c r="CK93" s="37"/>
      <c r="CL93" s="37"/>
      <c r="CM93" s="37"/>
      <c r="CN93" s="37"/>
      <c r="CO93" s="37"/>
      <c r="CP93" s="37"/>
      <c r="CQ93" s="37"/>
      <c r="CR93" s="37"/>
      <c r="CS93" s="37"/>
      <c r="CT93" s="37"/>
      <c r="CU93" s="37"/>
      <c r="CV93" s="37"/>
      <c r="CW93" s="37"/>
      <c r="CX93" s="37"/>
      <c r="CY93" s="37"/>
      <c r="CZ93" s="37"/>
      <c r="DA93" s="37"/>
      <c r="DB93" s="37"/>
      <c r="DC93" s="37"/>
      <c r="DD93" s="37"/>
      <c r="DE93" s="37"/>
      <c r="DF93" s="37"/>
      <c r="DG93" s="37"/>
      <c r="DH93" s="37"/>
      <c r="DI93" s="37"/>
      <c r="DJ93" s="37"/>
      <c r="DK93" s="37"/>
      <c r="DL93" s="37"/>
      <c r="DM93" s="37"/>
      <c r="DN93" s="37"/>
      <c r="DO93" s="37"/>
      <c r="DP93" s="37"/>
      <c r="DQ93" s="37"/>
      <c r="DR93" s="37"/>
      <c r="DS93" s="37"/>
      <c r="DT93" s="37"/>
      <c r="DU93" s="37"/>
      <c r="DV93" s="37"/>
      <c r="DW93" s="37"/>
      <c r="DX93" s="37"/>
      <c r="DY93" s="37"/>
      <c r="DZ93" s="37"/>
      <c r="EA93" s="37"/>
      <c r="EB93" s="37"/>
      <c r="EC93" s="37"/>
      <c r="ED93" s="37"/>
      <c r="EE93" s="37"/>
      <c r="EF93" s="37"/>
      <c r="EG93" s="37"/>
      <c r="EH93" s="37"/>
      <c r="EI93" s="37"/>
      <c r="EJ93" s="37"/>
      <c r="EK93" s="37"/>
      <c r="EL93" s="37"/>
      <c r="EM93" s="37"/>
      <c r="EN93" s="37"/>
      <c r="EO93" s="37"/>
      <c r="EP93" s="37"/>
      <c r="EQ93" s="37"/>
      <c r="ER93" s="37"/>
      <c r="ES93" s="37"/>
      <c r="ET93" s="37"/>
      <c r="EU93" s="37"/>
      <c r="EV93" s="37"/>
      <c r="EW93" s="37"/>
      <c r="EX93" s="37"/>
      <c r="EY93" s="37"/>
      <c r="EZ93" s="37"/>
      <c r="FA93" s="37"/>
      <c r="FB93" s="37"/>
      <c r="FC93" s="37"/>
      <c r="FD93" s="37"/>
      <c r="FE93" s="37"/>
      <c r="FF93" s="37"/>
      <c r="FG93" s="37"/>
      <c r="FH93" s="37"/>
      <c r="FI93" s="37"/>
      <c r="FJ93" s="37"/>
      <c r="FK93" s="37"/>
      <c r="FL93" s="37"/>
      <c r="FM93" s="37"/>
      <c r="FN93" s="37"/>
      <c r="FO93" s="37"/>
      <c r="FP93" s="37"/>
      <c r="FQ93" s="37"/>
      <c r="FR93" s="37"/>
      <c r="FS93" s="37"/>
      <c r="FT93" s="37"/>
      <c r="FU93" s="37"/>
      <c r="FV93" s="37"/>
      <c r="FW93" s="37"/>
      <c r="FX93" s="37"/>
      <c r="FY93" s="37"/>
      <c r="FZ93" s="37"/>
      <c r="GA93" s="37"/>
      <c r="GB93" s="37"/>
      <c r="GC93" s="37"/>
      <c r="GD93" s="37"/>
      <c r="GE93" s="37"/>
      <c r="GF93" s="37"/>
      <c r="GG93" s="37"/>
      <c r="GH93" s="37"/>
      <c r="GI93" s="37"/>
      <c r="GJ93" s="37"/>
      <c r="GK93" s="37"/>
      <c r="GL93" s="37"/>
      <c r="GM93" s="37"/>
      <c r="GN93" s="37"/>
      <c r="GO93" s="37"/>
      <c r="GP93" s="37"/>
      <c r="GQ93" s="37"/>
      <c r="GR93" s="37"/>
      <c r="GS93" s="37"/>
      <c r="GT93" s="37"/>
      <c r="GU93" s="37"/>
      <c r="GV93" s="37"/>
      <c r="GW93" s="37"/>
      <c r="GX93" s="37"/>
      <c r="GY93" s="37"/>
      <c r="GZ93" s="37"/>
      <c r="HA93" s="37"/>
      <c r="HB93" s="37"/>
      <c r="HC93" s="37"/>
      <c r="HD93" s="37"/>
      <c r="HE93" s="37"/>
      <c r="HF93" s="37"/>
      <c r="HG93" s="37"/>
      <c r="HH93" s="37"/>
      <c r="HI93" s="37"/>
      <c r="HJ93" s="37"/>
      <c r="HK93" s="37"/>
      <c r="HL93" s="37"/>
      <c r="HM93" s="37"/>
      <c r="HN93" s="37"/>
      <c r="HO93" s="37"/>
      <c r="HP93" s="37"/>
      <c r="HQ93" s="37"/>
      <c r="HR93" s="37"/>
      <c r="HS93" s="37"/>
      <c r="HT93" s="37"/>
      <c r="HU93" s="37"/>
      <c r="HV93" s="37"/>
      <c r="HW93" s="37"/>
      <c r="HX93" s="37"/>
      <c r="HY93" s="37"/>
      <c r="HZ93" s="37"/>
      <c r="IA93" s="37"/>
      <c r="IB93" s="37"/>
      <c r="IC93" s="37"/>
    </row>
    <row r="94" spans="1:237" s="40" customFormat="1" x14ac:dyDescent="0.2">
      <c r="A94" s="62"/>
      <c r="B94" s="63"/>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37"/>
      <c r="BY94" s="37"/>
      <c r="BZ94" s="37"/>
      <c r="CA94" s="37"/>
      <c r="CB94" s="37"/>
      <c r="CC94" s="37"/>
      <c r="CD94" s="37"/>
      <c r="CE94" s="37"/>
      <c r="CF94" s="37"/>
      <c r="CG94" s="37"/>
      <c r="CH94" s="37"/>
      <c r="CI94" s="37"/>
      <c r="CJ94" s="37"/>
      <c r="CK94" s="37"/>
      <c r="CL94" s="37"/>
      <c r="CM94" s="37"/>
      <c r="CN94" s="37"/>
      <c r="CO94" s="37"/>
      <c r="CP94" s="37"/>
      <c r="CQ94" s="37"/>
      <c r="CR94" s="37"/>
      <c r="CS94" s="37"/>
      <c r="CT94" s="37"/>
      <c r="CU94" s="37"/>
      <c r="CV94" s="37"/>
      <c r="CW94" s="37"/>
      <c r="CX94" s="37"/>
      <c r="CY94" s="37"/>
      <c r="CZ94" s="37"/>
      <c r="DA94" s="37"/>
      <c r="DB94" s="37"/>
      <c r="DC94" s="37"/>
      <c r="DD94" s="37"/>
      <c r="DE94" s="37"/>
      <c r="DF94" s="37"/>
      <c r="DG94" s="37"/>
      <c r="DH94" s="37"/>
      <c r="DI94" s="37"/>
      <c r="DJ94" s="37"/>
      <c r="DK94" s="37"/>
      <c r="DL94" s="37"/>
      <c r="DM94" s="37"/>
      <c r="DN94" s="37"/>
      <c r="DO94" s="37"/>
      <c r="DP94" s="37"/>
      <c r="DQ94" s="37"/>
      <c r="DR94" s="37"/>
      <c r="DS94" s="37"/>
      <c r="DT94" s="37"/>
      <c r="DU94" s="37"/>
      <c r="DV94" s="37"/>
      <c r="DW94" s="37"/>
      <c r="DX94" s="37"/>
      <c r="DY94" s="37"/>
      <c r="DZ94" s="37"/>
      <c r="EA94" s="37"/>
      <c r="EB94" s="37"/>
      <c r="EC94" s="37"/>
      <c r="ED94" s="37"/>
      <c r="EE94" s="37"/>
      <c r="EF94" s="37"/>
      <c r="EG94" s="37"/>
      <c r="EH94" s="37"/>
      <c r="EI94" s="37"/>
      <c r="EJ94" s="37"/>
      <c r="EK94" s="37"/>
      <c r="EL94" s="37"/>
      <c r="EM94" s="37"/>
      <c r="EN94" s="37"/>
      <c r="EO94" s="37"/>
      <c r="EP94" s="37"/>
      <c r="EQ94" s="37"/>
      <c r="ER94" s="37"/>
      <c r="ES94" s="37"/>
      <c r="ET94" s="37"/>
      <c r="EU94" s="37"/>
      <c r="EV94" s="37"/>
      <c r="EW94" s="37"/>
      <c r="EX94" s="37"/>
      <c r="EY94" s="37"/>
      <c r="EZ94" s="37"/>
      <c r="FA94" s="37"/>
      <c r="FB94" s="37"/>
      <c r="FC94" s="37"/>
      <c r="FD94" s="37"/>
      <c r="FE94" s="37"/>
      <c r="FF94" s="37"/>
      <c r="FG94" s="37"/>
      <c r="FH94" s="37"/>
      <c r="FI94" s="37"/>
      <c r="FJ94" s="37"/>
      <c r="FK94" s="37"/>
      <c r="FL94" s="37"/>
      <c r="FM94" s="37"/>
      <c r="FN94" s="37"/>
      <c r="FO94" s="37"/>
      <c r="FP94" s="37"/>
      <c r="FQ94" s="37"/>
      <c r="FR94" s="37"/>
      <c r="FS94" s="37"/>
      <c r="FT94" s="37"/>
      <c r="FU94" s="37"/>
      <c r="FV94" s="37"/>
      <c r="FW94" s="37"/>
      <c r="FX94" s="37"/>
      <c r="FY94" s="37"/>
      <c r="FZ94" s="37"/>
      <c r="GA94" s="37"/>
      <c r="GB94" s="37"/>
      <c r="GC94" s="37"/>
      <c r="GD94" s="37"/>
      <c r="GE94" s="37"/>
      <c r="GF94" s="37"/>
      <c r="GG94" s="37"/>
      <c r="GH94" s="37"/>
      <c r="GI94" s="37"/>
      <c r="GJ94" s="37"/>
      <c r="GK94" s="37"/>
      <c r="GL94" s="37"/>
      <c r="GM94" s="37"/>
      <c r="GN94" s="37"/>
      <c r="GO94" s="37"/>
      <c r="GP94" s="37"/>
      <c r="GQ94" s="37"/>
      <c r="GR94" s="37"/>
      <c r="GS94" s="37"/>
      <c r="GT94" s="37"/>
      <c r="GU94" s="37"/>
      <c r="GV94" s="37"/>
      <c r="GW94" s="37"/>
      <c r="GX94" s="37"/>
      <c r="GY94" s="37"/>
      <c r="GZ94" s="37"/>
      <c r="HA94" s="37"/>
      <c r="HB94" s="37"/>
      <c r="HC94" s="37"/>
      <c r="HD94" s="37"/>
      <c r="HE94" s="37"/>
      <c r="HF94" s="37"/>
      <c r="HG94" s="37"/>
      <c r="HH94" s="37"/>
      <c r="HI94" s="37"/>
      <c r="HJ94" s="37"/>
      <c r="HK94" s="37"/>
      <c r="HL94" s="37"/>
      <c r="HM94" s="37"/>
      <c r="HN94" s="37"/>
      <c r="HO94" s="37"/>
      <c r="HP94" s="37"/>
      <c r="HQ94" s="37"/>
      <c r="HR94" s="37"/>
      <c r="HS94" s="37"/>
      <c r="HT94" s="37"/>
      <c r="HU94" s="37"/>
      <c r="HV94" s="37"/>
      <c r="HW94" s="37"/>
      <c r="HX94" s="37"/>
      <c r="HY94" s="37"/>
      <c r="HZ94" s="37"/>
      <c r="IA94" s="37"/>
      <c r="IB94" s="37"/>
      <c r="IC94" s="37"/>
    </row>
    <row r="95" spans="1:237" s="40" customFormat="1" x14ac:dyDescent="0.2">
      <c r="A95" s="62"/>
      <c r="B95" s="63"/>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c r="BV95" s="37"/>
      <c r="BW95" s="37"/>
      <c r="BX95" s="37"/>
      <c r="BY95" s="37"/>
      <c r="BZ95" s="37"/>
      <c r="CA95" s="37"/>
      <c r="CB95" s="37"/>
      <c r="CC95" s="37"/>
      <c r="CD95" s="37"/>
      <c r="CE95" s="37"/>
      <c r="CF95" s="37"/>
      <c r="CG95" s="37"/>
      <c r="CH95" s="37"/>
      <c r="CI95" s="37"/>
      <c r="CJ95" s="37"/>
      <c r="CK95" s="37"/>
      <c r="CL95" s="37"/>
      <c r="CM95" s="37"/>
      <c r="CN95" s="37"/>
      <c r="CO95" s="37"/>
      <c r="CP95" s="37"/>
      <c r="CQ95" s="37"/>
      <c r="CR95" s="37"/>
      <c r="CS95" s="37"/>
      <c r="CT95" s="37"/>
      <c r="CU95" s="37"/>
      <c r="CV95" s="37"/>
      <c r="CW95" s="37"/>
      <c r="CX95" s="37"/>
      <c r="CY95" s="37"/>
      <c r="CZ95" s="37"/>
      <c r="DA95" s="37"/>
      <c r="DB95" s="37"/>
      <c r="DC95" s="37"/>
      <c r="DD95" s="37"/>
      <c r="DE95" s="37"/>
      <c r="DF95" s="37"/>
      <c r="DG95" s="37"/>
      <c r="DH95" s="37"/>
      <c r="DI95" s="37"/>
      <c r="DJ95" s="37"/>
      <c r="DK95" s="37"/>
      <c r="DL95" s="37"/>
      <c r="DM95" s="37"/>
      <c r="DN95" s="37"/>
      <c r="DO95" s="37"/>
      <c r="DP95" s="37"/>
      <c r="DQ95" s="37"/>
      <c r="DR95" s="37"/>
      <c r="DS95" s="37"/>
      <c r="DT95" s="37"/>
      <c r="DU95" s="37"/>
      <c r="DV95" s="37"/>
      <c r="DW95" s="37"/>
      <c r="DX95" s="37"/>
      <c r="DY95" s="37"/>
      <c r="DZ95" s="37"/>
      <c r="EA95" s="37"/>
      <c r="EB95" s="37"/>
      <c r="EC95" s="37"/>
      <c r="ED95" s="37"/>
      <c r="EE95" s="37"/>
      <c r="EF95" s="37"/>
      <c r="EG95" s="37"/>
      <c r="EH95" s="37"/>
      <c r="EI95" s="37"/>
      <c r="EJ95" s="37"/>
      <c r="EK95" s="37"/>
      <c r="EL95" s="37"/>
      <c r="EM95" s="37"/>
      <c r="EN95" s="37"/>
      <c r="EO95" s="37"/>
      <c r="EP95" s="37"/>
      <c r="EQ95" s="37"/>
      <c r="ER95" s="37"/>
      <c r="ES95" s="37"/>
      <c r="ET95" s="37"/>
      <c r="EU95" s="37"/>
      <c r="EV95" s="37"/>
      <c r="EW95" s="37"/>
      <c r="EX95" s="37"/>
      <c r="EY95" s="37"/>
      <c r="EZ95" s="37"/>
      <c r="FA95" s="37"/>
      <c r="FB95" s="37"/>
      <c r="FC95" s="37"/>
      <c r="FD95" s="37"/>
      <c r="FE95" s="37"/>
      <c r="FF95" s="37"/>
      <c r="FG95" s="37"/>
      <c r="FH95" s="37"/>
      <c r="FI95" s="37"/>
      <c r="FJ95" s="37"/>
      <c r="FK95" s="37"/>
      <c r="FL95" s="37"/>
      <c r="FM95" s="37"/>
      <c r="FN95" s="37"/>
      <c r="FO95" s="37"/>
      <c r="FP95" s="37"/>
      <c r="FQ95" s="37"/>
      <c r="FR95" s="37"/>
      <c r="FS95" s="37"/>
      <c r="FT95" s="37"/>
      <c r="FU95" s="37"/>
      <c r="FV95" s="37"/>
      <c r="FW95" s="37"/>
      <c r="FX95" s="37"/>
      <c r="FY95" s="37"/>
      <c r="FZ95" s="37"/>
      <c r="GA95" s="37"/>
      <c r="GB95" s="37"/>
      <c r="GC95" s="37"/>
      <c r="GD95" s="37"/>
      <c r="GE95" s="37"/>
      <c r="GF95" s="37"/>
      <c r="GG95" s="37"/>
      <c r="GH95" s="37"/>
      <c r="GI95" s="37"/>
      <c r="GJ95" s="37"/>
      <c r="GK95" s="37"/>
      <c r="GL95" s="37"/>
      <c r="GM95" s="37"/>
      <c r="GN95" s="37"/>
      <c r="GO95" s="37"/>
      <c r="GP95" s="37"/>
      <c r="GQ95" s="37"/>
      <c r="GR95" s="37"/>
      <c r="GS95" s="37"/>
      <c r="GT95" s="37"/>
      <c r="GU95" s="37"/>
      <c r="GV95" s="37"/>
      <c r="GW95" s="37"/>
      <c r="GX95" s="37"/>
      <c r="GY95" s="37"/>
      <c r="GZ95" s="37"/>
      <c r="HA95" s="37"/>
      <c r="HB95" s="37"/>
      <c r="HC95" s="37"/>
      <c r="HD95" s="37"/>
      <c r="HE95" s="37"/>
      <c r="HF95" s="37"/>
      <c r="HG95" s="37"/>
      <c r="HH95" s="37"/>
      <c r="HI95" s="37"/>
      <c r="HJ95" s="37"/>
      <c r="HK95" s="37"/>
      <c r="HL95" s="37"/>
      <c r="HM95" s="37"/>
      <c r="HN95" s="37"/>
      <c r="HO95" s="37"/>
      <c r="HP95" s="37"/>
      <c r="HQ95" s="37"/>
      <c r="HR95" s="37"/>
      <c r="HS95" s="37"/>
      <c r="HT95" s="37"/>
      <c r="HU95" s="37"/>
      <c r="HV95" s="37"/>
      <c r="HW95" s="37"/>
      <c r="HX95" s="37"/>
      <c r="HY95" s="37"/>
      <c r="HZ95" s="37"/>
      <c r="IA95" s="37"/>
      <c r="IB95" s="37"/>
      <c r="IC95" s="37"/>
    </row>
    <row r="96" spans="1:237" s="40" customFormat="1" x14ac:dyDescent="0.2">
      <c r="A96" s="62"/>
      <c r="B96" s="63"/>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c r="BS96" s="37"/>
      <c r="BT96" s="37"/>
      <c r="BU96" s="37"/>
      <c r="BV96" s="37"/>
      <c r="BW96" s="37"/>
      <c r="BX96" s="37"/>
      <c r="BY96" s="37"/>
      <c r="BZ96" s="37"/>
      <c r="CA96" s="37"/>
      <c r="CB96" s="37"/>
      <c r="CC96" s="37"/>
      <c r="CD96" s="37"/>
      <c r="CE96" s="37"/>
      <c r="CF96" s="37"/>
      <c r="CG96" s="37"/>
      <c r="CH96" s="37"/>
      <c r="CI96" s="37"/>
      <c r="CJ96" s="37"/>
      <c r="CK96" s="37"/>
      <c r="CL96" s="37"/>
      <c r="CM96" s="37"/>
      <c r="CN96" s="37"/>
      <c r="CO96" s="37"/>
      <c r="CP96" s="37"/>
      <c r="CQ96" s="37"/>
      <c r="CR96" s="37"/>
      <c r="CS96" s="37"/>
      <c r="CT96" s="37"/>
      <c r="CU96" s="37"/>
      <c r="CV96" s="37"/>
      <c r="CW96" s="37"/>
      <c r="CX96" s="37"/>
      <c r="CY96" s="37"/>
      <c r="CZ96" s="37"/>
      <c r="DA96" s="37"/>
      <c r="DB96" s="37"/>
      <c r="DC96" s="37"/>
      <c r="DD96" s="37"/>
      <c r="DE96" s="37"/>
      <c r="DF96" s="37"/>
      <c r="DG96" s="37"/>
      <c r="DH96" s="37"/>
      <c r="DI96" s="37"/>
      <c r="DJ96" s="37"/>
      <c r="DK96" s="37"/>
      <c r="DL96" s="37"/>
      <c r="DM96" s="37"/>
      <c r="DN96" s="37"/>
      <c r="DO96" s="37"/>
      <c r="DP96" s="37"/>
      <c r="DQ96" s="37"/>
      <c r="DR96" s="37"/>
      <c r="DS96" s="37"/>
      <c r="DT96" s="37"/>
      <c r="DU96" s="37"/>
      <c r="DV96" s="37"/>
      <c r="DW96" s="37"/>
      <c r="DX96" s="37"/>
      <c r="DY96" s="37"/>
      <c r="DZ96" s="37"/>
      <c r="EA96" s="37"/>
      <c r="EB96" s="37"/>
      <c r="EC96" s="37"/>
      <c r="ED96" s="37"/>
      <c r="EE96" s="37"/>
      <c r="EF96" s="37"/>
      <c r="EG96" s="37"/>
      <c r="EH96" s="37"/>
      <c r="EI96" s="37"/>
      <c r="EJ96" s="37"/>
      <c r="EK96" s="37"/>
      <c r="EL96" s="37"/>
      <c r="EM96" s="37"/>
      <c r="EN96" s="37"/>
      <c r="EO96" s="37"/>
      <c r="EP96" s="37"/>
      <c r="EQ96" s="37"/>
      <c r="ER96" s="37"/>
      <c r="ES96" s="37"/>
      <c r="ET96" s="37"/>
      <c r="EU96" s="37"/>
      <c r="EV96" s="37"/>
      <c r="EW96" s="37"/>
      <c r="EX96" s="37"/>
      <c r="EY96" s="37"/>
      <c r="EZ96" s="37"/>
      <c r="FA96" s="37"/>
      <c r="FB96" s="37"/>
      <c r="FC96" s="37"/>
      <c r="FD96" s="37"/>
      <c r="FE96" s="37"/>
      <c r="FF96" s="37"/>
      <c r="FG96" s="37"/>
      <c r="FH96" s="37"/>
      <c r="FI96" s="37"/>
      <c r="FJ96" s="37"/>
      <c r="FK96" s="37"/>
      <c r="FL96" s="37"/>
      <c r="FM96" s="37"/>
      <c r="FN96" s="37"/>
      <c r="FO96" s="37"/>
      <c r="FP96" s="37"/>
      <c r="FQ96" s="37"/>
      <c r="FR96" s="37"/>
      <c r="FS96" s="37"/>
      <c r="FT96" s="37"/>
      <c r="FU96" s="37"/>
      <c r="FV96" s="37"/>
      <c r="FW96" s="37"/>
      <c r="FX96" s="37"/>
      <c r="FY96" s="37"/>
      <c r="FZ96" s="37"/>
      <c r="GA96" s="37"/>
      <c r="GB96" s="37"/>
      <c r="GC96" s="37"/>
      <c r="GD96" s="37"/>
      <c r="GE96" s="37"/>
      <c r="GF96" s="37"/>
      <c r="GG96" s="37"/>
      <c r="GH96" s="37"/>
      <c r="GI96" s="37"/>
      <c r="GJ96" s="37"/>
      <c r="GK96" s="37"/>
      <c r="GL96" s="37"/>
      <c r="GM96" s="37"/>
      <c r="GN96" s="37"/>
      <c r="GO96" s="37"/>
      <c r="GP96" s="37"/>
      <c r="GQ96" s="37"/>
      <c r="GR96" s="37"/>
      <c r="GS96" s="37"/>
      <c r="GT96" s="37"/>
      <c r="GU96" s="37"/>
      <c r="GV96" s="37"/>
      <c r="GW96" s="37"/>
      <c r="GX96" s="37"/>
      <c r="GY96" s="37"/>
      <c r="GZ96" s="37"/>
      <c r="HA96" s="37"/>
      <c r="HB96" s="37"/>
      <c r="HC96" s="37"/>
      <c r="HD96" s="37"/>
      <c r="HE96" s="37"/>
      <c r="HF96" s="37"/>
      <c r="HG96" s="37"/>
      <c r="HH96" s="37"/>
      <c r="HI96" s="37"/>
      <c r="HJ96" s="37"/>
      <c r="HK96" s="37"/>
      <c r="HL96" s="37"/>
      <c r="HM96" s="37"/>
      <c r="HN96" s="37"/>
      <c r="HO96" s="37"/>
      <c r="HP96" s="37"/>
      <c r="HQ96" s="37"/>
      <c r="HR96" s="37"/>
      <c r="HS96" s="37"/>
      <c r="HT96" s="37"/>
      <c r="HU96" s="37"/>
      <c r="HV96" s="37"/>
      <c r="HW96" s="37"/>
      <c r="HX96" s="37"/>
      <c r="HY96" s="37"/>
      <c r="HZ96" s="37"/>
      <c r="IA96" s="37"/>
      <c r="IB96" s="37"/>
      <c r="IC96" s="37"/>
    </row>
    <row r="97" spans="1:237" s="40" customFormat="1" x14ac:dyDescent="0.2">
      <c r="A97" s="62"/>
      <c r="B97" s="63"/>
      <c r="J97" s="37"/>
      <c r="K97" s="37"/>
      <c r="L97" s="37"/>
      <c r="M97" s="3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c r="BB97" s="37"/>
      <c r="BC97" s="37"/>
      <c r="BD97" s="37"/>
      <c r="BE97" s="37"/>
      <c r="BF97" s="37"/>
      <c r="BG97" s="37"/>
      <c r="BH97" s="37"/>
      <c r="BI97" s="37"/>
      <c r="BJ97" s="37"/>
      <c r="BK97" s="37"/>
      <c r="BL97" s="37"/>
      <c r="BM97" s="37"/>
      <c r="BN97" s="37"/>
      <c r="BO97" s="37"/>
      <c r="BP97" s="37"/>
      <c r="BQ97" s="37"/>
      <c r="BR97" s="37"/>
      <c r="BS97" s="37"/>
      <c r="BT97" s="37"/>
      <c r="BU97" s="37"/>
      <c r="BV97" s="37"/>
      <c r="BW97" s="37"/>
      <c r="BX97" s="37"/>
      <c r="BY97" s="37"/>
      <c r="BZ97" s="37"/>
      <c r="CA97" s="37"/>
      <c r="CB97" s="37"/>
      <c r="CC97" s="37"/>
      <c r="CD97" s="37"/>
      <c r="CE97" s="37"/>
      <c r="CF97" s="37"/>
      <c r="CG97" s="37"/>
      <c r="CH97" s="37"/>
      <c r="CI97" s="37"/>
      <c r="CJ97" s="37"/>
      <c r="CK97" s="37"/>
      <c r="CL97" s="37"/>
      <c r="CM97" s="37"/>
      <c r="CN97" s="37"/>
      <c r="CO97" s="37"/>
      <c r="CP97" s="37"/>
      <c r="CQ97" s="37"/>
      <c r="CR97" s="37"/>
      <c r="CS97" s="37"/>
      <c r="CT97" s="37"/>
      <c r="CU97" s="37"/>
      <c r="CV97" s="37"/>
      <c r="CW97" s="37"/>
      <c r="CX97" s="37"/>
      <c r="CY97" s="37"/>
      <c r="CZ97" s="37"/>
      <c r="DA97" s="37"/>
      <c r="DB97" s="37"/>
      <c r="DC97" s="37"/>
      <c r="DD97" s="37"/>
      <c r="DE97" s="37"/>
      <c r="DF97" s="37"/>
      <c r="DG97" s="37"/>
      <c r="DH97" s="37"/>
      <c r="DI97" s="37"/>
      <c r="DJ97" s="37"/>
      <c r="DK97" s="37"/>
      <c r="DL97" s="37"/>
      <c r="DM97" s="37"/>
      <c r="DN97" s="37"/>
      <c r="DO97" s="37"/>
      <c r="DP97" s="37"/>
      <c r="DQ97" s="37"/>
      <c r="DR97" s="37"/>
      <c r="DS97" s="37"/>
      <c r="DT97" s="37"/>
      <c r="DU97" s="37"/>
      <c r="DV97" s="37"/>
      <c r="DW97" s="37"/>
      <c r="DX97" s="37"/>
      <c r="DY97" s="37"/>
      <c r="DZ97" s="37"/>
      <c r="EA97" s="37"/>
      <c r="EB97" s="37"/>
      <c r="EC97" s="37"/>
      <c r="ED97" s="37"/>
      <c r="EE97" s="37"/>
      <c r="EF97" s="37"/>
      <c r="EG97" s="37"/>
      <c r="EH97" s="37"/>
      <c r="EI97" s="37"/>
      <c r="EJ97" s="37"/>
      <c r="EK97" s="37"/>
      <c r="EL97" s="37"/>
      <c r="EM97" s="37"/>
      <c r="EN97" s="37"/>
      <c r="EO97" s="37"/>
      <c r="EP97" s="37"/>
      <c r="EQ97" s="37"/>
      <c r="ER97" s="37"/>
      <c r="ES97" s="37"/>
      <c r="ET97" s="37"/>
      <c r="EU97" s="37"/>
      <c r="EV97" s="37"/>
      <c r="EW97" s="37"/>
      <c r="EX97" s="37"/>
      <c r="EY97" s="37"/>
      <c r="EZ97" s="37"/>
      <c r="FA97" s="37"/>
      <c r="FB97" s="37"/>
      <c r="FC97" s="37"/>
      <c r="FD97" s="37"/>
      <c r="FE97" s="37"/>
      <c r="FF97" s="37"/>
      <c r="FG97" s="37"/>
      <c r="FH97" s="37"/>
      <c r="FI97" s="37"/>
      <c r="FJ97" s="37"/>
      <c r="FK97" s="37"/>
      <c r="FL97" s="37"/>
      <c r="FM97" s="37"/>
      <c r="FN97" s="37"/>
      <c r="FO97" s="37"/>
      <c r="FP97" s="37"/>
      <c r="FQ97" s="37"/>
      <c r="FR97" s="37"/>
      <c r="FS97" s="37"/>
      <c r="FT97" s="37"/>
      <c r="FU97" s="37"/>
      <c r="FV97" s="37"/>
      <c r="FW97" s="37"/>
      <c r="FX97" s="37"/>
      <c r="FY97" s="37"/>
      <c r="FZ97" s="37"/>
      <c r="GA97" s="37"/>
      <c r="GB97" s="37"/>
      <c r="GC97" s="37"/>
      <c r="GD97" s="37"/>
      <c r="GE97" s="37"/>
      <c r="GF97" s="37"/>
      <c r="GG97" s="37"/>
      <c r="GH97" s="37"/>
      <c r="GI97" s="37"/>
      <c r="GJ97" s="37"/>
      <c r="GK97" s="37"/>
      <c r="GL97" s="37"/>
      <c r="GM97" s="37"/>
      <c r="GN97" s="37"/>
      <c r="GO97" s="37"/>
      <c r="GP97" s="37"/>
      <c r="GQ97" s="37"/>
      <c r="GR97" s="37"/>
      <c r="GS97" s="37"/>
      <c r="GT97" s="37"/>
      <c r="GU97" s="37"/>
      <c r="GV97" s="37"/>
      <c r="GW97" s="37"/>
      <c r="GX97" s="37"/>
      <c r="GY97" s="37"/>
      <c r="GZ97" s="37"/>
      <c r="HA97" s="37"/>
      <c r="HB97" s="37"/>
      <c r="HC97" s="37"/>
      <c r="HD97" s="37"/>
      <c r="HE97" s="37"/>
      <c r="HF97" s="37"/>
      <c r="HG97" s="37"/>
      <c r="HH97" s="37"/>
      <c r="HI97" s="37"/>
      <c r="HJ97" s="37"/>
      <c r="HK97" s="37"/>
      <c r="HL97" s="37"/>
      <c r="HM97" s="37"/>
      <c r="HN97" s="37"/>
      <c r="HO97" s="37"/>
      <c r="HP97" s="37"/>
      <c r="HQ97" s="37"/>
      <c r="HR97" s="37"/>
      <c r="HS97" s="37"/>
      <c r="HT97" s="37"/>
      <c r="HU97" s="37"/>
      <c r="HV97" s="37"/>
      <c r="HW97" s="37"/>
      <c r="HX97" s="37"/>
      <c r="HY97" s="37"/>
      <c r="HZ97" s="37"/>
      <c r="IA97" s="37"/>
      <c r="IB97" s="37"/>
      <c r="IC97" s="37"/>
    </row>
    <row r="98" spans="1:237" s="40" customFormat="1" x14ac:dyDescent="0.2">
      <c r="A98" s="62"/>
      <c r="B98" s="63"/>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7"/>
      <c r="BY98" s="37"/>
      <c r="BZ98" s="37"/>
      <c r="CA98" s="37"/>
      <c r="CB98" s="37"/>
      <c r="CC98" s="37"/>
      <c r="CD98" s="37"/>
      <c r="CE98" s="37"/>
      <c r="CF98" s="37"/>
      <c r="CG98" s="37"/>
      <c r="CH98" s="37"/>
      <c r="CI98" s="37"/>
      <c r="CJ98" s="37"/>
      <c r="CK98" s="37"/>
      <c r="CL98" s="37"/>
      <c r="CM98" s="37"/>
      <c r="CN98" s="37"/>
      <c r="CO98" s="37"/>
      <c r="CP98" s="37"/>
      <c r="CQ98" s="37"/>
      <c r="CR98" s="37"/>
      <c r="CS98" s="37"/>
      <c r="CT98" s="37"/>
      <c r="CU98" s="37"/>
      <c r="CV98" s="37"/>
      <c r="CW98" s="37"/>
      <c r="CX98" s="37"/>
      <c r="CY98" s="37"/>
      <c r="CZ98" s="37"/>
      <c r="DA98" s="37"/>
      <c r="DB98" s="37"/>
      <c r="DC98" s="37"/>
      <c r="DD98" s="37"/>
      <c r="DE98" s="37"/>
      <c r="DF98" s="37"/>
      <c r="DG98" s="37"/>
      <c r="DH98" s="37"/>
      <c r="DI98" s="37"/>
      <c r="DJ98" s="37"/>
      <c r="DK98" s="37"/>
      <c r="DL98" s="37"/>
      <c r="DM98" s="37"/>
      <c r="DN98" s="37"/>
      <c r="DO98" s="37"/>
      <c r="DP98" s="37"/>
      <c r="DQ98" s="37"/>
      <c r="DR98" s="37"/>
      <c r="DS98" s="37"/>
      <c r="DT98" s="37"/>
      <c r="DU98" s="37"/>
      <c r="DV98" s="37"/>
      <c r="DW98" s="37"/>
      <c r="DX98" s="37"/>
      <c r="DY98" s="37"/>
      <c r="DZ98" s="37"/>
      <c r="EA98" s="37"/>
      <c r="EB98" s="37"/>
      <c r="EC98" s="37"/>
      <c r="ED98" s="37"/>
      <c r="EE98" s="37"/>
      <c r="EF98" s="37"/>
      <c r="EG98" s="37"/>
      <c r="EH98" s="37"/>
      <c r="EI98" s="37"/>
      <c r="EJ98" s="37"/>
      <c r="EK98" s="37"/>
      <c r="EL98" s="37"/>
      <c r="EM98" s="37"/>
      <c r="EN98" s="37"/>
      <c r="EO98" s="37"/>
      <c r="EP98" s="37"/>
      <c r="EQ98" s="37"/>
      <c r="ER98" s="37"/>
      <c r="ES98" s="37"/>
      <c r="ET98" s="37"/>
      <c r="EU98" s="37"/>
      <c r="EV98" s="37"/>
      <c r="EW98" s="37"/>
      <c r="EX98" s="37"/>
      <c r="EY98" s="37"/>
      <c r="EZ98" s="37"/>
      <c r="FA98" s="37"/>
      <c r="FB98" s="37"/>
      <c r="FC98" s="37"/>
      <c r="FD98" s="37"/>
      <c r="FE98" s="37"/>
      <c r="FF98" s="37"/>
      <c r="FG98" s="37"/>
      <c r="FH98" s="37"/>
      <c r="FI98" s="37"/>
      <c r="FJ98" s="37"/>
      <c r="FK98" s="37"/>
      <c r="FL98" s="37"/>
      <c r="FM98" s="37"/>
      <c r="FN98" s="37"/>
      <c r="FO98" s="37"/>
      <c r="FP98" s="37"/>
      <c r="FQ98" s="37"/>
      <c r="FR98" s="37"/>
      <c r="FS98" s="37"/>
      <c r="FT98" s="37"/>
      <c r="FU98" s="37"/>
      <c r="FV98" s="37"/>
      <c r="FW98" s="37"/>
      <c r="FX98" s="37"/>
      <c r="FY98" s="37"/>
      <c r="FZ98" s="37"/>
      <c r="GA98" s="37"/>
      <c r="GB98" s="37"/>
      <c r="GC98" s="37"/>
      <c r="GD98" s="37"/>
      <c r="GE98" s="37"/>
      <c r="GF98" s="37"/>
      <c r="GG98" s="37"/>
      <c r="GH98" s="37"/>
      <c r="GI98" s="37"/>
      <c r="GJ98" s="37"/>
      <c r="GK98" s="37"/>
      <c r="GL98" s="37"/>
      <c r="GM98" s="37"/>
      <c r="GN98" s="37"/>
      <c r="GO98" s="37"/>
      <c r="GP98" s="37"/>
      <c r="GQ98" s="37"/>
      <c r="GR98" s="37"/>
      <c r="GS98" s="37"/>
      <c r="GT98" s="37"/>
      <c r="GU98" s="37"/>
      <c r="GV98" s="37"/>
      <c r="GW98" s="37"/>
      <c r="GX98" s="37"/>
      <c r="GY98" s="37"/>
      <c r="GZ98" s="37"/>
      <c r="HA98" s="37"/>
      <c r="HB98" s="37"/>
      <c r="HC98" s="37"/>
      <c r="HD98" s="37"/>
      <c r="HE98" s="37"/>
      <c r="HF98" s="37"/>
      <c r="HG98" s="37"/>
      <c r="HH98" s="37"/>
      <c r="HI98" s="37"/>
      <c r="HJ98" s="37"/>
      <c r="HK98" s="37"/>
      <c r="HL98" s="37"/>
      <c r="HM98" s="37"/>
      <c r="HN98" s="37"/>
      <c r="HO98" s="37"/>
      <c r="HP98" s="37"/>
      <c r="HQ98" s="37"/>
      <c r="HR98" s="37"/>
      <c r="HS98" s="37"/>
      <c r="HT98" s="37"/>
      <c r="HU98" s="37"/>
      <c r="HV98" s="37"/>
      <c r="HW98" s="37"/>
      <c r="HX98" s="37"/>
      <c r="HY98" s="37"/>
      <c r="HZ98" s="37"/>
      <c r="IA98" s="37"/>
      <c r="IB98" s="37"/>
      <c r="IC98" s="37"/>
    </row>
    <row r="99" spans="1:237" s="40" customFormat="1" x14ac:dyDescent="0.2">
      <c r="A99" s="62"/>
      <c r="B99" s="63"/>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c r="BD99" s="37"/>
      <c r="BE99" s="37"/>
      <c r="BF99" s="37"/>
      <c r="BG99" s="37"/>
      <c r="BH99" s="37"/>
      <c r="BI99" s="37"/>
      <c r="BJ99" s="37"/>
      <c r="BK99" s="37"/>
      <c r="BL99" s="37"/>
      <c r="BM99" s="37"/>
      <c r="BN99" s="37"/>
      <c r="BO99" s="37"/>
      <c r="BP99" s="37"/>
      <c r="BQ99" s="37"/>
      <c r="BR99" s="37"/>
      <c r="BS99" s="37"/>
      <c r="BT99" s="37"/>
      <c r="BU99" s="37"/>
      <c r="BV99" s="37"/>
      <c r="BW99" s="37"/>
      <c r="BX99" s="37"/>
      <c r="BY99" s="37"/>
      <c r="BZ99" s="37"/>
      <c r="CA99" s="37"/>
      <c r="CB99" s="37"/>
      <c r="CC99" s="37"/>
      <c r="CD99" s="37"/>
      <c r="CE99" s="37"/>
      <c r="CF99" s="37"/>
      <c r="CG99" s="37"/>
      <c r="CH99" s="37"/>
      <c r="CI99" s="37"/>
      <c r="CJ99" s="37"/>
      <c r="CK99" s="37"/>
      <c r="CL99" s="37"/>
      <c r="CM99" s="37"/>
      <c r="CN99" s="37"/>
      <c r="CO99" s="37"/>
      <c r="CP99" s="37"/>
      <c r="CQ99" s="37"/>
      <c r="CR99" s="37"/>
      <c r="CS99" s="37"/>
      <c r="CT99" s="37"/>
      <c r="CU99" s="37"/>
      <c r="CV99" s="37"/>
      <c r="CW99" s="37"/>
      <c r="CX99" s="37"/>
      <c r="CY99" s="37"/>
      <c r="CZ99" s="37"/>
      <c r="DA99" s="37"/>
      <c r="DB99" s="37"/>
      <c r="DC99" s="37"/>
      <c r="DD99" s="37"/>
      <c r="DE99" s="37"/>
      <c r="DF99" s="37"/>
      <c r="DG99" s="37"/>
      <c r="DH99" s="37"/>
      <c r="DI99" s="37"/>
      <c r="DJ99" s="37"/>
      <c r="DK99" s="37"/>
      <c r="DL99" s="37"/>
      <c r="DM99" s="37"/>
      <c r="DN99" s="37"/>
      <c r="DO99" s="37"/>
      <c r="DP99" s="37"/>
      <c r="DQ99" s="37"/>
      <c r="DR99" s="37"/>
      <c r="DS99" s="37"/>
      <c r="DT99" s="37"/>
      <c r="DU99" s="37"/>
      <c r="DV99" s="37"/>
      <c r="DW99" s="37"/>
      <c r="DX99" s="37"/>
      <c r="DY99" s="37"/>
      <c r="DZ99" s="37"/>
      <c r="EA99" s="37"/>
      <c r="EB99" s="37"/>
      <c r="EC99" s="37"/>
      <c r="ED99" s="37"/>
      <c r="EE99" s="37"/>
      <c r="EF99" s="37"/>
      <c r="EG99" s="37"/>
      <c r="EH99" s="37"/>
      <c r="EI99" s="37"/>
      <c r="EJ99" s="37"/>
      <c r="EK99" s="37"/>
      <c r="EL99" s="37"/>
      <c r="EM99" s="37"/>
      <c r="EN99" s="37"/>
      <c r="EO99" s="37"/>
      <c r="EP99" s="37"/>
      <c r="EQ99" s="37"/>
      <c r="ER99" s="37"/>
      <c r="ES99" s="37"/>
      <c r="ET99" s="37"/>
      <c r="EU99" s="37"/>
      <c r="EV99" s="37"/>
      <c r="EW99" s="37"/>
      <c r="EX99" s="37"/>
      <c r="EY99" s="37"/>
      <c r="EZ99" s="37"/>
      <c r="FA99" s="37"/>
      <c r="FB99" s="37"/>
      <c r="FC99" s="37"/>
      <c r="FD99" s="37"/>
      <c r="FE99" s="37"/>
      <c r="FF99" s="37"/>
      <c r="FG99" s="37"/>
      <c r="FH99" s="37"/>
      <c r="FI99" s="37"/>
      <c r="FJ99" s="37"/>
      <c r="FK99" s="37"/>
      <c r="FL99" s="37"/>
      <c r="FM99" s="37"/>
      <c r="FN99" s="37"/>
      <c r="FO99" s="37"/>
      <c r="FP99" s="37"/>
      <c r="FQ99" s="37"/>
      <c r="FR99" s="37"/>
      <c r="FS99" s="37"/>
      <c r="FT99" s="37"/>
      <c r="FU99" s="37"/>
      <c r="FV99" s="37"/>
      <c r="FW99" s="37"/>
      <c r="FX99" s="37"/>
      <c r="FY99" s="37"/>
      <c r="FZ99" s="37"/>
      <c r="GA99" s="37"/>
      <c r="GB99" s="37"/>
      <c r="GC99" s="37"/>
      <c r="GD99" s="37"/>
      <c r="GE99" s="37"/>
      <c r="GF99" s="37"/>
      <c r="GG99" s="37"/>
      <c r="GH99" s="37"/>
      <c r="GI99" s="37"/>
      <c r="GJ99" s="37"/>
      <c r="GK99" s="37"/>
      <c r="GL99" s="37"/>
      <c r="GM99" s="37"/>
      <c r="GN99" s="37"/>
      <c r="GO99" s="37"/>
      <c r="GP99" s="37"/>
      <c r="GQ99" s="37"/>
      <c r="GR99" s="37"/>
      <c r="GS99" s="37"/>
      <c r="GT99" s="37"/>
      <c r="GU99" s="37"/>
      <c r="GV99" s="37"/>
      <c r="GW99" s="37"/>
      <c r="GX99" s="37"/>
      <c r="GY99" s="37"/>
      <c r="GZ99" s="37"/>
      <c r="HA99" s="37"/>
      <c r="HB99" s="37"/>
      <c r="HC99" s="37"/>
      <c r="HD99" s="37"/>
      <c r="HE99" s="37"/>
      <c r="HF99" s="37"/>
      <c r="HG99" s="37"/>
      <c r="HH99" s="37"/>
      <c r="HI99" s="37"/>
      <c r="HJ99" s="37"/>
      <c r="HK99" s="37"/>
      <c r="HL99" s="37"/>
      <c r="HM99" s="37"/>
      <c r="HN99" s="37"/>
      <c r="HO99" s="37"/>
      <c r="HP99" s="37"/>
      <c r="HQ99" s="37"/>
      <c r="HR99" s="37"/>
      <c r="HS99" s="37"/>
      <c r="HT99" s="37"/>
      <c r="HU99" s="37"/>
      <c r="HV99" s="37"/>
      <c r="HW99" s="37"/>
      <c r="HX99" s="37"/>
      <c r="HY99" s="37"/>
      <c r="HZ99" s="37"/>
      <c r="IA99" s="37"/>
      <c r="IB99" s="37"/>
      <c r="IC99" s="37"/>
    </row>
    <row r="100" spans="1:237" s="40" customFormat="1" x14ac:dyDescent="0.2">
      <c r="A100" s="62"/>
      <c r="B100" s="63"/>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BZ100" s="37"/>
      <c r="CA100" s="37"/>
      <c r="CB100" s="37"/>
      <c r="CC100" s="37"/>
      <c r="CD100" s="37"/>
      <c r="CE100" s="37"/>
      <c r="CF100" s="37"/>
      <c r="CG100" s="37"/>
      <c r="CH100" s="37"/>
      <c r="CI100" s="37"/>
      <c r="CJ100" s="37"/>
      <c r="CK100" s="37"/>
      <c r="CL100" s="37"/>
      <c r="CM100" s="37"/>
      <c r="CN100" s="37"/>
      <c r="CO100" s="37"/>
      <c r="CP100" s="37"/>
      <c r="CQ100" s="37"/>
      <c r="CR100" s="37"/>
      <c r="CS100" s="37"/>
      <c r="CT100" s="37"/>
      <c r="CU100" s="37"/>
      <c r="CV100" s="37"/>
      <c r="CW100" s="37"/>
      <c r="CX100" s="37"/>
      <c r="CY100" s="37"/>
      <c r="CZ100" s="37"/>
      <c r="DA100" s="37"/>
      <c r="DB100" s="37"/>
      <c r="DC100" s="37"/>
      <c r="DD100" s="37"/>
      <c r="DE100" s="37"/>
      <c r="DF100" s="37"/>
      <c r="DG100" s="37"/>
      <c r="DH100" s="37"/>
      <c r="DI100" s="37"/>
      <c r="DJ100" s="37"/>
      <c r="DK100" s="37"/>
      <c r="DL100" s="37"/>
      <c r="DM100" s="37"/>
      <c r="DN100" s="37"/>
      <c r="DO100" s="37"/>
      <c r="DP100" s="37"/>
      <c r="DQ100" s="37"/>
      <c r="DR100" s="37"/>
      <c r="DS100" s="37"/>
      <c r="DT100" s="37"/>
      <c r="DU100" s="37"/>
      <c r="DV100" s="37"/>
      <c r="DW100" s="37"/>
      <c r="DX100" s="37"/>
      <c r="DY100" s="37"/>
      <c r="DZ100" s="37"/>
      <c r="EA100" s="37"/>
      <c r="EB100" s="37"/>
      <c r="EC100" s="37"/>
      <c r="ED100" s="37"/>
      <c r="EE100" s="37"/>
      <c r="EF100" s="37"/>
      <c r="EG100" s="37"/>
      <c r="EH100" s="37"/>
      <c r="EI100" s="37"/>
      <c r="EJ100" s="37"/>
      <c r="EK100" s="37"/>
      <c r="EL100" s="37"/>
      <c r="EM100" s="37"/>
      <c r="EN100" s="37"/>
      <c r="EO100" s="37"/>
      <c r="EP100" s="37"/>
      <c r="EQ100" s="37"/>
      <c r="ER100" s="37"/>
      <c r="ES100" s="37"/>
      <c r="ET100" s="37"/>
      <c r="EU100" s="37"/>
      <c r="EV100" s="37"/>
      <c r="EW100" s="37"/>
      <c r="EX100" s="37"/>
      <c r="EY100" s="37"/>
      <c r="EZ100" s="37"/>
      <c r="FA100" s="37"/>
      <c r="FB100" s="37"/>
      <c r="FC100" s="37"/>
      <c r="FD100" s="37"/>
      <c r="FE100" s="37"/>
      <c r="FF100" s="37"/>
      <c r="FG100" s="37"/>
      <c r="FH100" s="37"/>
      <c r="FI100" s="37"/>
      <c r="FJ100" s="37"/>
      <c r="FK100" s="37"/>
      <c r="FL100" s="37"/>
      <c r="FM100" s="37"/>
      <c r="FN100" s="37"/>
      <c r="FO100" s="37"/>
      <c r="FP100" s="37"/>
      <c r="FQ100" s="37"/>
      <c r="FR100" s="37"/>
      <c r="FS100" s="37"/>
      <c r="FT100" s="37"/>
      <c r="FU100" s="37"/>
      <c r="FV100" s="37"/>
      <c r="FW100" s="37"/>
      <c r="FX100" s="37"/>
      <c r="FY100" s="37"/>
      <c r="FZ100" s="37"/>
      <c r="GA100" s="37"/>
      <c r="GB100" s="37"/>
      <c r="GC100" s="37"/>
      <c r="GD100" s="37"/>
      <c r="GE100" s="37"/>
      <c r="GF100" s="37"/>
      <c r="GG100" s="37"/>
      <c r="GH100" s="37"/>
      <c r="GI100" s="37"/>
      <c r="GJ100" s="37"/>
      <c r="GK100" s="37"/>
      <c r="GL100" s="37"/>
      <c r="GM100" s="37"/>
      <c r="GN100" s="37"/>
      <c r="GO100" s="37"/>
      <c r="GP100" s="37"/>
      <c r="GQ100" s="37"/>
      <c r="GR100" s="37"/>
      <c r="GS100" s="37"/>
      <c r="GT100" s="37"/>
      <c r="GU100" s="37"/>
      <c r="GV100" s="37"/>
      <c r="GW100" s="37"/>
      <c r="GX100" s="37"/>
      <c r="GY100" s="37"/>
      <c r="GZ100" s="37"/>
      <c r="HA100" s="37"/>
      <c r="HB100" s="37"/>
      <c r="HC100" s="37"/>
      <c r="HD100" s="37"/>
      <c r="HE100" s="37"/>
      <c r="HF100" s="37"/>
      <c r="HG100" s="37"/>
      <c r="HH100" s="37"/>
      <c r="HI100" s="37"/>
      <c r="HJ100" s="37"/>
      <c r="HK100" s="37"/>
      <c r="HL100" s="37"/>
      <c r="HM100" s="37"/>
      <c r="HN100" s="37"/>
      <c r="HO100" s="37"/>
      <c r="HP100" s="37"/>
      <c r="HQ100" s="37"/>
      <c r="HR100" s="37"/>
      <c r="HS100" s="37"/>
      <c r="HT100" s="37"/>
      <c r="HU100" s="37"/>
      <c r="HV100" s="37"/>
      <c r="HW100" s="37"/>
      <c r="HX100" s="37"/>
      <c r="HY100" s="37"/>
      <c r="HZ100" s="37"/>
      <c r="IA100" s="37"/>
      <c r="IB100" s="37"/>
      <c r="IC100" s="37"/>
    </row>
    <row r="101" spans="1:237" s="40" customFormat="1" x14ac:dyDescent="0.2">
      <c r="A101" s="62"/>
      <c r="B101" s="63"/>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BZ101" s="37"/>
      <c r="CA101" s="37"/>
      <c r="CB101" s="37"/>
      <c r="CC101" s="37"/>
      <c r="CD101" s="37"/>
      <c r="CE101" s="37"/>
      <c r="CF101" s="37"/>
      <c r="CG101" s="37"/>
      <c r="CH101" s="37"/>
      <c r="CI101" s="37"/>
      <c r="CJ101" s="37"/>
      <c r="CK101" s="37"/>
      <c r="CL101" s="37"/>
      <c r="CM101" s="37"/>
      <c r="CN101" s="37"/>
      <c r="CO101" s="37"/>
      <c r="CP101" s="37"/>
      <c r="CQ101" s="37"/>
      <c r="CR101" s="37"/>
      <c r="CS101" s="37"/>
      <c r="CT101" s="37"/>
      <c r="CU101" s="37"/>
      <c r="CV101" s="37"/>
      <c r="CW101" s="37"/>
      <c r="CX101" s="37"/>
      <c r="CY101" s="37"/>
      <c r="CZ101" s="37"/>
      <c r="DA101" s="37"/>
      <c r="DB101" s="37"/>
      <c r="DC101" s="37"/>
      <c r="DD101" s="37"/>
      <c r="DE101" s="37"/>
      <c r="DF101" s="37"/>
      <c r="DG101" s="37"/>
      <c r="DH101" s="37"/>
      <c r="DI101" s="37"/>
      <c r="DJ101" s="37"/>
      <c r="DK101" s="37"/>
      <c r="DL101" s="37"/>
      <c r="DM101" s="37"/>
      <c r="DN101" s="37"/>
      <c r="DO101" s="37"/>
      <c r="DP101" s="37"/>
      <c r="DQ101" s="37"/>
      <c r="DR101" s="37"/>
      <c r="DS101" s="37"/>
      <c r="DT101" s="37"/>
      <c r="DU101" s="37"/>
      <c r="DV101" s="37"/>
      <c r="DW101" s="37"/>
      <c r="DX101" s="37"/>
      <c r="DY101" s="37"/>
      <c r="DZ101" s="37"/>
      <c r="EA101" s="37"/>
      <c r="EB101" s="37"/>
      <c r="EC101" s="37"/>
      <c r="ED101" s="37"/>
      <c r="EE101" s="37"/>
      <c r="EF101" s="37"/>
      <c r="EG101" s="37"/>
      <c r="EH101" s="37"/>
      <c r="EI101" s="37"/>
      <c r="EJ101" s="37"/>
      <c r="EK101" s="37"/>
      <c r="EL101" s="37"/>
      <c r="EM101" s="37"/>
      <c r="EN101" s="37"/>
      <c r="EO101" s="37"/>
      <c r="EP101" s="37"/>
      <c r="EQ101" s="37"/>
      <c r="ER101" s="37"/>
      <c r="ES101" s="37"/>
      <c r="ET101" s="37"/>
      <c r="EU101" s="37"/>
      <c r="EV101" s="37"/>
      <c r="EW101" s="37"/>
      <c r="EX101" s="37"/>
      <c r="EY101" s="37"/>
      <c r="EZ101" s="37"/>
      <c r="FA101" s="37"/>
      <c r="FB101" s="37"/>
      <c r="FC101" s="37"/>
      <c r="FD101" s="37"/>
      <c r="FE101" s="37"/>
      <c r="FF101" s="37"/>
      <c r="FG101" s="37"/>
      <c r="FH101" s="37"/>
      <c r="FI101" s="37"/>
      <c r="FJ101" s="37"/>
      <c r="FK101" s="37"/>
      <c r="FL101" s="37"/>
      <c r="FM101" s="37"/>
      <c r="FN101" s="37"/>
      <c r="FO101" s="37"/>
      <c r="FP101" s="37"/>
      <c r="FQ101" s="37"/>
      <c r="FR101" s="37"/>
      <c r="FS101" s="37"/>
      <c r="FT101" s="37"/>
      <c r="FU101" s="37"/>
      <c r="FV101" s="37"/>
      <c r="FW101" s="37"/>
      <c r="FX101" s="37"/>
      <c r="FY101" s="37"/>
      <c r="FZ101" s="37"/>
      <c r="GA101" s="37"/>
      <c r="GB101" s="37"/>
      <c r="GC101" s="37"/>
      <c r="GD101" s="37"/>
      <c r="GE101" s="37"/>
      <c r="GF101" s="37"/>
      <c r="GG101" s="37"/>
      <c r="GH101" s="37"/>
      <c r="GI101" s="37"/>
      <c r="GJ101" s="37"/>
      <c r="GK101" s="37"/>
      <c r="GL101" s="37"/>
      <c r="GM101" s="37"/>
      <c r="GN101" s="37"/>
      <c r="GO101" s="37"/>
      <c r="GP101" s="37"/>
      <c r="GQ101" s="37"/>
      <c r="GR101" s="37"/>
      <c r="GS101" s="37"/>
      <c r="GT101" s="37"/>
      <c r="GU101" s="37"/>
      <c r="GV101" s="37"/>
      <c r="GW101" s="37"/>
      <c r="GX101" s="37"/>
      <c r="GY101" s="37"/>
      <c r="GZ101" s="37"/>
      <c r="HA101" s="37"/>
      <c r="HB101" s="37"/>
      <c r="HC101" s="37"/>
      <c r="HD101" s="37"/>
      <c r="HE101" s="37"/>
      <c r="HF101" s="37"/>
      <c r="HG101" s="37"/>
      <c r="HH101" s="37"/>
      <c r="HI101" s="37"/>
      <c r="HJ101" s="37"/>
      <c r="HK101" s="37"/>
      <c r="HL101" s="37"/>
      <c r="HM101" s="37"/>
      <c r="HN101" s="37"/>
      <c r="HO101" s="37"/>
      <c r="HP101" s="37"/>
      <c r="HQ101" s="37"/>
      <c r="HR101" s="37"/>
      <c r="HS101" s="37"/>
      <c r="HT101" s="37"/>
      <c r="HU101" s="37"/>
      <c r="HV101" s="37"/>
      <c r="HW101" s="37"/>
      <c r="HX101" s="37"/>
      <c r="HY101" s="37"/>
      <c r="HZ101" s="37"/>
      <c r="IA101" s="37"/>
      <c r="IB101" s="37"/>
      <c r="IC101" s="37"/>
    </row>
    <row r="102" spans="1:237" s="40" customFormat="1" x14ac:dyDescent="0.2">
      <c r="A102" s="62"/>
      <c r="B102" s="63"/>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7"/>
      <c r="AZ102" s="37"/>
      <c r="BA102" s="37"/>
      <c r="BB102" s="37"/>
      <c r="BC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BZ102" s="37"/>
      <c r="CA102" s="37"/>
      <c r="CB102" s="37"/>
      <c r="CC102" s="37"/>
      <c r="CD102" s="37"/>
      <c r="CE102" s="37"/>
      <c r="CF102" s="37"/>
      <c r="CG102" s="37"/>
      <c r="CH102" s="37"/>
      <c r="CI102" s="37"/>
      <c r="CJ102" s="37"/>
      <c r="CK102" s="37"/>
      <c r="CL102" s="37"/>
      <c r="CM102" s="37"/>
      <c r="CN102" s="37"/>
      <c r="CO102" s="37"/>
      <c r="CP102" s="37"/>
      <c r="CQ102" s="37"/>
      <c r="CR102" s="37"/>
      <c r="CS102" s="37"/>
      <c r="CT102" s="37"/>
      <c r="CU102" s="37"/>
      <c r="CV102" s="37"/>
      <c r="CW102" s="37"/>
      <c r="CX102" s="37"/>
      <c r="CY102" s="37"/>
      <c r="CZ102" s="37"/>
      <c r="DA102" s="37"/>
      <c r="DB102" s="37"/>
      <c r="DC102" s="37"/>
      <c r="DD102" s="37"/>
      <c r="DE102" s="37"/>
      <c r="DF102" s="37"/>
      <c r="DG102" s="37"/>
      <c r="DH102" s="37"/>
      <c r="DI102" s="37"/>
      <c r="DJ102" s="37"/>
      <c r="DK102" s="37"/>
      <c r="DL102" s="37"/>
      <c r="DM102" s="37"/>
      <c r="DN102" s="37"/>
      <c r="DO102" s="37"/>
      <c r="DP102" s="37"/>
      <c r="DQ102" s="37"/>
      <c r="DR102" s="37"/>
      <c r="DS102" s="37"/>
      <c r="DT102" s="37"/>
      <c r="DU102" s="37"/>
      <c r="DV102" s="37"/>
      <c r="DW102" s="37"/>
      <c r="DX102" s="37"/>
      <c r="DY102" s="37"/>
      <c r="DZ102" s="37"/>
      <c r="EA102" s="37"/>
      <c r="EB102" s="37"/>
      <c r="EC102" s="37"/>
      <c r="ED102" s="37"/>
      <c r="EE102" s="37"/>
      <c r="EF102" s="37"/>
      <c r="EG102" s="37"/>
      <c r="EH102" s="37"/>
      <c r="EI102" s="37"/>
      <c r="EJ102" s="37"/>
      <c r="EK102" s="37"/>
      <c r="EL102" s="37"/>
      <c r="EM102" s="37"/>
      <c r="EN102" s="37"/>
      <c r="EO102" s="37"/>
      <c r="EP102" s="37"/>
      <c r="EQ102" s="37"/>
      <c r="ER102" s="37"/>
      <c r="ES102" s="37"/>
      <c r="ET102" s="37"/>
      <c r="EU102" s="37"/>
      <c r="EV102" s="37"/>
      <c r="EW102" s="37"/>
      <c r="EX102" s="37"/>
      <c r="EY102" s="37"/>
      <c r="EZ102" s="37"/>
      <c r="FA102" s="37"/>
      <c r="FB102" s="37"/>
      <c r="FC102" s="37"/>
      <c r="FD102" s="37"/>
      <c r="FE102" s="37"/>
      <c r="FF102" s="37"/>
      <c r="FG102" s="37"/>
      <c r="FH102" s="37"/>
      <c r="FI102" s="37"/>
      <c r="FJ102" s="37"/>
      <c r="FK102" s="37"/>
      <c r="FL102" s="37"/>
      <c r="FM102" s="37"/>
      <c r="FN102" s="37"/>
      <c r="FO102" s="37"/>
      <c r="FP102" s="37"/>
      <c r="FQ102" s="37"/>
      <c r="FR102" s="37"/>
      <c r="FS102" s="37"/>
      <c r="FT102" s="37"/>
      <c r="FU102" s="37"/>
      <c r="FV102" s="37"/>
      <c r="FW102" s="37"/>
      <c r="FX102" s="37"/>
      <c r="FY102" s="37"/>
      <c r="FZ102" s="37"/>
      <c r="GA102" s="37"/>
      <c r="GB102" s="37"/>
      <c r="GC102" s="37"/>
      <c r="GD102" s="37"/>
      <c r="GE102" s="37"/>
      <c r="GF102" s="37"/>
      <c r="GG102" s="37"/>
      <c r="GH102" s="37"/>
      <c r="GI102" s="37"/>
      <c r="GJ102" s="37"/>
      <c r="GK102" s="37"/>
      <c r="GL102" s="37"/>
      <c r="GM102" s="37"/>
      <c r="GN102" s="37"/>
      <c r="GO102" s="37"/>
      <c r="GP102" s="37"/>
      <c r="GQ102" s="37"/>
      <c r="GR102" s="37"/>
      <c r="GS102" s="37"/>
      <c r="GT102" s="37"/>
      <c r="GU102" s="37"/>
      <c r="GV102" s="37"/>
      <c r="GW102" s="37"/>
      <c r="GX102" s="37"/>
      <c r="GY102" s="37"/>
      <c r="GZ102" s="37"/>
      <c r="HA102" s="37"/>
      <c r="HB102" s="37"/>
      <c r="HC102" s="37"/>
      <c r="HD102" s="37"/>
      <c r="HE102" s="37"/>
      <c r="HF102" s="37"/>
      <c r="HG102" s="37"/>
      <c r="HH102" s="37"/>
      <c r="HI102" s="37"/>
      <c r="HJ102" s="37"/>
      <c r="HK102" s="37"/>
      <c r="HL102" s="37"/>
      <c r="HM102" s="37"/>
      <c r="HN102" s="37"/>
      <c r="HO102" s="37"/>
      <c r="HP102" s="37"/>
      <c r="HQ102" s="37"/>
      <c r="HR102" s="37"/>
      <c r="HS102" s="37"/>
      <c r="HT102" s="37"/>
      <c r="HU102" s="37"/>
      <c r="HV102" s="37"/>
      <c r="HW102" s="37"/>
      <c r="HX102" s="37"/>
      <c r="HY102" s="37"/>
      <c r="HZ102" s="37"/>
      <c r="IA102" s="37"/>
      <c r="IB102" s="37"/>
      <c r="IC102" s="37"/>
    </row>
    <row r="103" spans="1:237" s="40" customFormat="1" x14ac:dyDescent="0.2">
      <c r="A103" s="62"/>
      <c r="B103" s="63"/>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c r="BA103" s="37"/>
      <c r="BB103" s="37"/>
      <c r="BC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BZ103" s="37"/>
      <c r="CA103" s="37"/>
      <c r="CB103" s="37"/>
      <c r="CC103" s="37"/>
      <c r="CD103" s="37"/>
      <c r="CE103" s="37"/>
      <c r="CF103" s="37"/>
      <c r="CG103" s="37"/>
      <c r="CH103" s="37"/>
      <c r="CI103" s="37"/>
      <c r="CJ103" s="37"/>
      <c r="CK103" s="37"/>
      <c r="CL103" s="37"/>
      <c r="CM103" s="37"/>
      <c r="CN103" s="37"/>
      <c r="CO103" s="37"/>
      <c r="CP103" s="37"/>
      <c r="CQ103" s="37"/>
      <c r="CR103" s="37"/>
      <c r="CS103" s="37"/>
      <c r="CT103" s="37"/>
      <c r="CU103" s="37"/>
      <c r="CV103" s="37"/>
      <c r="CW103" s="37"/>
      <c r="CX103" s="37"/>
      <c r="CY103" s="37"/>
      <c r="CZ103" s="37"/>
      <c r="DA103" s="37"/>
      <c r="DB103" s="37"/>
      <c r="DC103" s="37"/>
      <c r="DD103" s="37"/>
      <c r="DE103" s="37"/>
      <c r="DF103" s="37"/>
      <c r="DG103" s="37"/>
      <c r="DH103" s="37"/>
      <c r="DI103" s="37"/>
      <c r="DJ103" s="37"/>
      <c r="DK103" s="37"/>
      <c r="DL103" s="37"/>
      <c r="DM103" s="37"/>
      <c r="DN103" s="37"/>
      <c r="DO103" s="37"/>
      <c r="DP103" s="37"/>
      <c r="DQ103" s="37"/>
      <c r="DR103" s="37"/>
      <c r="DS103" s="37"/>
      <c r="DT103" s="37"/>
      <c r="DU103" s="37"/>
      <c r="DV103" s="37"/>
      <c r="DW103" s="37"/>
      <c r="DX103" s="37"/>
      <c r="DY103" s="37"/>
      <c r="DZ103" s="37"/>
      <c r="EA103" s="37"/>
      <c r="EB103" s="37"/>
      <c r="EC103" s="37"/>
      <c r="ED103" s="37"/>
      <c r="EE103" s="37"/>
      <c r="EF103" s="37"/>
      <c r="EG103" s="37"/>
      <c r="EH103" s="37"/>
      <c r="EI103" s="37"/>
      <c r="EJ103" s="37"/>
      <c r="EK103" s="37"/>
      <c r="EL103" s="37"/>
      <c r="EM103" s="37"/>
      <c r="EN103" s="37"/>
      <c r="EO103" s="37"/>
      <c r="EP103" s="37"/>
      <c r="EQ103" s="37"/>
      <c r="ER103" s="37"/>
      <c r="ES103" s="37"/>
      <c r="ET103" s="37"/>
      <c r="EU103" s="37"/>
      <c r="EV103" s="37"/>
      <c r="EW103" s="37"/>
      <c r="EX103" s="37"/>
      <c r="EY103" s="37"/>
      <c r="EZ103" s="37"/>
      <c r="FA103" s="37"/>
      <c r="FB103" s="37"/>
      <c r="FC103" s="37"/>
      <c r="FD103" s="37"/>
      <c r="FE103" s="37"/>
      <c r="FF103" s="37"/>
      <c r="FG103" s="37"/>
      <c r="FH103" s="37"/>
      <c r="FI103" s="37"/>
      <c r="FJ103" s="37"/>
      <c r="FK103" s="37"/>
      <c r="FL103" s="37"/>
      <c r="FM103" s="37"/>
      <c r="FN103" s="37"/>
      <c r="FO103" s="37"/>
      <c r="FP103" s="37"/>
      <c r="FQ103" s="37"/>
      <c r="FR103" s="37"/>
      <c r="FS103" s="37"/>
      <c r="FT103" s="37"/>
      <c r="FU103" s="37"/>
      <c r="FV103" s="37"/>
      <c r="FW103" s="37"/>
      <c r="FX103" s="37"/>
      <c r="FY103" s="37"/>
      <c r="FZ103" s="37"/>
      <c r="GA103" s="37"/>
      <c r="GB103" s="37"/>
      <c r="GC103" s="37"/>
      <c r="GD103" s="37"/>
      <c r="GE103" s="37"/>
      <c r="GF103" s="37"/>
      <c r="GG103" s="37"/>
      <c r="GH103" s="37"/>
      <c r="GI103" s="37"/>
      <c r="GJ103" s="37"/>
      <c r="GK103" s="37"/>
      <c r="GL103" s="37"/>
      <c r="GM103" s="37"/>
      <c r="GN103" s="37"/>
      <c r="GO103" s="37"/>
      <c r="GP103" s="37"/>
      <c r="GQ103" s="37"/>
      <c r="GR103" s="37"/>
      <c r="GS103" s="37"/>
      <c r="GT103" s="37"/>
      <c r="GU103" s="37"/>
      <c r="GV103" s="37"/>
      <c r="GW103" s="37"/>
      <c r="GX103" s="37"/>
      <c r="GY103" s="37"/>
      <c r="GZ103" s="37"/>
      <c r="HA103" s="37"/>
      <c r="HB103" s="37"/>
      <c r="HC103" s="37"/>
      <c r="HD103" s="37"/>
      <c r="HE103" s="37"/>
      <c r="HF103" s="37"/>
      <c r="HG103" s="37"/>
      <c r="HH103" s="37"/>
      <c r="HI103" s="37"/>
      <c r="HJ103" s="37"/>
      <c r="HK103" s="37"/>
      <c r="HL103" s="37"/>
      <c r="HM103" s="37"/>
      <c r="HN103" s="37"/>
      <c r="HO103" s="37"/>
      <c r="HP103" s="37"/>
      <c r="HQ103" s="37"/>
      <c r="HR103" s="37"/>
      <c r="HS103" s="37"/>
      <c r="HT103" s="37"/>
      <c r="HU103" s="37"/>
      <c r="HV103" s="37"/>
      <c r="HW103" s="37"/>
      <c r="HX103" s="37"/>
      <c r="HY103" s="37"/>
      <c r="HZ103" s="37"/>
      <c r="IA103" s="37"/>
      <c r="IB103" s="37"/>
      <c r="IC103" s="37"/>
    </row>
    <row r="104" spans="1:237" s="40" customFormat="1" x14ac:dyDescent="0.2">
      <c r="A104" s="62"/>
      <c r="B104" s="63"/>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BZ104" s="37"/>
      <c r="CA104" s="37"/>
      <c r="CB104" s="37"/>
      <c r="CC104" s="37"/>
      <c r="CD104" s="37"/>
      <c r="CE104" s="37"/>
      <c r="CF104" s="37"/>
      <c r="CG104" s="37"/>
      <c r="CH104" s="37"/>
      <c r="CI104" s="37"/>
      <c r="CJ104" s="37"/>
      <c r="CK104" s="37"/>
      <c r="CL104" s="37"/>
      <c r="CM104" s="37"/>
      <c r="CN104" s="37"/>
      <c r="CO104" s="37"/>
      <c r="CP104" s="37"/>
      <c r="CQ104" s="37"/>
      <c r="CR104" s="37"/>
      <c r="CS104" s="37"/>
      <c r="CT104" s="37"/>
      <c r="CU104" s="37"/>
      <c r="CV104" s="37"/>
      <c r="CW104" s="37"/>
      <c r="CX104" s="37"/>
      <c r="CY104" s="37"/>
      <c r="CZ104" s="37"/>
      <c r="DA104" s="37"/>
      <c r="DB104" s="37"/>
      <c r="DC104" s="37"/>
      <c r="DD104" s="37"/>
      <c r="DE104" s="37"/>
      <c r="DF104" s="37"/>
      <c r="DG104" s="37"/>
      <c r="DH104" s="37"/>
      <c r="DI104" s="37"/>
      <c r="DJ104" s="37"/>
      <c r="DK104" s="37"/>
      <c r="DL104" s="37"/>
      <c r="DM104" s="37"/>
      <c r="DN104" s="37"/>
      <c r="DO104" s="37"/>
      <c r="DP104" s="37"/>
      <c r="DQ104" s="37"/>
      <c r="DR104" s="37"/>
      <c r="DS104" s="37"/>
      <c r="DT104" s="37"/>
      <c r="DU104" s="37"/>
      <c r="DV104" s="37"/>
      <c r="DW104" s="37"/>
      <c r="DX104" s="37"/>
      <c r="DY104" s="37"/>
      <c r="DZ104" s="37"/>
      <c r="EA104" s="37"/>
      <c r="EB104" s="37"/>
      <c r="EC104" s="37"/>
      <c r="ED104" s="37"/>
      <c r="EE104" s="37"/>
      <c r="EF104" s="37"/>
      <c r="EG104" s="37"/>
      <c r="EH104" s="37"/>
      <c r="EI104" s="37"/>
      <c r="EJ104" s="37"/>
      <c r="EK104" s="37"/>
      <c r="EL104" s="37"/>
      <c r="EM104" s="37"/>
      <c r="EN104" s="37"/>
      <c r="EO104" s="37"/>
      <c r="EP104" s="37"/>
      <c r="EQ104" s="37"/>
      <c r="ER104" s="37"/>
      <c r="ES104" s="37"/>
      <c r="ET104" s="37"/>
      <c r="EU104" s="37"/>
      <c r="EV104" s="37"/>
      <c r="EW104" s="37"/>
      <c r="EX104" s="37"/>
      <c r="EY104" s="37"/>
      <c r="EZ104" s="37"/>
      <c r="FA104" s="37"/>
      <c r="FB104" s="37"/>
      <c r="FC104" s="37"/>
      <c r="FD104" s="37"/>
      <c r="FE104" s="37"/>
      <c r="FF104" s="37"/>
      <c r="FG104" s="37"/>
      <c r="FH104" s="37"/>
      <c r="FI104" s="37"/>
      <c r="FJ104" s="37"/>
      <c r="FK104" s="37"/>
      <c r="FL104" s="37"/>
      <c r="FM104" s="37"/>
      <c r="FN104" s="37"/>
      <c r="FO104" s="37"/>
      <c r="FP104" s="37"/>
      <c r="FQ104" s="37"/>
      <c r="FR104" s="37"/>
      <c r="FS104" s="37"/>
      <c r="FT104" s="37"/>
      <c r="FU104" s="37"/>
      <c r="FV104" s="37"/>
      <c r="FW104" s="37"/>
      <c r="FX104" s="37"/>
      <c r="FY104" s="37"/>
      <c r="FZ104" s="37"/>
      <c r="GA104" s="37"/>
      <c r="GB104" s="37"/>
      <c r="GC104" s="37"/>
      <c r="GD104" s="37"/>
      <c r="GE104" s="37"/>
      <c r="GF104" s="37"/>
      <c r="GG104" s="37"/>
      <c r="GH104" s="37"/>
      <c r="GI104" s="37"/>
      <c r="GJ104" s="37"/>
      <c r="GK104" s="37"/>
      <c r="GL104" s="37"/>
      <c r="GM104" s="37"/>
      <c r="GN104" s="37"/>
      <c r="GO104" s="37"/>
      <c r="GP104" s="37"/>
      <c r="GQ104" s="37"/>
      <c r="GR104" s="37"/>
      <c r="GS104" s="37"/>
      <c r="GT104" s="37"/>
      <c r="GU104" s="37"/>
      <c r="GV104" s="37"/>
      <c r="GW104" s="37"/>
      <c r="GX104" s="37"/>
      <c r="GY104" s="37"/>
      <c r="GZ104" s="37"/>
      <c r="HA104" s="37"/>
      <c r="HB104" s="37"/>
      <c r="HC104" s="37"/>
      <c r="HD104" s="37"/>
      <c r="HE104" s="37"/>
      <c r="HF104" s="37"/>
      <c r="HG104" s="37"/>
      <c r="HH104" s="37"/>
      <c r="HI104" s="37"/>
      <c r="HJ104" s="37"/>
      <c r="HK104" s="37"/>
      <c r="HL104" s="37"/>
      <c r="HM104" s="37"/>
      <c r="HN104" s="37"/>
      <c r="HO104" s="37"/>
      <c r="HP104" s="37"/>
      <c r="HQ104" s="37"/>
      <c r="HR104" s="37"/>
      <c r="HS104" s="37"/>
      <c r="HT104" s="37"/>
      <c r="HU104" s="37"/>
      <c r="HV104" s="37"/>
      <c r="HW104" s="37"/>
      <c r="HX104" s="37"/>
      <c r="HY104" s="37"/>
      <c r="HZ104" s="37"/>
      <c r="IA104" s="37"/>
      <c r="IB104" s="37"/>
      <c r="IC104" s="37"/>
    </row>
    <row r="105" spans="1:237" s="40" customFormat="1" x14ac:dyDescent="0.2">
      <c r="A105" s="62"/>
      <c r="B105" s="63"/>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BZ105" s="37"/>
      <c r="CA105" s="37"/>
      <c r="CB105" s="37"/>
      <c r="CC105" s="37"/>
      <c r="CD105" s="37"/>
      <c r="CE105" s="37"/>
      <c r="CF105" s="37"/>
      <c r="CG105" s="37"/>
      <c r="CH105" s="37"/>
      <c r="CI105" s="37"/>
      <c r="CJ105" s="37"/>
      <c r="CK105" s="37"/>
      <c r="CL105" s="37"/>
      <c r="CM105" s="37"/>
      <c r="CN105" s="37"/>
      <c r="CO105" s="37"/>
      <c r="CP105" s="37"/>
      <c r="CQ105" s="37"/>
      <c r="CR105" s="37"/>
      <c r="CS105" s="37"/>
      <c r="CT105" s="37"/>
      <c r="CU105" s="37"/>
      <c r="CV105" s="37"/>
      <c r="CW105" s="37"/>
      <c r="CX105" s="37"/>
      <c r="CY105" s="37"/>
      <c r="CZ105" s="37"/>
      <c r="DA105" s="37"/>
      <c r="DB105" s="37"/>
      <c r="DC105" s="37"/>
      <c r="DD105" s="37"/>
      <c r="DE105" s="37"/>
      <c r="DF105" s="37"/>
      <c r="DG105" s="37"/>
      <c r="DH105" s="37"/>
      <c r="DI105" s="37"/>
      <c r="DJ105" s="37"/>
      <c r="DK105" s="37"/>
      <c r="DL105" s="37"/>
      <c r="DM105" s="37"/>
      <c r="DN105" s="37"/>
      <c r="DO105" s="37"/>
      <c r="DP105" s="37"/>
      <c r="DQ105" s="37"/>
      <c r="DR105" s="37"/>
      <c r="DS105" s="37"/>
      <c r="DT105" s="37"/>
      <c r="DU105" s="37"/>
      <c r="DV105" s="37"/>
      <c r="DW105" s="37"/>
      <c r="DX105" s="37"/>
      <c r="DY105" s="37"/>
      <c r="DZ105" s="37"/>
      <c r="EA105" s="37"/>
      <c r="EB105" s="37"/>
      <c r="EC105" s="37"/>
      <c r="ED105" s="37"/>
      <c r="EE105" s="37"/>
      <c r="EF105" s="37"/>
      <c r="EG105" s="37"/>
      <c r="EH105" s="37"/>
      <c r="EI105" s="37"/>
      <c r="EJ105" s="37"/>
      <c r="EK105" s="37"/>
      <c r="EL105" s="37"/>
      <c r="EM105" s="37"/>
      <c r="EN105" s="37"/>
      <c r="EO105" s="37"/>
      <c r="EP105" s="37"/>
      <c r="EQ105" s="37"/>
      <c r="ER105" s="37"/>
      <c r="ES105" s="37"/>
      <c r="ET105" s="37"/>
      <c r="EU105" s="37"/>
      <c r="EV105" s="37"/>
      <c r="EW105" s="37"/>
      <c r="EX105" s="37"/>
      <c r="EY105" s="37"/>
      <c r="EZ105" s="37"/>
      <c r="FA105" s="37"/>
      <c r="FB105" s="37"/>
      <c r="FC105" s="37"/>
      <c r="FD105" s="37"/>
      <c r="FE105" s="37"/>
      <c r="FF105" s="37"/>
      <c r="FG105" s="37"/>
      <c r="FH105" s="37"/>
      <c r="FI105" s="37"/>
      <c r="FJ105" s="37"/>
      <c r="FK105" s="37"/>
      <c r="FL105" s="37"/>
      <c r="FM105" s="37"/>
      <c r="FN105" s="37"/>
      <c r="FO105" s="37"/>
      <c r="FP105" s="37"/>
      <c r="FQ105" s="37"/>
      <c r="FR105" s="37"/>
      <c r="FS105" s="37"/>
      <c r="FT105" s="37"/>
      <c r="FU105" s="37"/>
      <c r="FV105" s="37"/>
      <c r="FW105" s="37"/>
      <c r="FX105" s="37"/>
      <c r="FY105" s="37"/>
      <c r="FZ105" s="37"/>
      <c r="GA105" s="37"/>
      <c r="GB105" s="37"/>
      <c r="GC105" s="37"/>
      <c r="GD105" s="37"/>
      <c r="GE105" s="37"/>
      <c r="GF105" s="37"/>
      <c r="GG105" s="37"/>
      <c r="GH105" s="37"/>
      <c r="GI105" s="37"/>
      <c r="GJ105" s="37"/>
      <c r="GK105" s="37"/>
      <c r="GL105" s="37"/>
      <c r="GM105" s="37"/>
      <c r="GN105" s="37"/>
      <c r="GO105" s="37"/>
      <c r="GP105" s="37"/>
      <c r="GQ105" s="37"/>
      <c r="GR105" s="37"/>
      <c r="GS105" s="37"/>
      <c r="GT105" s="37"/>
      <c r="GU105" s="37"/>
      <c r="GV105" s="37"/>
      <c r="GW105" s="37"/>
      <c r="GX105" s="37"/>
      <c r="GY105" s="37"/>
      <c r="GZ105" s="37"/>
      <c r="HA105" s="37"/>
      <c r="HB105" s="37"/>
      <c r="HC105" s="37"/>
      <c r="HD105" s="37"/>
      <c r="HE105" s="37"/>
      <c r="HF105" s="37"/>
      <c r="HG105" s="37"/>
      <c r="HH105" s="37"/>
      <c r="HI105" s="37"/>
      <c r="HJ105" s="37"/>
      <c r="HK105" s="37"/>
      <c r="HL105" s="37"/>
      <c r="HM105" s="37"/>
      <c r="HN105" s="37"/>
      <c r="HO105" s="37"/>
      <c r="HP105" s="37"/>
      <c r="HQ105" s="37"/>
      <c r="HR105" s="37"/>
      <c r="HS105" s="37"/>
      <c r="HT105" s="37"/>
      <c r="HU105" s="37"/>
      <c r="HV105" s="37"/>
      <c r="HW105" s="37"/>
      <c r="HX105" s="37"/>
      <c r="HY105" s="37"/>
      <c r="HZ105" s="37"/>
      <c r="IA105" s="37"/>
      <c r="IB105" s="37"/>
      <c r="IC105" s="37"/>
    </row>
    <row r="106" spans="1:237" s="40" customFormat="1" x14ac:dyDescent="0.2">
      <c r="A106" s="62"/>
      <c r="B106" s="63"/>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BZ106" s="37"/>
      <c r="CA106" s="37"/>
      <c r="CB106" s="37"/>
      <c r="CC106" s="37"/>
      <c r="CD106" s="37"/>
      <c r="CE106" s="37"/>
      <c r="CF106" s="37"/>
      <c r="CG106" s="37"/>
      <c r="CH106" s="37"/>
      <c r="CI106" s="37"/>
      <c r="CJ106" s="37"/>
      <c r="CK106" s="37"/>
      <c r="CL106" s="37"/>
      <c r="CM106" s="37"/>
      <c r="CN106" s="37"/>
      <c r="CO106" s="37"/>
      <c r="CP106" s="37"/>
      <c r="CQ106" s="37"/>
      <c r="CR106" s="37"/>
      <c r="CS106" s="37"/>
      <c r="CT106" s="37"/>
      <c r="CU106" s="37"/>
      <c r="CV106" s="37"/>
      <c r="CW106" s="37"/>
      <c r="CX106" s="37"/>
      <c r="CY106" s="37"/>
      <c r="CZ106" s="37"/>
      <c r="DA106" s="37"/>
      <c r="DB106" s="37"/>
      <c r="DC106" s="37"/>
      <c r="DD106" s="37"/>
      <c r="DE106" s="37"/>
      <c r="DF106" s="37"/>
      <c r="DG106" s="37"/>
      <c r="DH106" s="37"/>
      <c r="DI106" s="37"/>
      <c r="DJ106" s="37"/>
      <c r="DK106" s="37"/>
      <c r="DL106" s="37"/>
      <c r="DM106" s="37"/>
      <c r="DN106" s="37"/>
      <c r="DO106" s="37"/>
      <c r="DP106" s="37"/>
      <c r="DQ106" s="37"/>
      <c r="DR106" s="37"/>
      <c r="DS106" s="37"/>
      <c r="DT106" s="37"/>
      <c r="DU106" s="37"/>
      <c r="DV106" s="37"/>
      <c r="DW106" s="37"/>
      <c r="DX106" s="37"/>
      <c r="DY106" s="37"/>
      <c r="DZ106" s="37"/>
      <c r="EA106" s="37"/>
      <c r="EB106" s="37"/>
      <c r="EC106" s="37"/>
      <c r="ED106" s="37"/>
      <c r="EE106" s="37"/>
      <c r="EF106" s="37"/>
      <c r="EG106" s="37"/>
      <c r="EH106" s="37"/>
      <c r="EI106" s="37"/>
      <c r="EJ106" s="37"/>
      <c r="EK106" s="37"/>
      <c r="EL106" s="37"/>
      <c r="EM106" s="37"/>
      <c r="EN106" s="37"/>
      <c r="EO106" s="37"/>
      <c r="EP106" s="37"/>
      <c r="EQ106" s="37"/>
      <c r="ER106" s="37"/>
      <c r="ES106" s="37"/>
      <c r="ET106" s="37"/>
      <c r="EU106" s="37"/>
      <c r="EV106" s="37"/>
      <c r="EW106" s="37"/>
      <c r="EX106" s="37"/>
      <c r="EY106" s="37"/>
      <c r="EZ106" s="37"/>
      <c r="FA106" s="37"/>
      <c r="FB106" s="37"/>
      <c r="FC106" s="37"/>
      <c r="FD106" s="37"/>
      <c r="FE106" s="37"/>
      <c r="FF106" s="37"/>
      <c r="FG106" s="37"/>
      <c r="FH106" s="37"/>
      <c r="FI106" s="37"/>
      <c r="FJ106" s="37"/>
      <c r="FK106" s="37"/>
      <c r="FL106" s="37"/>
      <c r="FM106" s="37"/>
      <c r="FN106" s="37"/>
      <c r="FO106" s="37"/>
      <c r="FP106" s="37"/>
      <c r="FQ106" s="37"/>
      <c r="FR106" s="37"/>
      <c r="FS106" s="37"/>
      <c r="FT106" s="37"/>
      <c r="FU106" s="37"/>
      <c r="FV106" s="37"/>
      <c r="FW106" s="37"/>
      <c r="FX106" s="37"/>
      <c r="FY106" s="37"/>
      <c r="FZ106" s="37"/>
      <c r="GA106" s="37"/>
      <c r="GB106" s="37"/>
      <c r="GC106" s="37"/>
      <c r="GD106" s="37"/>
      <c r="GE106" s="37"/>
      <c r="GF106" s="37"/>
      <c r="GG106" s="37"/>
      <c r="GH106" s="37"/>
      <c r="GI106" s="37"/>
      <c r="GJ106" s="37"/>
      <c r="GK106" s="37"/>
      <c r="GL106" s="37"/>
      <c r="GM106" s="37"/>
      <c r="GN106" s="37"/>
      <c r="GO106" s="37"/>
      <c r="GP106" s="37"/>
      <c r="GQ106" s="37"/>
      <c r="GR106" s="37"/>
      <c r="GS106" s="37"/>
      <c r="GT106" s="37"/>
      <c r="GU106" s="37"/>
      <c r="GV106" s="37"/>
      <c r="GW106" s="37"/>
      <c r="GX106" s="37"/>
      <c r="GY106" s="37"/>
      <c r="GZ106" s="37"/>
      <c r="HA106" s="37"/>
      <c r="HB106" s="37"/>
      <c r="HC106" s="37"/>
      <c r="HD106" s="37"/>
      <c r="HE106" s="37"/>
      <c r="HF106" s="37"/>
      <c r="HG106" s="37"/>
      <c r="HH106" s="37"/>
      <c r="HI106" s="37"/>
      <c r="HJ106" s="37"/>
      <c r="HK106" s="37"/>
      <c r="HL106" s="37"/>
      <c r="HM106" s="37"/>
      <c r="HN106" s="37"/>
      <c r="HO106" s="37"/>
      <c r="HP106" s="37"/>
      <c r="HQ106" s="37"/>
      <c r="HR106" s="37"/>
      <c r="HS106" s="37"/>
      <c r="HT106" s="37"/>
      <c r="HU106" s="37"/>
      <c r="HV106" s="37"/>
      <c r="HW106" s="37"/>
      <c r="HX106" s="37"/>
      <c r="HY106" s="37"/>
      <c r="HZ106" s="37"/>
      <c r="IA106" s="37"/>
      <c r="IB106" s="37"/>
      <c r="IC106" s="37"/>
    </row>
    <row r="107" spans="1:237" s="40" customFormat="1" x14ac:dyDescent="0.2">
      <c r="A107" s="62"/>
      <c r="B107" s="63"/>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BZ107" s="37"/>
      <c r="CA107" s="37"/>
      <c r="CB107" s="37"/>
      <c r="CC107" s="37"/>
      <c r="CD107" s="37"/>
      <c r="CE107" s="37"/>
      <c r="CF107" s="37"/>
      <c r="CG107" s="37"/>
      <c r="CH107" s="37"/>
      <c r="CI107" s="37"/>
      <c r="CJ107" s="37"/>
      <c r="CK107" s="37"/>
      <c r="CL107" s="37"/>
      <c r="CM107" s="37"/>
      <c r="CN107" s="37"/>
      <c r="CO107" s="37"/>
      <c r="CP107" s="37"/>
      <c r="CQ107" s="37"/>
      <c r="CR107" s="37"/>
      <c r="CS107" s="37"/>
      <c r="CT107" s="37"/>
      <c r="CU107" s="37"/>
      <c r="CV107" s="37"/>
      <c r="CW107" s="37"/>
      <c r="CX107" s="37"/>
      <c r="CY107" s="37"/>
      <c r="CZ107" s="37"/>
      <c r="DA107" s="37"/>
      <c r="DB107" s="37"/>
      <c r="DC107" s="37"/>
      <c r="DD107" s="37"/>
      <c r="DE107" s="37"/>
      <c r="DF107" s="37"/>
      <c r="DG107" s="37"/>
      <c r="DH107" s="37"/>
      <c r="DI107" s="37"/>
      <c r="DJ107" s="37"/>
      <c r="DK107" s="37"/>
      <c r="DL107" s="37"/>
      <c r="DM107" s="37"/>
      <c r="DN107" s="37"/>
      <c r="DO107" s="37"/>
      <c r="DP107" s="37"/>
      <c r="DQ107" s="37"/>
      <c r="DR107" s="37"/>
      <c r="DS107" s="37"/>
      <c r="DT107" s="37"/>
      <c r="DU107" s="37"/>
      <c r="DV107" s="37"/>
      <c r="DW107" s="37"/>
      <c r="DX107" s="37"/>
      <c r="DY107" s="37"/>
      <c r="DZ107" s="37"/>
      <c r="EA107" s="37"/>
      <c r="EB107" s="37"/>
      <c r="EC107" s="37"/>
      <c r="ED107" s="37"/>
      <c r="EE107" s="37"/>
      <c r="EF107" s="37"/>
      <c r="EG107" s="37"/>
      <c r="EH107" s="37"/>
      <c r="EI107" s="37"/>
      <c r="EJ107" s="37"/>
      <c r="EK107" s="37"/>
      <c r="EL107" s="37"/>
      <c r="EM107" s="37"/>
      <c r="EN107" s="37"/>
      <c r="EO107" s="37"/>
      <c r="EP107" s="37"/>
      <c r="EQ107" s="37"/>
      <c r="ER107" s="37"/>
      <c r="ES107" s="37"/>
      <c r="ET107" s="37"/>
      <c r="EU107" s="37"/>
      <c r="EV107" s="37"/>
      <c r="EW107" s="37"/>
      <c r="EX107" s="37"/>
      <c r="EY107" s="37"/>
      <c r="EZ107" s="37"/>
      <c r="FA107" s="37"/>
      <c r="FB107" s="37"/>
      <c r="FC107" s="37"/>
      <c r="FD107" s="37"/>
      <c r="FE107" s="37"/>
      <c r="FF107" s="37"/>
      <c r="FG107" s="37"/>
      <c r="FH107" s="37"/>
      <c r="FI107" s="37"/>
      <c r="FJ107" s="37"/>
      <c r="FK107" s="37"/>
      <c r="FL107" s="37"/>
      <c r="FM107" s="37"/>
      <c r="FN107" s="37"/>
      <c r="FO107" s="37"/>
      <c r="FP107" s="37"/>
      <c r="FQ107" s="37"/>
      <c r="FR107" s="37"/>
      <c r="FS107" s="37"/>
      <c r="FT107" s="37"/>
      <c r="FU107" s="37"/>
      <c r="FV107" s="37"/>
      <c r="FW107" s="37"/>
      <c r="FX107" s="37"/>
      <c r="FY107" s="37"/>
      <c r="FZ107" s="37"/>
      <c r="GA107" s="37"/>
      <c r="GB107" s="37"/>
      <c r="GC107" s="37"/>
      <c r="GD107" s="37"/>
      <c r="GE107" s="37"/>
      <c r="GF107" s="37"/>
      <c r="GG107" s="37"/>
      <c r="GH107" s="37"/>
      <c r="GI107" s="37"/>
      <c r="GJ107" s="37"/>
      <c r="GK107" s="37"/>
      <c r="GL107" s="37"/>
      <c r="GM107" s="37"/>
      <c r="GN107" s="37"/>
      <c r="GO107" s="37"/>
      <c r="GP107" s="37"/>
      <c r="GQ107" s="37"/>
      <c r="GR107" s="37"/>
      <c r="GS107" s="37"/>
      <c r="GT107" s="37"/>
      <c r="GU107" s="37"/>
      <c r="GV107" s="37"/>
      <c r="GW107" s="37"/>
      <c r="GX107" s="37"/>
      <c r="GY107" s="37"/>
      <c r="GZ107" s="37"/>
      <c r="HA107" s="37"/>
      <c r="HB107" s="37"/>
      <c r="HC107" s="37"/>
      <c r="HD107" s="37"/>
      <c r="HE107" s="37"/>
      <c r="HF107" s="37"/>
      <c r="HG107" s="37"/>
      <c r="HH107" s="37"/>
      <c r="HI107" s="37"/>
      <c r="HJ107" s="37"/>
      <c r="HK107" s="37"/>
      <c r="HL107" s="37"/>
      <c r="HM107" s="37"/>
      <c r="HN107" s="37"/>
      <c r="HO107" s="37"/>
      <c r="HP107" s="37"/>
      <c r="HQ107" s="37"/>
      <c r="HR107" s="37"/>
      <c r="HS107" s="37"/>
      <c r="HT107" s="37"/>
      <c r="HU107" s="37"/>
      <c r="HV107" s="37"/>
      <c r="HW107" s="37"/>
      <c r="HX107" s="37"/>
      <c r="HY107" s="37"/>
      <c r="HZ107" s="37"/>
      <c r="IA107" s="37"/>
      <c r="IB107" s="37"/>
      <c r="IC107" s="37"/>
    </row>
    <row r="108" spans="1:237" s="40" customFormat="1" x14ac:dyDescent="0.2">
      <c r="A108" s="62"/>
      <c r="B108" s="63"/>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37"/>
      <c r="BB108" s="37"/>
      <c r="BC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BZ108" s="37"/>
      <c r="CA108" s="37"/>
      <c r="CB108" s="37"/>
      <c r="CC108" s="37"/>
      <c r="CD108" s="37"/>
      <c r="CE108" s="37"/>
      <c r="CF108" s="37"/>
      <c r="CG108" s="37"/>
      <c r="CH108" s="37"/>
      <c r="CI108" s="37"/>
      <c r="CJ108" s="37"/>
      <c r="CK108" s="37"/>
      <c r="CL108" s="37"/>
      <c r="CM108" s="37"/>
      <c r="CN108" s="37"/>
      <c r="CO108" s="37"/>
      <c r="CP108" s="37"/>
      <c r="CQ108" s="37"/>
      <c r="CR108" s="37"/>
      <c r="CS108" s="37"/>
      <c r="CT108" s="37"/>
      <c r="CU108" s="37"/>
      <c r="CV108" s="37"/>
      <c r="CW108" s="37"/>
      <c r="CX108" s="37"/>
      <c r="CY108" s="37"/>
      <c r="CZ108" s="37"/>
      <c r="DA108" s="37"/>
      <c r="DB108" s="37"/>
      <c r="DC108" s="37"/>
      <c r="DD108" s="37"/>
      <c r="DE108" s="37"/>
      <c r="DF108" s="37"/>
      <c r="DG108" s="37"/>
      <c r="DH108" s="37"/>
      <c r="DI108" s="37"/>
      <c r="DJ108" s="37"/>
      <c r="DK108" s="37"/>
      <c r="DL108" s="37"/>
      <c r="DM108" s="37"/>
      <c r="DN108" s="37"/>
      <c r="DO108" s="37"/>
      <c r="DP108" s="37"/>
      <c r="DQ108" s="37"/>
      <c r="DR108" s="37"/>
      <c r="DS108" s="37"/>
      <c r="DT108" s="37"/>
      <c r="DU108" s="37"/>
      <c r="DV108" s="37"/>
      <c r="DW108" s="37"/>
      <c r="DX108" s="37"/>
      <c r="DY108" s="37"/>
      <c r="DZ108" s="37"/>
      <c r="EA108" s="37"/>
      <c r="EB108" s="37"/>
      <c r="EC108" s="37"/>
      <c r="ED108" s="37"/>
      <c r="EE108" s="37"/>
      <c r="EF108" s="37"/>
      <c r="EG108" s="37"/>
      <c r="EH108" s="37"/>
      <c r="EI108" s="37"/>
      <c r="EJ108" s="37"/>
      <c r="EK108" s="37"/>
      <c r="EL108" s="37"/>
      <c r="EM108" s="37"/>
      <c r="EN108" s="37"/>
      <c r="EO108" s="37"/>
      <c r="EP108" s="37"/>
      <c r="EQ108" s="37"/>
      <c r="ER108" s="37"/>
      <c r="ES108" s="37"/>
      <c r="ET108" s="37"/>
      <c r="EU108" s="37"/>
      <c r="EV108" s="37"/>
      <c r="EW108" s="37"/>
      <c r="EX108" s="37"/>
      <c r="EY108" s="37"/>
      <c r="EZ108" s="37"/>
      <c r="FA108" s="37"/>
      <c r="FB108" s="37"/>
      <c r="FC108" s="37"/>
      <c r="FD108" s="37"/>
      <c r="FE108" s="37"/>
      <c r="FF108" s="37"/>
      <c r="FG108" s="37"/>
      <c r="FH108" s="37"/>
      <c r="FI108" s="37"/>
      <c r="FJ108" s="37"/>
      <c r="FK108" s="37"/>
      <c r="FL108" s="37"/>
      <c r="FM108" s="37"/>
      <c r="FN108" s="37"/>
      <c r="FO108" s="37"/>
      <c r="FP108" s="37"/>
      <c r="FQ108" s="37"/>
      <c r="FR108" s="37"/>
      <c r="FS108" s="37"/>
      <c r="FT108" s="37"/>
      <c r="FU108" s="37"/>
      <c r="FV108" s="37"/>
      <c r="FW108" s="37"/>
      <c r="FX108" s="37"/>
      <c r="FY108" s="37"/>
      <c r="FZ108" s="37"/>
      <c r="GA108" s="37"/>
      <c r="GB108" s="37"/>
      <c r="GC108" s="37"/>
      <c r="GD108" s="37"/>
      <c r="GE108" s="37"/>
      <c r="GF108" s="37"/>
      <c r="GG108" s="37"/>
      <c r="GH108" s="37"/>
      <c r="GI108" s="37"/>
      <c r="GJ108" s="37"/>
      <c r="GK108" s="37"/>
      <c r="GL108" s="37"/>
      <c r="GM108" s="37"/>
      <c r="GN108" s="37"/>
      <c r="GO108" s="37"/>
      <c r="GP108" s="37"/>
      <c r="GQ108" s="37"/>
      <c r="GR108" s="37"/>
      <c r="GS108" s="37"/>
      <c r="GT108" s="37"/>
      <c r="GU108" s="37"/>
      <c r="GV108" s="37"/>
      <c r="GW108" s="37"/>
      <c r="GX108" s="37"/>
      <c r="GY108" s="37"/>
      <c r="GZ108" s="37"/>
      <c r="HA108" s="37"/>
      <c r="HB108" s="37"/>
      <c r="HC108" s="37"/>
      <c r="HD108" s="37"/>
      <c r="HE108" s="37"/>
      <c r="HF108" s="37"/>
      <c r="HG108" s="37"/>
      <c r="HH108" s="37"/>
      <c r="HI108" s="37"/>
      <c r="HJ108" s="37"/>
      <c r="HK108" s="37"/>
      <c r="HL108" s="37"/>
      <c r="HM108" s="37"/>
      <c r="HN108" s="37"/>
      <c r="HO108" s="37"/>
      <c r="HP108" s="37"/>
      <c r="HQ108" s="37"/>
      <c r="HR108" s="37"/>
      <c r="HS108" s="37"/>
      <c r="HT108" s="37"/>
      <c r="HU108" s="37"/>
      <c r="HV108" s="37"/>
      <c r="HW108" s="37"/>
      <c r="HX108" s="37"/>
      <c r="HY108" s="37"/>
      <c r="HZ108" s="37"/>
      <c r="IA108" s="37"/>
      <c r="IB108" s="37"/>
      <c r="IC108" s="37"/>
    </row>
    <row r="109" spans="1:237" s="40" customFormat="1" x14ac:dyDescent="0.2">
      <c r="A109" s="62"/>
      <c r="B109" s="63"/>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7"/>
      <c r="AZ109" s="37"/>
      <c r="BA109" s="37"/>
      <c r="BB109" s="37"/>
      <c r="BC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BZ109" s="37"/>
      <c r="CA109" s="37"/>
      <c r="CB109" s="37"/>
      <c r="CC109" s="37"/>
      <c r="CD109" s="37"/>
      <c r="CE109" s="37"/>
      <c r="CF109" s="37"/>
      <c r="CG109" s="37"/>
      <c r="CH109" s="37"/>
      <c r="CI109" s="37"/>
      <c r="CJ109" s="37"/>
      <c r="CK109" s="37"/>
      <c r="CL109" s="37"/>
      <c r="CM109" s="37"/>
      <c r="CN109" s="37"/>
      <c r="CO109" s="37"/>
      <c r="CP109" s="37"/>
      <c r="CQ109" s="37"/>
      <c r="CR109" s="37"/>
      <c r="CS109" s="37"/>
      <c r="CT109" s="37"/>
      <c r="CU109" s="37"/>
      <c r="CV109" s="37"/>
      <c r="CW109" s="37"/>
      <c r="CX109" s="37"/>
      <c r="CY109" s="37"/>
      <c r="CZ109" s="37"/>
      <c r="DA109" s="37"/>
      <c r="DB109" s="37"/>
      <c r="DC109" s="37"/>
      <c r="DD109" s="37"/>
      <c r="DE109" s="37"/>
      <c r="DF109" s="37"/>
      <c r="DG109" s="37"/>
      <c r="DH109" s="37"/>
      <c r="DI109" s="37"/>
      <c r="DJ109" s="37"/>
      <c r="DK109" s="37"/>
      <c r="DL109" s="37"/>
      <c r="DM109" s="37"/>
      <c r="DN109" s="37"/>
      <c r="DO109" s="37"/>
      <c r="DP109" s="37"/>
      <c r="DQ109" s="37"/>
      <c r="DR109" s="37"/>
      <c r="DS109" s="37"/>
      <c r="DT109" s="37"/>
      <c r="DU109" s="37"/>
      <c r="DV109" s="37"/>
      <c r="DW109" s="37"/>
      <c r="DX109" s="37"/>
      <c r="DY109" s="37"/>
      <c r="DZ109" s="37"/>
      <c r="EA109" s="37"/>
      <c r="EB109" s="37"/>
      <c r="EC109" s="37"/>
      <c r="ED109" s="37"/>
      <c r="EE109" s="37"/>
      <c r="EF109" s="37"/>
      <c r="EG109" s="37"/>
      <c r="EH109" s="37"/>
      <c r="EI109" s="37"/>
      <c r="EJ109" s="37"/>
      <c r="EK109" s="37"/>
      <c r="EL109" s="37"/>
      <c r="EM109" s="37"/>
      <c r="EN109" s="37"/>
      <c r="EO109" s="37"/>
      <c r="EP109" s="37"/>
      <c r="EQ109" s="37"/>
      <c r="ER109" s="37"/>
      <c r="ES109" s="37"/>
      <c r="ET109" s="37"/>
      <c r="EU109" s="37"/>
      <c r="EV109" s="37"/>
      <c r="EW109" s="37"/>
      <c r="EX109" s="37"/>
      <c r="EY109" s="37"/>
      <c r="EZ109" s="37"/>
      <c r="FA109" s="37"/>
      <c r="FB109" s="37"/>
      <c r="FC109" s="37"/>
      <c r="FD109" s="37"/>
      <c r="FE109" s="37"/>
      <c r="FF109" s="37"/>
      <c r="FG109" s="37"/>
      <c r="FH109" s="37"/>
      <c r="FI109" s="37"/>
      <c r="FJ109" s="37"/>
      <c r="FK109" s="37"/>
      <c r="FL109" s="37"/>
      <c r="FM109" s="37"/>
      <c r="FN109" s="37"/>
      <c r="FO109" s="37"/>
      <c r="FP109" s="37"/>
      <c r="FQ109" s="37"/>
      <c r="FR109" s="37"/>
      <c r="FS109" s="37"/>
      <c r="FT109" s="37"/>
      <c r="FU109" s="37"/>
      <c r="FV109" s="37"/>
      <c r="FW109" s="37"/>
      <c r="FX109" s="37"/>
      <c r="FY109" s="37"/>
      <c r="FZ109" s="37"/>
      <c r="GA109" s="37"/>
      <c r="GB109" s="37"/>
      <c r="GC109" s="37"/>
      <c r="GD109" s="37"/>
      <c r="GE109" s="37"/>
      <c r="GF109" s="37"/>
      <c r="GG109" s="37"/>
      <c r="GH109" s="37"/>
      <c r="GI109" s="37"/>
      <c r="GJ109" s="37"/>
      <c r="GK109" s="37"/>
      <c r="GL109" s="37"/>
      <c r="GM109" s="37"/>
      <c r="GN109" s="37"/>
      <c r="GO109" s="37"/>
      <c r="GP109" s="37"/>
      <c r="GQ109" s="37"/>
      <c r="GR109" s="37"/>
      <c r="GS109" s="37"/>
      <c r="GT109" s="37"/>
      <c r="GU109" s="37"/>
      <c r="GV109" s="37"/>
      <c r="GW109" s="37"/>
      <c r="GX109" s="37"/>
      <c r="GY109" s="37"/>
      <c r="GZ109" s="37"/>
      <c r="HA109" s="37"/>
      <c r="HB109" s="37"/>
      <c r="HC109" s="37"/>
      <c r="HD109" s="37"/>
      <c r="HE109" s="37"/>
      <c r="HF109" s="37"/>
      <c r="HG109" s="37"/>
      <c r="HH109" s="37"/>
      <c r="HI109" s="37"/>
      <c r="HJ109" s="37"/>
      <c r="HK109" s="37"/>
      <c r="HL109" s="37"/>
      <c r="HM109" s="37"/>
      <c r="HN109" s="37"/>
      <c r="HO109" s="37"/>
      <c r="HP109" s="37"/>
      <c r="HQ109" s="37"/>
      <c r="HR109" s="37"/>
      <c r="HS109" s="37"/>
      <c r="HT109" s="37"/>
      <c r="HU109" s="37"/>
      <c r="HV109" s="37"/>
      <c r="HW109" s="37"/>
      <c r="HX109" s="37"/>
      <c r="HY109" s="37"/>
      <c r="HZ109" s="37"/>
      <c r="IA109" s="37"/>
      <c r="IB109" s="37"/>
      <c r="IC109" s="37"/>
    </row>
    <row r="110" spans="1:237" s="40" customFormat="1" x14ac:dyDescent="0.2">
      <c r="A110" s="62"/>
      <c r="B110" s="63"/>
      <c r="J110" s="37"/>
      <c r="K110" s="37"/>
      <c r="L110" s="37"/>
      <c r="M110" s="3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c r="BA110" s="37"/>
      <c r="BB110" s="37"/>
      <c r="BC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BZ110" s="37"/>
      <c r="CA110" s="37"/>
      <c r="CB110" s="37"/>
      <c r="CC110" s="37"/>
      <c r="CD110" s="37"/>
      <c r="CE110" s="37"/>
      <c r="CF110" s="37"/>
      <c r="CG110" s="37"/>
      <c r="CH110" s="37"/>
      <c r="CI110" s="37"/>
      <c r="CJ110" s="37"/>
      <c r="CK110" s="37"/>
      <c r="CL110" s="37"/>
      <c r="CM110" s="37"/>
      <c r="CN110" s="37"/>
      <c r="CO110" s="37"/>
      <c r="CP110" s="37"/>
      <c r="CQ110" s="37"/>
      <c r="CR110" s="37"/>
      <c r="CS110" s="37"/>
      <c r="CT110" s="37"/>
      <c r="CU110" s="37"/>
      <c r="CV110" s="37"/>
      <c r="CW110" s="37"/>
      <c r="CX110" s="37"/>
      <c r="CY110" s="37"/>
      <c r="CZ110" s="37"/>
      <c r="DA110" s="37"/>
      <c r="DB110" s="37"/>
      <c r="DC110" s="37"/>
      <c r="DD110" s="37"/>
      <c r="DE110" s="37"/>
      <c r="DF110" s="37"/>
      <c r="DG110" s="37"/>
      <c r="DH110" s="37"/>
      <c r="DI110" s="37"/>
      <c r="DJ110" s="37"/>
      <c r="DK110" s="37"/>
      <c r="DL110" s="37"/>
      <c r="DM110" s="37"/>
      <c r="DN110" s="37"/>
      <c r="DO110" s="37"/>
      <c r="DP110" s="37"/>
      <c r="DQ110" s="37"/>
      <c r="DR110" s="37"/>
      <c r="DS110" s="37"/>
      <c r="DT110" s="37"/>
      <c r="DU110" s="37"/>
      <c r="DV110" s="37"/>
      <c r="DW110" s="37"/>
      <c r="DX110" s="37"/>
      <c r="DY110" s="37"/>
      <c r="DZ110" s="37"/>
      <c r="EA110" s="37"/>
      <c r="EB110" s="37"/>
      <c r="EC110" s="37"/>
      <c r="ED110" s="37"/>
      <c r="EE110" s="37"/>
      <c r="EF110" s="37"/>
      <c r="EG110" s="37"/>
      <c r="EH110" s="37"/>
      <c r="EI110" s="37"/>
      <c r="EJ110" s="37"/>
      <c r="EK110" s="37"/>
      <c r="EL110" s="37"/>
      <c r="EM110" s="37"/>
      <c r="EN110" s="37"/>
      <c r="EO110" s="37"/>
      <c r="EP110" s="37"/>
      <c r="EQ110" s="37"/>
      <c r="ER110" s="37"/>
      <c r="ES110" s="37"/>
      <c r="ET110" s="37"/>
      <c r="EU110" s="37"/>
      <c r="EV110" s="37"/>
      <c r="EW110" s="37"/>
      <c r="EX110" s="37"/>
      <c r="EY110" s="37"/>
      <c r="EZ110" s="37"/>
      <c r="FA110" s="37"/>
      <c r="FB110" s="37"/>
      <c r="FC110" s="37"/>
      <c r="FD110" s="37"/>
      <c r="FE110" s="37"/>
      <c r="FF110" s="37"/>
      <c r="FG110" s="37"/>
      <c r="FH110" s="37"/>
      <c r="FI110" s="37"/>
      <c r="FJ110" s="37"/>
      <c r="FK110" s="37"/>
      <c r="FL110" s="37"/>
      <c r="FM110" s="37"/>
      <c r="FN110" s="37"/>
      <c r="FO110" s="37"/>
      <c r="FP110" s="37"/>
      <c r="FQ110" s="37"/>
      <c r="FR110" s="37"/>
      <c r="FS110" s="37"/>
      <c r="FT110" s="37"/>
      <c r="FU110" s="37"/>
      <c r="FV110" s="37"/>
      <c r="FW110" s="37"/>
      <c r="FX110" s="37"/>
      <c r="FY110" s="37"/>
      <c r="FZ110" s="37"/>
      <c r="GA110" s="37"/>
      <c r="GB110" s="37"/>
      <c r="GC110" s="37"/>
      <c r="GD110" s="37"/>
      <c r="GE110" s="37"/>
      <c r="GF110" s="37"/>
      <c r="GG110" s="37"/>
      <c r="GH110" s="37"/>
      <c r="GI110" s="37"/>
      <c r="GJ110" s="37"/>
      <c r="GK110" s="37"/>
      <c r="GL110" s="37"/>
      <c r="GM110" s="37"/>
      <c r="GN110" s="37"/>
      <c r="GO110" s="37"/>
      <c r="GP110" s="37"/>
      <c r="GQ110" s="37"/>
      <c r="GR110" s="37"/>
      <c r="GS110" s="37"/>
      <c r="GT110" s="37"/>
      <c r="GU110" s="37"/>
      <c r="GV110" s="37"/>
      <c r="GW110" s="37"/>
      <c r="GX110" s="37"/>
      <c r="GY110" s="37"/>
      <c r="GZ110" s="37"/>
      <c r="HA110" s="37"/>
      <c r="HB110" s="37"/>
      <c r="HC110" s="37"/>
      <c r="HD110" s="37"/>
      <c r="HE110" s="37"/>
      <c r="HF110" s="37"/>
      <c r="HG110" s="37"/>
      <c r="HH110" s="37"/>
      <c r="HI110" s="37"/>
      <c r="HJ110" s="37"/>
      <c r="HK110" s="37"/>
      <c r="HL110" s="37"/>
      <c r="HM110" s="37"/>
      <c r="HN110" s="37"/>
      <c r="HO110" s="37"/>
      <c r="HP110" s="37"/>
      <c r="HQ110" s="37"/>
      <c r="HR110" s="37"/>
      <c r="HS110" s="37"/>
      <c r="HT110" s="37"/>
      <c r="HU110" s="37"/>
      <c r="HV110" s="37"/>
      <c r="HW110" s="37"/>
      <c r="HX110" s="37"/>
      <c r="HY110" s="37"/>
      <c r="HZ110" s="37"/>
      <c r="IA110" s="37"/>
      <c r="IB110" s="37"/>
      <c r="IC110" s="37"/>
    </row>
    <row r="111" spans="1:237" s="40" customFormat="1" x14ac:dyDescent="0.2">
      <c r="A111" s="62"/>
      <c r="B111" s="63"/>
      <c r="J111" s="37"/>
      <c r="K111" s="37"/>
      <c r="L111" s="37"/>
      <c r="M111" s="37"/>
      <c r="N111" s="37"/>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c r="BC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c r="BZ111" s="37"/>
      <c r="CA111" s="37"/>
      <c r="CB111" s="37"/>
      <c r="CC111" s="37"/>
      <c r="CD111" s="37"/>
      <c r="CE111" s="37"/>
      <c r="CF111" s="37"/>
      <c r="CG111" s="37"/>
      <c r="CH111" s="37"/>
      <c r="CI111" s="37"/>
      <c r="CJ111" s="37"/>
      <c r="CK111" s="37"/>
      <c r="CL111" s="37"/>
      <c r="CM111" s="37"/>
      <c r="CN111" s="37"/>
      <c r="CO111" s="37"/>
      <c r="CP111" s="37"/>
      <c r="CQ111" s="37"/>
      <c r="CR111" s="37"/>
      <c r="CS111" s="37"/>
      <c r="CT111" s="37"/>
      <c r="CU111" s="37"/>
      <c r="CV111" s="37"/>
      <c r="CW111" s="37"/>
      <c r="CX111" s="37"/>
      <c r="CY111" s="37"/>
      <c r="CZ111" s="37"/>
      <c r="DA111" s="37"/>
      <c r="DB111" s="37"/>
      <c r="DC111" s="37"/>
      <c r="DD111" s="37"/>
      <c r="DE111" s="37"/>
      <c r="DF111" s="37"/>
      <c r="DG111" s="37"/>
      <c r="DH111" s="37"/>
      <c r="DI111" s="37"/>
      <c r="DJ111" s="37"/>
      <c r="DK111" s="37"/>
      <c r="DL111" s="37"/>
      <c r="DM111" s="37"/>
      <c r="DN111" s="37"/>
      <c r="DO111" s="37"/>
      <c r="DP111" s="37"/>
      <c r="DQ111" s="37"/>
      <c r="DR111" s="37"/>
      <c r="DS111" s="37"/>
      <c r="DT111" s="37"/>
      <c r="DU111" s="37"/>
      <c r="DV111" s="37"/>
      <c r="DW111" s="37"/>
      <c r="DX111" s="37"/>
      <c r="DY111" s="37"/>
      <c r="DZ111" s="37"/>
      <c r="EA111" s="37"/>
      <c r="EB111" s="37"/>
      <c r="EC111" s="37"/>
      <c r="ED111" s="37"/>
      <c r="EE111" s="37"/>
      <c r="EF111" s="37"/>
      <c r="EG111" s="37"/>
      <c r="EH111" s="37"/>
      <c r="EI111" s="37"/>
      <c r="EJ111" s="37"/>
      <c r="EK111" s="37"/>
      <c r="EL111" s="37"/>
      <c r="EM111" s="37"/>
      <c r="EN111" s="37"/>
      <c r="EO111" s="37"/>
      <c r="EP111" s="37"/>
      <c r="EQ111" s="37"/>
      <c r="ER111" s="37"/>
      <c r="ES111" s="37"/>
      <c r="ET111" s="37"/>
      <c r="EU111" s="37"/>
      <c r="EV111" s="37"/>
      <c r="EW111" s="37"/>
      <c r="EX111" s="37"/>
      <c r="EY111" s="37"/>
      <c r="EZ111" s="37"/>
      <c r="FA111" s="37"/>
      <c r="FB111" s="37"/>
      <c r="FC111" s="37"/>
      <c r="FD111" s="37"/>
      <c r="FE111" s="37"/>
      <c r="FF111" s="37"/>
      <c r="FG111" s="37"/>
      <c r="FH111" s="37"/>
      <c r="FI111" s="37"/>
      <c r="FJ111" s="37"/>
      <c r="FK111" s="37"/>
      <c r="FL111" s="37"/>
      <c r="FM111" s="37"/>
      <c r="FN111" s="37"/>
      <c r="FO111" s="37"/>
      <c r="FP111" s="37"/>
      <c r="FQ111" s="37"/>
      <c r="FR111" s="37"/>
      <c r="FS111" s="37"/>
      <c r="FT111" s="37"/>
      <c r="FU111" s="37"/>
      <c r="FV111" s="37"/>
      <c r="FW111" s="37"/>
      <c r="FX111" s="37"/>
      <c r="FY111" s="37"/>
      <c r="FZ111" s="37"/>
      <c r="GA111" s="37"/>
      <c r="GB111" s="37"/>
      <c r="GC111" s="37"/>
      <c r="GD111" s="37"/>
      <c r="GE111" s="37"/>
      <c r="GF111" s="37"/>
      <c r="GG111" s="37"/>
      <c r="GH111" s="37"/>
      <c r="GI111" s="37"/>
      <c r="GJ111" s="37"/>
      <c r="GK111" s="37"/>
      <c r="GL111" s="37"/>
      <c r="GM111" s="37"/>
      <c r="GN111" s="37"/>
      <c r="GO111" s="37"/>
      <c r="GP111" s="37"/>
      <c r="GQ111" s="37"/>
      <c r="GR111" s="37"/>
      <c r="GS111" s="37"/>
      <c r="GT111" s="37"/>
      <c r="GU111" s="37"/>
      <c r="GV111" s="37"/>
      <c r="GW111" s="37"/>
      <c r="GX111" s="37"/>
      <c r="GY111" s="37"/>
      <c r="GZ111" s="37"/>
      <c r="HA111" s="37"/>
      <c r="HB111" s="37"/>
      <c r="HC111" s="37"/>
      <c r="HD111" s="37"/>
      <c r="HE111" s="37"/>
      <c r="HF111" s="37"/>
      <c r="HG111" s="37"/>
      <c r="HH111" s="37"/>
      <c r="HI111" s="37"/>
      <c r="HJ111" s="37"/>
      <c r="HK111" s="37"/>
      <c r="HL111" s="37"/>
      <c r="HM111" s="37"/>
      <c r="HN111" s="37"/>
      <c r="HO111" s="37"/>
      <c r="HP111" s="37"/>
      <c r="HQ111" s="37"/>
      <c r="HR111" s="37"/>
      <c r="HS111" s="37"/>
      <c r="HT111" s="37"/>
      <c r="HU111" s="37"/>
      <c r="HV111" s="37"/>
      <c r="HW111" s="37"/>
      <c r="HX111" s="37"/>
      <c r="HY111" s="37"/>
      <c r="HZ111" s="37"/>
      <c r="IA111" s="37"/>
      <c r="IB111" s="37"/>
      <c r="IC111" s="37"/>
    </row>
    <row r="112" spans="1:237" s="40" customFormat="1" x14ac:dyDescent="0.2">
      <c r="A112" s="62"/>
      <c r="B112" s="63"/>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BZ112" s="37"/>
      <c r="CA112" s="37"/>
      <c r="CB112" s="37"/>
      <c r="CC112" s="37"/>
      <c r="CD112" s="37"/>
      <c r="CE112" s="37"/>
      <c r="CF112" s="37"/>
      <c r="CG112" s="37"/>
      <c r="CH112" s="37"/>
      <c r="CI112" s="37"/>
      <c r="CJ112" s="37"/>
      <c r="CK112" s="37"/>
      <c r="CL112" s="37"/>
      <c r="CM112" s="37"/>
      <c r="CN112" s="37"/>
      <c r="CO112" s="37"/>
      <c r="CP112" s="37"/>
      <c r="CQ112" s="37"/>
      <c r="CR112" s="37"/>
      <c r="CS112" s="37"/>
      <c r="CT112" s="37"/>
      <c r="CU112" s="37"/>
      <c r="CV112" s="37"/>
      <c r="CW112" s="37"/>
      <c r="CX112" s="37"/>
      <c r="CY112" s="37"/>
      <c r="CZ112" s="37"/>
      <c r="DA112" s="37"/>
      <c r="DB112" s="37"/>
      <c r="DC112" s="37"/>
      <c r="DD112" s="37"/>
      <c r="DE112" s="37"/>
      <c r="DF112" s="37"/>
      <c r="DG112" s="37"/>
      <c r="DH112" s="37"/>
      <c r="DI112" s="37"/>
      <c r="DJ112" s="37"/>
      <c r="DK112" s="37"/>
      <c r="DL112" s="37"/>
      <c r="DM112" s="37"/>
      <c r="DN112" s="37"/>
      <c r="DO112" s="37"/>
      <c r="DP112" s="37"/>
      <c r="DQ112" s="37"/>
      <c r="DR112" s="37"/>
      <c r="DS112" s="37"/>
      <c r="DT112" s="37"/>
      <c r="DU112" s="37"/>
      <c r="DV112" s="37"/>
      <c r="DW112" s="37"/>
      <c r="DX112" s="37"/>
      <c r="DY112" s="37"/>
      <c r="DZ112" s="37"/>
      <c r="EA112" s="37"/>
      <c r="EB112" s="37"/>
      <c r="EC112" s="37"/>
      <c r="ED112" s="37"/>
      <c r="EE112" s="37"/>
      <c r="EF112" s="37"/>
      <c r="EG112" s="37"/>
      <c r="EH112" s="37"/>
      <c r="EI112" s="37"/>
      <c r="EJ112" s="37"/>
      <c r="EK112" s="37"/>
      <c r="EL112" s="37"/>
      <c r="EM112" s="37"/>
      <c r="EN112" s="37"/>
      <c r="EO112" s="37"/>
      <c r="EP112" s="37"/>
      <c r="EQ112" s="37"/>
      <c r="ER112" s="37"/>
      <c r="ES112" s="37"/>
      <c r="ET112" s="37"/>
      <c r="EU112" s="37"/>
      <c r="EV112" s="37"/>
      <c r="EW112" s="37"/>
      <c r="EX112" s="37"/>
      <c r="EY112" s="37"/>
      <c r="EZ112" s="37"/>
      <c r="FA112" s="37"/>
      <c r="FB112" s="37"/>
      <c r="FC112" s="37"/>
      <c r="FD112" s="37"/>
      <c r="FE112" s="37"/>
      <c r="FF112" s="37"/>
      <c r="FG112" s="37"/>
      <c r="FH112" s="37"/>
      <c r="FI112" s="37"/>
      <c r="FJ112" s="37"/>
      <c r="FK112" s="37"/>
      <c r="FL112" s="37"/>
      <c r="FM112" s="37"/>
      <c r="FN112" s="37"/>
      <c r="FO112" s="37"/>
      <c r="FP112" s="37"/>
      <c r="FQ112" s="37"/>
      <c r="FR112" s="37"/>
      <c r="FS112" s="37"/>
      <c r="FT112" s="37"/>
      <c r="FU112" s="37"/>
      <c r="FV112" s="37"/>
      <c r="FW112" s="37"/>
      <c r="FX112" s="37"/>
      <c r="FY112" s="37"/>
      <c r="FZ112" s="37"/>
      <c r="GA112" s="37"/>
      <c r="GB112" s="37"/>
      <c r="GC112" s="37"/>
      <c r="GD112" s="37"/>
      <c r="GE112" s="37"/>
      <c r="GF112" s="37"/>
      <c r="GG112" s="37"/>
      <c r="GH112" s="37"/>
      <c r="GI112" s="37"/>
      <c r="GJ112" s="37"/>
      <c r="GK112" s="37"/>
      <c r="GL112" s="37"/>
      <c r="GM112" s="37"/>
      <c r="GN112" s="37"/>
      <c r="GO112" s="37"/>
      <c r="GP112" s="37"/>
      <c r="GQ112" s="37"/>
      <c r="GR112" s="37"/>
      <c r="GS112" s="37"/>
      <c r="GT112" s="37"/>
      <c r="GU112" s="37"/>
      <c r="GV112" s="37"/>
      <c r="GW112" s="37"/>
      <c r="GX112" s="37"/>
      <c r="GY112" s="37"/>
      <c r="GZ112" s="37"/>
      <c r="HA112" s="37"/>
      <c r="HB112" s="37"/>
      <c r="HC112" s="37"/>
      <c r="HD112" s="37"/>
      <c r="HE112" s="37"/>
      <c r="HF112" s="37"/>
      <c r="HG112" s="37"/>
      <c r="HH112" s="37"/>
      <c r="HI112" s="37"/>
      <c r="HJ112" s="37"/>
      <c r="HK112" s="37"/>
      <c r="HL112" s="37"/>
      <c r="HM112" s="37"/>
      <c r="HN112" s="37"/>
      <c r="HO112" s="37"/>
      <c r="HP112" s="37"/>
      <c r="HQ112" s="37"/>
      <c r="HR112" s="37"/>
      <c r="HS112" s="37"/>
      <c r="HT112" s="37"/>
      <c r="HU112" s="37"/>
      <c r="HV112" s="37"/>
      <c r="HW112" s="37"/>
      <c r="HX112" s="37"/>
      <c r="HY112" s="37"/>
      <c r="HZ112" s="37"/>
      <c r="IA112" s="37"/>
      <c r="IB112" s="37"/>
      <c r="IC112" s="37"/>
    </row>
    <row r="113" spans="1:237" s="40" customFormat="1" x14ac:dyDescent="0.2">
      <c r="A113" s="62"/>
      <c r="B113" s="63"/>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7"/>
      <c r="CE113" s="37"/>
      <c r="CF113" s="37"/>
      <c r="CG113" s="37"/>
      <c r="CH113" s="37"/>
      <c r="CI113" s="37"/>
      <c r="CJ113" s="37"/>
      <c r="CK113" s="37"/>
      <c r="CL113" s="37"/>
      <c r="CM113" s="37"/>
      <c r="CN113" s="37"/>
      <c r="CO113" s="37"/>
      <c r="CP113" s="37"/>
      <c r="CQ113" s="37"/>
      <c r="CR113" s="37"/>
      <c r="CS113" s="37"/>
      <c r="CT113" s="37"/>
      <c r="CU113" s="37"/>
      <c r="CV113" s="37"/>
      <c r="CW113" s="37"/>
      <c r="CX113" s="37"/>
      <c r="CY113" s="37"/>
      <c r="CZ113" s="37"/>
      <c r="DA113" s="37"/>
      <c r="DB113" s="37"/>
      <c r="DC113" s="37"/>
      <c r="DD113" s="37"/>
      <c r="DE113" s="37"/>
      <c r="DF113" s="37"/>
      <c r="DG113" s="37"/>
      <c r="DH113" s="37"/>
      <c r="DI113" s="37"/>
      <c r="DJ113" s="37"/>
      <c r="DK113" s="37"/>
      <c r="DL113" s="37"/>
      <c r="DM113" s="37"/>
      <c r="DN113" s="37"/>
      <c r="DO113" s="37"/>
      <c r="DP113" s="37"/>
      <c r="DQ113" s="37"/>
      <c r="DR113" s="37"/>
      <c r="DS113" s="37"/>
      <c r="DT113" s="37"/>
      <c r="DU113" s="37"/>
      <c r="DV113" s="37"/>
      <c r="DW113" s="37"/>
      <c r="DX113" s="37"/>
      <c r="DY113" s="37"/>
      <c r="DZ113" s="37"/>
      <c r="EA113" s="37"/>
      <c r="EB113" s="37"/>
      <c r="EC113" s="37"/>
      <c r="ED113" s="37"/>
      <c r="EE113" s="37"/>
      <c r="EF113" s="37"/>
      <c r="EG113" s="37"/>
      <c r="EH113" s="37"/>
      <c r="EI113" s="37"/>
      <c r="EJ113" s="37"/>
      <c r="EK113" s="37"/>
      <c r="EL113" s="37"/>
      <c r="EM113" s="37"/>
      <c r="EN113" s="37"/>
      <c r="EO113" s="37"/>
      <c r="EP113" s="37"/>
      <c r="EQ113" s="37"/>
      <c r="ER113" s="37"/>
      <c r="ES113" s="37"/>
      <c r="ET113" s="37"/>
      <c r="EU113" s="37"/>
      <c r="EV113" s="37"/>
      <c r="EW113" s="37"/>
      <c r="EX113" s="37"/>
      <c r="EY113" s="37"/>
      <c r="EZ113" s="37"/>
      <c r="FA113" s="37"/>
      <c r="FB113" s="37"/>
      <c r="FC113" s="37"/>
      <c r="FD113" s="37"/>
      <c r="FE113" s="37"/>
      <c r="FF113" s="37"/>
      <c r="FG113" s="37"/>
      <c r="FH113" s="37"/>
      <c r="FI113" s="37"/>
      <c r="FJ113" s="37"/>
      <c r="FK113" s="37"/>
      <c r="FL113" s="37"/>
      <c r="FM113" s="37"/>
      <c r="FN113" s="37"/>
      <c r="FO113" s="37"/>
      <c r="FP113" s="37"/>
      <c r="FQ113" s="37"/>
      <c r="FR113" s="37"/>
      <c r="FS113" s="37"/>
      <c r="FT113" s="37"/>
      <c r="FU113" s="37"/>
      <c r="FV113" s="37"/>
      <c r="FW113" s="37"/>
      <c r="FX113" s="37"/>
      <c r="FY113" s="37"/>
      <c r="FZ113" s="37"/>
      <c r="GA113" s="37"/>
      <c r="GB113" s="37"/>
      <c r="GC113" s="37"/>
      <c r="GD113" s="37"/>
      <c r="GE113" s="37"/>
      <c r="GF113" s="37"/>
      <c r="GG113" s="37"/>
      <c r="GH113" s="37"/>
      <c r="GI113" s="37"/>
      <c r="GJ113" s="37"/>
      <c r="GK113" s="37"/>
      <c r="GL113" s="37"/>
      <c r="GM113" s="37"/>
      <c r="GN113" s="37"/>
      <c r="GO113" s="37"/>
      <c r="GP113" s="37"/>
      <c r="GQ113" s="37"/>
      <c r="GR113" s="37"/>
      <c r="GS113" s="37"/>
      <c r="GT113" s="37"/>
      <c r="GU113" s="37"/>
      <c r="GV113" s="37"/>
      <c r="GW113" s="37"/>
      <c r="GX113" s="37"/>
      <c r="GY113" s="37"/>
      <c r="GZ113" s="37"/>
      <c r="HA113" s="37"/>
      <c r="HB113" s="37"/>
      <c r="HC113" s="37"/>
      <c r="HD113" s="37"/>
      <c r="HE113" s="37"/>
      <c r="HF113" s="37"/>
      <c r="HG113" s="37"/>
      <c r="HH113" s="37"/>
      <c r="HI113" s="37"/>
      <c r="HJ113" s="37"/>
      <c r="HK113" s="37"/>
      <c r="HL113" s="37"/>
      <c r="HM113" s="37"/>
      <c r="HN113" s="37"/>
      <c r="HO113" s="37"/>
      <c r="HP113" s="37"/>
      <c r="HQ113" s="37"/>
      <c r="HR113" s="37"/>
      <c r="HS113" s="37"/>
      <c r="HT113" s="37"/>
      <c r="HU113" s="37"/>
      <c r="HV113" s="37"/>
      <c r="HW113" s="37"/>
      <c r="HX113" s="37"/>
      <c r="HY113" s="37"/>
      <c r="HZ113" s="37"/>
      <c r="IA113" s="37"/>
      <c r="IB113" s="37"/>
      <c r="IC113" s="37"/>
    </row>
    <row r="114" spans="1:237" s="40" customFormat="1" x14ac:dyDescent="0.2">
      <c r="A114" s="62"/>
      <c r="B114" s="63"/>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BZ114" s="37"/>
      <c r="CA114" s="37"/>
      <c r="CB114" s="37"/>
      <c r="CC114" s="37"/>
      <c r="CD114" s="37"/>
      <c r="CE114" s="37"/>
      <c r="CF114" s="37"/>
      <c r="CG114" s="37"/>
      <c r="CH114" s="37"/>
      <c r="CI114" s="37"/>
      <c r="CJ114" s="37"/>
      <c r="CK114" s="37"/>
      <c r="CL114" s="37"/>
      <c r="CM114" s="37"/>
      <c r="CN114" s="37"/>
      <c r="CO114" s="37"/>
      <c r="CP114" s="37"/>
      <c r="CQ114" s="37"/>
      <c r="CR114" s="37"/>
      <c r="CS114" s="37"/>
      <c r="CT114" s="37"/>
      <c r="CU114" s="37"/>
      <c r="CV114" s="37"/>
      <c r="CW114" s="37"/>
      <c r="CX114" s="37"/>
      <c r="CY114" s="37"/>
      <c r="CZ114" s="37"/>
      <c r="DA114" s="37"/>
      <c r="DB114" s="37"/>
      <c r="DC114" s="37"/>
      <c r="DD114" s="37"/>
      <c r="DE114" s="37"/>
      <c r="DF114" s="37"/>
      <c r="DG114" s="37"/>
      <c r="DH114" s="37"/>
      <c r="DI114" s="37"/>
      <c r="DJ114" s="37"/>
      <c r="DK114" s="37"/>
      <c r="DL114" s="37"/>
      <c r="DM114" s="37"/>
      <c r="DN114" s="37"/>
      <c r="DO114" s="37"/>
      <c r="DP114" s="37"/>
      <c r="DQ114" s="37"/>
      <c r="DR114" s="37"/>
      <c r="DS114" s="37"/>
      <c r="DT114" s="37"/>
      <c r="DU114" s="37"/>
      <c r="DV114" s="37"/>
      <c r="DW114" s="37"/>
      <c r="DX114" s="37"/>
      <c r="DY114" s="37"/>
      <c r="DZ114" s="37"/>
      <c r="EA114" s="37"/>
      <c r="EB114" s="37"/>
      <c r="EC114" s="37"/>
      <c r="ED114" s="37"/>
      <c r="EE114" s="37"/>
      <c r="EF114" s="37"/>
      <c r="EG114" s="37"/>
      <c r="EH114" s="37"/>
      <c r="EI114" s="37"/>
      <c r="EJ114" s="37"/>
      <c r="EK114" s="37"/>
      <c r="EL114" s="37"/>
      <c r="EM114" s="37"/>
      <c r="EN114" s="37"/>
      <c r="EO114" s="37"/>
      <c r="EP114" s="37"/>
      <c r="EQ114" s="37"/>
      <c r="ER114" s="37"/>
      <c r="ES114" s="37"/>
      <c r="ET114" s="37"/>
      <c r="EU114" s="37"/>
      <c r="EV114" s="37"/>
      <c r="EW114" s="37"/>
      <c r="EX114" s="37"/>
      <c r="EY114" s="37"/>
      <c r="EZ114" s="37"/>
      <c r="FA114" s="37"/>
      <c r="FB114" s="37"/>
      <c r="FC114" s="37"/>
      <c r="FD114" s="37"/>
      <c r="FE114" s="37"/>
      <c r="FF114" s="37"/>
      <c r="FG114" s="37"/>
      <c r="FH114" s="37"/>
      <c r="FI114" s="37"/>
      <c r="FJ114" s="37"/>
      <c r="FK114" s="37"/>
      <c r="FL114" s="37"/>
      <c r="FM114" s="37"/>
      <c r="FN114" s="37"/>
      <c r="FO114" s="37"/>
      <c r="FP114" s="37"/>
      <c r="FQ114" s="37"/>
      <c r="FR114" s="37"/>
      <c r="FS114" s="37"/>
      <c r="FT114" s="37"/>
      <c r="FU114" s="37"/>
      <c r="FV114" s="37"/>
      <c r="FW114" s="37"/>
      <c r="FX114" s="37"/>
      <c r="FY114" s="37"/>
      <c r="FZ114" s="37"/>
      <c r="GA114" s="37"/>
      <c r="GB114" s="37"/>
      <c r="GC114" s="37"/>
      <c r="GD114" s="37"/>
      <c r="GE114" s="37"/>
      <c r="GF114" s="37"/>
      <c r="GG114" s="37"/>
      <c r="GH114" s="37"/>
      <c r="GI114" s="37"/>
      <c r="GJ114" s="37"/>
      <c r="GK114" s="37"/>
      <c r="GL114" s="37"/>
      <c r="GM114" s="37"/>
      <c r="GN114" s="37"/>
      <c r="GO114" s="37"/>
      <c r="GP114" s="37"/>
      <c r="GQ114" s="37"/>
      <c r="GR114" s="37"/>
      <c r="GS114" s="37"/>
      <c r="GT114" s="37"/>
      <c r="GU114" s="37"/>
      <c r="GV114" s="37"/>
      <c r="GW114" s="37"/>
      <c r="GX114" s="37"/>
      <c r="GY114" s="37"/>
      <c r="GZ114" s="37"/>
      <c r="HA114" s="37"/>
      <c r="HB114" s="37"/>
      <c r="HC114" s="37"/>
      <c r="HD114" s="37"/>
      <c r="HE114" s="37"/>
      <c r="HF114" s="37"/>
      <c r="HG114" s="37"/>
      <c r="HH114" s="37"/>
      <c r="HI114" s="37"/>
      <c r="HJ114" s="37"/>
      <c r="HK114" s="37"/>
      <c r="HL114" s="37"/>
      <c r="HM114" s="37"/>
      <c r="HN114" s="37"/>
      <c r="HO114" s="37"/>
      <c r="HP114" s="37"/>
      <c r="HQ114" s="37"/>
      <c r="HR114" s="37"/>
      <c r="HS114" s="37"/>
      <c r="HT114" s="37"/>
      <c r="HU114" s="37"/>
      <c r="HV114" s="37"/>
      <c r="HW114" s="37"/>
      <c r="HX114" s="37"/>
      <c r="HY114" s="37"/>
      <c r="HZ114" s="37"/>
      <c r="IA114" s="37"/>
      <c r="IB114" s="37"/>
      <c r="IC114" s="37"/>
    </row>
    <row r="115" spans="1:237" s="40" customFormat="1" x14ac:dyDescent="0.2">
      <c r="A115" s="62"/>
      <c r="B115" s="63"/>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c r="CE115" s="37"/>
      <c r="CF115" s="37"/>
      <c r="CG115" s="37"/>
      <c r="CH115" s="37"/>
      <c r="CI115" s="37"/>
      <c r="CJ115" s="37"/>
      <c r="CK115" s="37"/>
      <c r="CL115" s="37"/>
      <c r="CM115" s="37"/>
      <c r="CN115" s="37"/>
      <c r="CO115" s="37"/>
      <c r="CP115" s="37"/>
      <c r="CQ115" s="37"/>
      <c r="CR115" s="37"/>
      <c r="CS115" s="37"/>
      <c r="CT115" s="37"/>
      <c r="CU115" s="37"/>
      <c r="CV115" s="37"/>
      <c r="CW115" s="37"/>
      <c r="CX115" s="37"/>
      <c r="CY115" s="37"/>
      <c r="CZ115" s="37"/>
      <c r="DA115" s="37"/>
      <c r="DB115" s="37"/>
      <c r="DC115" s="37"/>
      <c r="DD115" s="37"/>
      <c r="DE115" s="37"/>
      <c r="DF115" s="37"/>
      <c r="DG115" s="37"/>
      <c r="DH115" s="37"/>
      <c r="DI115" s="37"/>
      <c r="DJ115" s="37"/>
      <c r="DK115" s="37"/>
      <c r="DL115" s="37"/>
      <c r="DM115" s="37"/>
      <c r="DN115" s="37"/>
      <c r="DO115" s="37"/>
      <c r="DP115" s="37"/>
      <c r="DQ115" s="37"/>
      <c r="DR115" s="37"/>
      <c r="DS115" s="37"/>
      <c r="DT115" s="37"/>
      <c r="DU115" s="37"/>
      <c r="DV115" s="37"/>
      <c r="DW115" s="37"/>
      <c r="DX115" s="37"/>
      <c r="DY115" s="37"/>
      <c r="DZ115" s="37"/>
      <c r="EA115" s="37"/>
      <c r="EB115" s="37"/>
      <c r="EC115" s="37"/>
      <c r="ED115" s="37"/>
      <c r="EE115" s="37"/>
      <c r="EF115" s="37"/>
      <c r="EG115" s="37"/>
      <c r="EH115" s="37"/>
      <c r="EI115" s="37"/>
      <c r="EJ115" s="37"/>
      <c r="EK115" s="37"/>
      <c r="EL115" s="37"/>
      <c r="EM115" s="37"/>
      <c r="EN115" s="37"/>
      <c r="EO115" s="37"/>
      <c r="EP115" s="37"/>
      <c r="EQ115" s="37"/>
      <c r="ER115" s="37"/>
      <c r="ES115" s="37"/>
      <c r="ET115" s="37"/>
      <c r="EU115" s="37"/>
      <c r="EV115" s="37"/>
      <c r="EW115" s="37"/>
      <c r="EX115" s="37"/>
      <c r="EY115" s="37"/>
      <c r="EZ115" s="37"/>
      <c r="FA115" s="37"/>
      <c r="FB115" s="37"/>
      <c r="FC115" s="37"/>
      <c r="FD115" s="37"/>
      <c r="FE115" s="37"/>
      <c r="FF115" s="37"/>
      <c r="FG115" s="37"/>
      <c r="FH115" s="37"/>
      <c r="FI115" s="37"/>
      <c r="FJ115" s="37"/>
      <c r="FK115" s="37"/>
      <c r="FL115" s="37"/>
      <c r="FM115" s="37"/>
      <c r="FN115" s="37"/>
      <c r="FO115" s="37"/>
      <c r="FP115" s="37"/>
      <c r="FQ115" s="37"/>
      <c r="FR115" s="37"/>
      <c r="FS115" s="37"/>
      <c r="FT115" s="37"/>
      <c r="FU115" s="37"/>
      <c r="FV115" s="37"/>
      <c r="FW115" s="37"/>
      <c r="FX115" s="37"/>
      <c r="FY115" s="37"/>
      <c r="FZ115" s="37"/>
      <c r="GA115" s="37"/>
      <c r="GB115" s="37"/>
      <c r="GC115" s="37"/>
      <c r="GD115" s="37"/>
      <c r="GE115" s="37"/>
      <c r="GF115" s="37"/>
      <c r="GG115" s="37"/>
      <c r="GH115" s="37"/>
      <c r="GI115" s="37"/>
      <c r="GJ115" s="37"/>
      <c r="GK115" s="37"/>
      <c r="GL115" s="37"/>
      <c r="GM115" s="37"/>
      <c r="GN115" s="37"/>
      <c r="GO115" s="37"/>
      <c r="GP115" s="37"/>
      <c r="GQ115" s="37"/>
      <c r="GR115" s="37"/>
      <c r="GS115" s="37"/>
      <c r="GT115" s="37"/>
      <c r="GU115" s="37"/>
      <c r="GV115" s="37"/>
      <c r="GW115" s="37"/>
      <c r="GX115" s="37"/>
      <c r="GY115" s="37"/>
      <c r="GZ115" s="37"/>
      <c r="HA115" s="37"/>
      <c r="HB115" s="37"/>
      <c r="HC115" s="37"/>
      <c r="HD115" s="37"/>
      <c r="HE115" s="37"/>
      <c r="HF115" s="37"/>
      <c r="HG115" s="37"/>
      <c r="HH115" s="37"/>
      <c r="HI115" s="37"/>
      <c r="HJ115" s="37"/>
      <c r="HK115" s="37"/>
      <c r="HL115" s="37"/>
      <c r="HM115" s="37"/>
      <c r="HN115" s="37"/>
      <c r="HO115" s="37"/>
      <c r="HP115" s="37"/>
      <c r="HQ115" s="37"/>
      <c r="HR115" s="37"/>
      <c r="HS115" s="37"/>
      <c r="HT115" s="37"/>
      <c r="HU115" s="37"/>
      <c r="HV115" s="37"/>
      <c r="HW115" s="37"/>
      <c r="HX115" s="37"/>
      <c r="HY115" s="37"/>
      <c r="HZ115" s="37"/>
      <c r="IA115" s="37"/>
      <c r="IB115" s="37"/>
      <c r="IC115" s="37"/>
    </row>
    <row r="116" spans="1:237" s="40" customFormat="1" x14ac:dyDescent="0.2">
      <c r="A116" s="62"/>
      <c r="B116" s="63"/>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7"/>
      <c r="CE116" s="37"/>
      <c r="CF116" s="37"/>
      <c r="CG116" s="37"/>
      <c r="CH116" s="37"/>
      <c r="CI116" s="37"/>
      <c r="CJ116" s="37"/>
      <c r="CK116" s="37"/>
      <c r="CL116" s="37"/>
      <c r="CM116" s="37"/>
      <c r="CN116" s="37"/>
      <c r="CO116" s="37"/>
      <c r="CP116" s="37"/>
      <c r="CQ116" s="37"/>
      <c r="CR116" s="37"/>
      <c r="CS116" s="37"/>
      <c r="CT116" s="37"/>
      <c r="CU116" s="37"/>
      <c r="CV116" s="37"/>
      <c r="CW116" s="37"/>
      <c r="CX116" s="37"/>
      <c r="CY116" s="37"/>
      <c r="CZ116" s="37"/>
      <c r="DA116" s="37"/>
      <c r="DB116" s="37"/>
      <c r="DC116" s="37"/>
      <c r="DD116" s="37"/>
      <c r="DE116" s="37"/>
      <c r="DF116" s="37"/>
      <c r="DG116" s="37"/>
      <c r="DH116" s="37"/>
      <c r="DI116" s="37"/>
      <c r="DJ116" s="37"/>
      <c r="DK116" s="37"/>
      <c r="DL116" s="37"/>
      <c r="DM116" s="37"/>
      <c r="DN116" s="37"/>
      <c r="DO116" s="37"/>
      <c r="DP116" s="37"/>
      <c r="DQ116" s="37"/>
      <c r="DR116" s="37"/>
      <c r="DS116" s="37"/>
      <c r="DT116" s="37"/>
      <c r="DU116" s="37"/>
      <c r="DV116" s="37"/>
      <c r="DW116" s="37"/>
      <c r="DX116" s="37"/>
      <c r="DY116" s="37"/>
      <c r="DZ116" s="37"/>
      <c r="EA116" s="37"/>
      <c r="EB116" s="37"/>
      <c r="EC116" s="37"/>
      <c r="ED116" s="37"/>
      <c r="EE116" s="37"/>
      <c r="EF116" s="37"/>
      <c r="EG116" s="37"/>
      <c r="EH116" s="37"/>
      <c r="EI116" s="37"/>
      <c r="EJ116" s="37"/>
      <c r="EK116" s="37"/>
      <c r="EL116" s="37"/>
      <c r="EM116" s="37"/>
      <c r="EN116" s="37"/>
      <c r="EO116" s="37"/>
      <c r="EP116" s="37"/>
      <c r="EQ116" s="37"/>
      <c r="ER116" s="37"/>
      <c r="ES116" s="37"/>
      <c r="ET116" s="37"/>
      <c r="EU116" s="37"/>
      <c r="EV116" s="37"/>
      <c r="EW116" s="37"/>
      <c r="EX116" s="37"/>
      <c r="EY116" s="37"/>
      <c r="EZ116" s="37"/>
      <c r="FA116" s="37"/>
      <c r="FB116" s="37"/>
      <c r="FC116" s="37"/>
      <c r="FD116" s="37"/>
      <c r="FE116" s="37"/>
      <c r="FF116" s="37"/>
      <c r="FG116" s="37"/>
      <c r="FH116" s="37"/>
      <c r="FI116" s="37"/>
      <c r="FJ116" s="37"/>
      <c r="FK116" s="37"/>
      <c r="FL116" s="37"/>
      <c r="FM116" s="37"/>
      <c r="FN116" s="37"/>
      <c r="FO116" s="37"/>
      <c r="FP116" s="37"/>
      <c r="FQ116" s="37"/>
      <c r="FR116" s="37"/>
      <c r="FS116" s="37"/>
      <c r="FT116" s="37"/>
      <c r="FU116" s="37"/>
      <c r="FV116" s="37"/>
      <c r="FW116" s="37"/>
      <c r="FX116" s="37"/>
      <c r="FY116" s="37"/>
      <c r="FZ116" s="37"/>
      <c r="GA116" s="37"/>
      <c r="GB116" s="37"/>
      <c r="GC116" s="37"/>
      <c r="GD116" s="37"/>
      <c r="GE116" s="37"/>
      <c r="GF116" s="37"/>
      <c r="GG116" s="37"/>
      <c r="GH116" s="37"/>
      <c r="GI116" s="37"/>
      <c r="GJ116" s="37"/>
      <c r="GK116" s="37"/>
      <c r="GL116" s="37"/>
      <c r="GM116" s="37"/>
      <c r="GN116" s="37"/>
      <c r="GO116" s="37"/>
      <c r="GP116" s="37"/>
      <c r="GQ116" s="37"/>
      <c r="GR116" s="37"/>
      <c r="GS116" s="37"/>
      <c r="GT116" s="37"/>
      <c r="GU116" s="37"/>
      <c r="GV116" s="37"/>
      <c r="GW116" s="37"/>
      <c r="GX116" s="37"/>
      <c r="GY116" s="37"/>
      <c r="GZ116" s="37"/>
      <c r="HA116" s="37"/>
      <c r="HB116" s="37"/>
      <c r="HC116" s="37"/>
      <c r="HD116" s="37"/>
      <c r="HE116" s="37"/>
      <c r="HF116" s="37"/>
      <c r="HG116" s="37"/>
      <c r="HH116" s="37"/>
      <c r="HI116" s="37"/>
      <c r="HJ116" s="37"/>
      <c r="HK116" s="37"/>
      <c r="HL116" s="37"/>
      <c r="HM116" s="37"/>
      <c r="HN116" s="37"/>
      <c r="HO116" s="37"/>
      <c r="HP116" s="37"/>
      <c r="HQ116" s="37"/>
      <c r="HR116" s="37"/>
      <c r="HS116" s="37"/>
      <c r="HT116" s="37"/>
      <c r="HU116" s="37"/>
      <c r="HV116" s="37"/>
      <c r="HW116" s="37"/>
      <c r="HX116" s="37"/>
      <c r="HY116" s="37"/>
      <c r="HZ116" s="37"/>
      <c r="IA116" s="37"/>
      <c r="IB116" s="37"/>
      <c r="IC116" s="37"/>
    </row>
    <row r="117" spans="1:237" s="40" customFormat="1" x14ac:dyDescent="0.2">
      <c r="A117" s="62"/>
      <c r="B117" s="63"/>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7"/>
      <c r="CF117" s="37"/>
      <c r="CG117" s="37"/>
      <c r="CH117" s="37"/>
      <c r="CI117" s="37"/>
      <c r="CJ117" s="37"/>
      <c r="CK117" s="37"/>
      <c r="CL117" s="37"/>
      <c r="CM117" s="37"/>
      <c r="CN117" s="37"/>
      <c r="CO117" s="37"/>
      <c r="CP117" s="37"/>
      <c r="CQ117" s="37"/>
      <c r="CR117" s="37"/>
      <c r="CS117" s="37"/>
      <c r="CT117" s="37"/>
      <c r="CU117" s="37"/>
      <c r="CV117" s="37"/>
      <c r="CW117" s="37"/>
      <c r="CX117" s="37"/>
      <c r="CY117" s="37"/>
      <c r="CZ117" s="37"/>
      <c r="DA117" s="37"/>
      <c r="DB117" s="37"/>
      <c r="DC117" s="37"/>
      <c r="DD117" s="37"/>
      <c r="DE117" s="37"/>
      <c r="DF117" s="37"/>
      <c r="DG117" s="37"/>
      <c r="DH117" s="37"/>
      <c r="DI117" s="37"/>
      <c r="DJ117" s="37"/>
      <c r="DK117" s="37"/>
      <c r="DL117" s="37"/>
      <c r="DM117" s="37"/>
      <c r="DN117" s="37"/>
      <c r="DO117" s="37"/>
      <c r="DP117" s="37"/>
      <c r="DQ117" s="37"/>
      <c r="DR117" s="37"/>
      <c r="DS117" s="37"/>
      <c r="DT117" s="37"/>
      <c r="DU117" s="37"/>
      <c r="DV117" s="37"/>
      <c r="DW117" s="37"/>
      <c r="DX117" s="37"/>
      <c r="DY117" s="37"/>
      <c r="DZ117" s="37"/>
      <c r="EA117" s="37"/>
      <c r="EB117" s="37"/>
      <c r="EC117" s="37"/>
      <c r="ED117" s="37"/>
      <c r="EE117" s="37"/>
      <c r="EF117" s="37"/>
      <c r="EG117" s="37"/>
      <c r="EH117" s="37"/>
      <c r="EI117" s="37"/>
      <c r="EJ117" s="37"/>
      <c r="EK117" s="37"/>
      <c r="EL117" s="37"/>
      <c r="EM117" s="37"/>
      <c r="EN117" s="37"/>
      <c r="EO117" s="37"/>
      <c r="EP117" s="37"/>
      <c r="EQ117" s="37"/>
      <c r="ER117" s="37"/>
      <c r="ES117" s="37"/>
      <c r="ET117" s="37"/>
      <c r="EU117" s="37"/>
      <c r="EV117" s="37"/>
      <c r="EW117" s="37"/>
      <c r="EX117" s="37"/>
      <c r="EY117" s="37"/>
      <c r="EZ117" s="37"/>
      <c r="FA117" s="37"/>
      <c r="FB117" s="37"/>
      <c r="FC117" s="37"/>
      <c r="FD117" s="37"/>
      <c r="FE117" s="37"/>
      <c r="FF117" s="37"/>
      <c r="FG117" s="37"/>
      <c r="FH117" s="37"/>
      <c r="FI117" s="37"/>
      <c r="FJ117" s="37"/>
      <c r="FK117" s="37"/>
      <c r="FL117" s="37"/>
      <c r="FM117" s="37"/>
      <c r="FN117" s="37"/>
      <c r="FO117" s="37"/>
      <c r="FP117" s="37"/>
      <c r="FQ117" s="37"/>
      <c r="FR117" s="37"/>
      <c r="FS117" s="37"/>
      <c r="FT117" s="37"/>
      <c r="FU117" s="37"/>
      <c r="FV117" s="37"/>
      <c r="FW117" s="37"/>
      <c r="FX117" s="37"/>
      <c r="FY117" s="37"/>
      <c r="FZ117" s="37"/>
      <c r="GA117" s="37"/>
      <c r="GB117" s="37"/>
      <c r="GC117" s="37"/>
      <c r="GD117" s="37"/>
      <c r="GE117" s="37"/>
      <c r="GF117" s="37"/>
      <c r="GG117" s="37"/>
      <c r="GH117" s="37"/>
      <c r="GI117" s="37"/>
      <c r="GJ117" s="37"/>
      <c r="GK117" s="37"/>
      <c r="GL117" s="37"/>
      <c r="GM117" s="37"/>
      <c r="GN117" s="37"/>
      <c r="GO117" s="37"/>
      <c r="GP117" s="37"/>
      <c r="GQ117" s="37"/>
      <c r="GR117" s="37"/>
      <c r="GS117" s="37"/>
      <c r="GT117" s="37"/>
      <c r="GU117" s="37"/>
      <c r="GV117" s="37"/>
      <c r="GW117" s="37"/>
      <c r="GX117" s="37"/>
      <c r="GY117" s="37"/>
      <c r="GZ117" s="37"/>
      <c r="HA117" s="37"/>
      <c r="HB117" s="37"/>
      <c r="HC117" s="37"/>
      <c r="HD117" s="37"/>
      <c r="HE117" s="37"/>
      <c r="HF117" s="37"/>
      <c r="HG117" s="37"/>
      <c r="HH117" s="37"/>
      <c r="HI117" s="37"/>
      <c r="HJ117" s="37"/>
      <c r="HK117" s="37"/>
      <c r="HL117" s="37"/>
      <c r="HM117" s="37"/>
      <c r="HN117" s="37"/>
      <c r="HO117" s="37"/>
      <c r="HP117" s="37"/>
      <c r="HQ117" s="37"/>
      <c r="HR117" s="37"/>
      <c r="HS117" s="37"/>
      <c r="HT117" s="37"/>
      <c r="HU117" s="37"/>
      <c r="HV117" s="37"/>
      <c r="HW117" s="37"/>
      <c r="HX117" s="37"/>
      <c r="HY117" s="37"/>
      <c r="HZ117" s="37"/>
      <c r="IA117" s="37"/>
      <c r="IB117" s="37"/>
      <c r="IC117" s="37"/>
    </row>
    <row r="118" spans="1:237" s="40" customFormat="1" x14ac:dyDescent="0.2">
      <c r="A118" s="62"/>
      <c r="B118" s="63"/>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BZ118" s="37"/>
      <c r="CA118" s="37"/>
      <c r="CB118" s="37"/>
      <c r="CC118" s="37"/>
      <c r="CD118" s="37"/>
      <c r="CE118" s="37"/>
      <c r="CF118" s="37"/>
      <c r="CG118" s="37"/>
      <c r="CH118" s="37"/>
      <c r="CI118" s="37"/>
      <c r="CJ118" s="37"/>
      <c r="CK118" s="37"/>
      <c r="CL118" s="37"/>
      <c r="CM118" s="37"/>
      <c r="CN118" s="37"/>
      <c r="CO118" s="37"/>
      <c r="CP118" s="37"/>
      <c r="CQ118" s="37"/>
      <c r="CR118" s="37"/>
      <c r="CS118" s="37"/>
      <c r="CT118" s="37"/>
      <c r="CU118" s="37"/>
      <c r="CV118" s="37"/>
      <c r="CW118" s="37"/>
      <c r="CX118" s="37"/>
      <c r="CY118" s="37"/>
      <c r="CZ118" s="37"/>
      <c r="DA118" s="37"/>
      <c r="DB118" s="37"/>
      <c r="DC118" s="37"/>
      <c r="DD118" s="37"/>
      <c r="DE118" s="37"/>
      <c r="DF118" s="37"/>
      <c r="DG118" s="37"/>
      <c r="DH118" s="37"/>
      <c r="DI118" s="37"/>
      <c r="DJ118" s="37"/>
      <c r="DK118" s="37"/>
      <c r="DL118" s="37"/>
      <c r="DM118" s="37"/>
      <c r="DN118" s="37"/>
      <c r="DO118" s="37"/>
      <c r="DP118" s="37"/>
      <c r="DQ118" s="37"/>
      <c r="DR118" s="37"/>
      <c r="DS118" s="37"/>
      <c r="DT118" s="37"/>
      <c r="DU118" s="37"/>
      <c r="DV118" s="37"/>
      <c r="DW118" s="37"/>
      <c r="DX118" s="37"/>
      <c r="DY118" s="37"/>
      <c r="DZ118" s="37"/>
      <c r="EA118" s="37"/>
      <c r="EB118" s="37"/>
      <c r="EC118" s="37"/>
      <c r="ED118" s="37"/>
      <c r="EE118" s="37"/>
      <c r="EF118" s="37"/>
      <c r="EG118" s="37"/>
      <c r="EH118" s="37"/>
      <c r="EI118" s="37"/>
      <c r="EJ118" s="37"/>
      <c r="EK118" s="37"/>
      <c r="EL118" s="37"/>
      <c r="EM118" s="37"/>
      <c r="EN118" s="37"/>
      <c r="EO118" s="37"/>
      <c r="EP118" s="37"/>
      <c r="EQ118" s="37"/>
      <c r="ER118" s="37"/>
      <c r="ES118" s="37"/>
      <c r="ET118" s="37"/>
      <c r="EU118" s="37"/>
      <c r="EV118" s="37"/>
      <c r="EW118" s="37"/>
      <c r="EX118" s="37"/>
      <c r="EY118" s="37"/>
      <c r="EZ118" s="37"/>
      <c r="FA118" s="37"/>
      <c r="FB118" s="37"/>
      <c r="FC118" s="37"/>
      <c r="FD118" s="37"/>
      <c r="FE118" s="37"/>
      <c r="FF118" s="37"/>
      <c r="FG118" s="37"/>
      <c r="FH118" s="37"/>
      <c r="FI118" s="37"/>
      <c r="FJ118" s="37"/>
      <c r="FK118" s="37"/>
      <c r="FL118" s="37"/>
      <c r="FM118" s="37"/>
      <c r="FN118" s="37"/>
      <c r="FO118" s="37"/>
      <c r="FP118" s="37"/>
      <c r="FQ118" s="37"/>
      <c r="FR118" s="37"/>
      <c r="FS118" s="37"/>
      <c r="FT118" s="37"/>
      <c r="FU118" s="37"/>
      <c r="FV118" s="37"/>
      <c r="FW118" s="37"/>
      <c r="FX118" s="37"/>
      <c r="FY118" s="37"/>
      <c r="FZ118" s="37"/>
      <c r="GA118" s="37"/>
      <c r="GB118" s="37"/>
      <c r="GC118" s="37"/>
      <c r="GD118" s="37"/>
      <c r="GE118" s="37"/>
      <c r="GF118" s="37"/>
      <c r="GG118" s="37"/>
      <c r="GH118" s="37"/>
      <c r="GI118" s="37"/>
      <c r="GJ118" s="37"/>
      <c r="GK118" s="37"/>
      <c r="GL118" s="37"/>
      <c r="GM118" s="37"/>
      <c r="GN118" s="37"/>
      <c r="GO118" s="37"/>
      <c r="GP118" s="37"/>
      <c r="GQ118" s="37"/>
      <c r="GR118" s="37"/>
      <c r="GS118" s="37"/>
      <c r="GT118" s="37"/>
      <c r="GU118" s="37"/>
      <c r="GV118" s="37"/>
      <c r="GW118" s="37"/>
      <c r="GX118" s="37"/>
      <c r="GY118" s="37"/>
      <c r="GZ118" s="37"/>
      <c r="HA118" s="37"/>
      <c r="HB118" s="37"/>
      <c r="HC118" s="37"/>
      <c r="HD118" s="37"/>
      <c r="HE118" s="37"/>
      <c r="HF118" s="37"/>
      <c r="HG118" s="37"/>
      <c r="HH118" s="37"/>
      <c r="HI118" s="37"/>
      <c r="HJ118" s="37"/>
      <c r="HK118" s="37"/>
      <c r="HL118" s="37"/>
      <c r="HM118" s="37"/>
      <c r="HN118" s="37"/>
      <c r="HO118" s="37"/>
      <c r="HP118" s="37"/>
      <c r="HQ118" s="37"/>
      <c r="HR118" s="37"/>
      <c r="HS118" s="37"/>
      <c r="HT118" s="37"/>
      <c r="HU118" s="37"/>
      <c r="HV118" s="37"/>
      <c r="HW118" s="37"/>
      <c r="HX118" s="37"/>
      <c r="HY118" s="37"/>
      <c r="HZ118" s="37"/>
      <c r="IA118" s="37"/>
      <c r="IB118" s="37"/>
      <c r="IC118" s="37"/>
    </row>
    <row r="119" spans="1:237" s="40" customFormat="1" x14ac:dyDescent="0.2">
      <c r="A119" s="62"/>
      <c r="B119" s="63"/>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BZ119" s="37"/>
      <c r="CA119" s="37"/>
      <c r="CB119" s="37"/>
      <c r="CC119" s="37"/>
      <c r="CD119" s="37"/>
      <c r="CE119" s="37"/>
      <c r="CF119" s="37"/>
      <c r="CG119" s="37"/>
      <c r="CH119" s="37"/>
      <c r="CI119" s="37"/>
      <c r="CJ119" s="37"/>
      <c r="CK119" s="37"/>
      <c r="CL119" s="37"/>
      <c r="CM119" s="37"/>
      <c r="CN119" s="37"/>
      <c r="CO119" s="37"/>
      <c r="CP119" s="37"/>
      <c r="CQ119" s="37"/>
      <c r="CR119" s="37"/>
      <c r="CS119" s="37"/>
      <c r="CT119" s="37"/>
      <c r="CU119" s="37"/>
      <c r="CV119" s="37"/>
      <c r="CW119" s="37"/>
      <c r="CX119" s="37"/>
      <c r="CY119" s="37"/>
      <c r="CZ119" s="37"/>
      <c r="DA119" s="37"/>
      <c r="DB119" s="37"/>
      <c r="DC119" s="37"/>
      <c r="DD119" s="37"/>
      <c r="DE119" s="37"/>
      <c r="DF119" s="37"/>
      <c r="DG119" s="37"/>
      <c r="DH119" s="37"/>
      <c r="DI119" s="37"/>
      <c r="DJ119" s="37"/>
      <c r="DK119" s="37"/>
      <c r="DL119" s="37"/>
      <c r="DM119" s="37"/>
      <c r="DN119" s="37"/>
      <c r="DO119" s="37"/>
      <c r="DP119" s="37"/>
      <c r="DQ119" s="37"/>
      <c r="DR119" s="37"/>
      <c r="DS119" s="37"/>
      <c r="DT119" s="37"/>
      <c r="DU119" s="37"/>
      <c r="DV119" s="37"/>
      <c r="DW119" s="37"/>
      <c r="DX119" s="37"/>
      <c r="DY119" s="37"/>
      <c r="DZ119" s="37"/>
      <c r="EA119" s="37"/>
      <c r="EB119" s="37"/>
      <c r="EC119" s="37"/>
      <c r="ED119" s="37"/>
      <c r="EE119" s="37"/>
      <c r="EF119" s="37"/>
      <c r="EG119" s="37"/>
      <c r="EH119" s="37"/>
      <c r="EI119" s="37"/>
      <c r="EJ119" s="37"/>
      <c r="EK119" s="37"/>
      <c r="EL119" s="37"/>
      <c r="EM119" s="37"/>
      <c r="EN119" s="37"/>
      <c r="EO119" s="37"/>
      <c r="EP119" s="37"/>
      <c r="EQ119" s="37"/>
      <c r="ER119" s="37"/>
      <c r="ES119" s="37"/>
      <c r="ET119" s="37"/>
      <c r="EU119" s="37"/>
      <c r="EV119" s="37"/>
      <c r="EW119" s="37"/>
      <c r="EX119" s="37"/>
      <c r="EY119" s="37"/>
      <c r="EZ119" s="37"/>
      <c r="FA119" s="37"/>
      <c r="FB119" s="37"/>
      <c r="FC119" s="37"/>
      <c r="FD119" s="37"/>
      <c r="FE119" s="37"/>
      <c r="FF119" s="37"/>
      <c r="FG119" s="37"/>
      <c r="FH119" s="37"/>
      <c r="FI119" s="37"/>
      <c r="FJ119" s="37"/>
      <c r="FK119" s="37"/>
      <c r="FL119" s="37"/>
      <c r="FM119" s="37"/>
      <c r="FN119" s="37"/>
      <c r="FO119" s="37"/>
      <c r="FP119" s="37"/>
      <c r="FQ119" s="37"/>
      <c r="FR119" s="37"/>
      <c r="FS119" s="37"/>
      <c r="FT119" s="37"/>
      <c r="FU119" s="37"/>
      <c r="FV119" s="37"/>
      <c r="FW119" s="37"/>
      <c r="FX119" s="37"/>
      <c r="FY119" s="37"/>
      <c r="FZ119" s="37"/>
      <c r="GA119" s="37"/>
      <c r="GB119" s="37"/>
      <c r="GC119" s="37"/>
      <c r="GD119" s="37"/>
      <c r="GE119" s="37"/>
      <c r="GF119" s="37"/>
      <c r="GG119" s="37"/>
      <c r="GH119" s="37"/>
      <c r="GI119" s="37"/>
      <c r="GJ119" s="37"/>
      <c r="GK119" s="37"/>
      <c r="GL119" s="37"/>
      <c r="GM119" s="37"/>
      <c r="GN119" s="37"/>
      <c r="GO119" s="37"/>
      <c r="GP119" s="37"/>
      <c r="GQ119" s="37"/>
      <c r="GR119" s="37"/>
      <c r="GS119" s="37"/>
      <c r="GT119" s="37"/>
      <c r="GU119" s="37"/>
      <c r="GV119" s="37"/>
      <c r="GW119" s="37"/>
      <c r="GX119" s="37"/>
      <c r="GY119" s="37"/>
      <c r="GZ119" s="37"/>
      <c r="HA119" s="37"/>
      <c r="HB119" s="37"/>
      <c r="HC119" s="37"/>
      <c r="HD119" s="37"/>
      <c r="HE119" s="37"/>
      <c r="HF119" s="37"/>
      <c r="HG119" s="37"/>
      <c r="HH119" s="37"/>
      <c r="HI119" s="37"/>
      <c r="HJ119" s="37"/>
      <c r="HK119" s="37"/>
      <c r="HL119" s="37"/>
      <c r="HM119" s="37"/>
      <c r="HN119" s="37"/>
      <c r="HO119" s="37"/>
      <c r="HP119" s="37"/>
      <c r="HQ119" s="37"/>
      <c r="HR119" s="37"/>
      <c r="HS119" s="37"/>
      <c r="HT119" s="37"/>
      <c r="HU119" s="37"/>
      <c r="HV119" s="37"/>
      <c r="HW119" s="37"/>
      <c r="HX119" s="37"/>
      <c r="HY119" s="37"/>
      <c r="HZ119" s="37"/>
      <c r="IA119" s="37"/>
      <c r="IB119" s="37"/>
      <c r="IC119" s="37"/>
    </row>
    <row r="120" spans="1:237" s="40" customFormat="1" x14ac:dyDescent="0.2">
      <c r="A120" s="62"/>
      <c r="B120" s="63"/>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BZ120" s="37"/>
      <c r="CA120" s="37"/>
      <c r="CB120" s="37"/>
      <c r="CC120" s="37"/>
      <c r="CD120" s="37"/>
      <c r="CE120" s="37"/>
      <c r="CF120" s="37"/>
      <c r="CG120" s="37"/>
      <c r="CH120" s="37"/>
      <c r="CI120" s="37"/>
      <c r="CJ120" s="37"/>
      <c r="CK120" s="37"/>
      <c r="CL120" s="37"/>
      <c r="CM120" s="37"/>
      <c r="CN120" s="37"/>
      <c r="CO120" s="37"/>
      <c r="CP120" s="37"/>
      <c r="CQ120" s="37"/>
      <c r="CR120" s="37"/>
      <c r="CS120" s="37"/>
      <c r="CT120" s="37"/>
      <c r="CU120" s="37"/>
      <c r="CV120" s="37"/>
      <c r="CW120" s="37"/>
      <c r="CX120" s="37"/>
      <c r="CY120" s="37"/>
      <c r="CZ120" s="37"/>
      <c r="DA120" s="37"/>
      <c r="DB120" s="37"/>
      <c r="DC120" s="37"/>
      <c r="DD120" s="37"/>
      <c r="DE120" s="37"/>
      <c r="DF120" s="37"/>
      <c r="DG120" s="37"/>
      <c r="DH120" s="37"/>
      <c r="DI120" s="37"/>
      <c r="DJ120" s="37"/>
      <c r="DK120" s="37"/>
      <c r="DL120" s="37"/>
      <c r="DM120" s="37"/>
      <c r="DN120" s="37"/>
      <c r="DO120" s="37"/>
      <c r="DP120" s="37"/>
      <c r="DQ120" s="37"/>
      <c r="DR120" s="37"/>
      <c r="DS120" s="37"/>
      <c r="DT120" s="37"/>
      <c r="DU120" s="37"/>
      <c r="DV120" s="37"/>
      <c r="DW120" s="37"/>
      <c r="DX120" s="37"/>
      <c r="DY120" s="37"/>
      <c r="DZ120" s="37"/>
      <c r="EA120" s="37"/>
      <c r="EB120" s="37"/>
      <c r="EC120" s="37"/>
      <c r="ED120" s="37"/>
      <c r="EE120" s="37"/>
      <c r="EF120" s="37"/>
      <c r="EG120" s="37"/>
      <c r="EH120" s="37"/>
      <c r="EI120" s="37"/>
      <c r="EJ120" s="37"/>
      <c r="EK120" s="37"/>
      <c r="EL120" s="37"/>
      <c r="EM120" s="37"/>
      <c r="EN120" s="37"/>
      <c r="EO120" s="37"/>
      <c r="EP120" s="37"/>
      <c r="EQ120" s="37"/>
      <c r="ER120" s="37"/>
      <c r="ES120" s="37"/>
      <c r="ET120" s="37"/>
      <c r="EU120" s="37"/>
      <c r="EV120" s="37"/>
      <c r="EW120" s="37"/>
      <c r="EX120" s="37"/>
      <c r="EY120" s="37"/>
      <c r="EZ120" s="37"/>
      <c r="FA120" s="37"/>
      <c r="FB120" s="37"/>
      <c r="FC120" s="37"/>
      <c r="FD120" s="37"/>
      <c r="FE120" s="37"/>
      <c r="FF120" s="37"/>
      <c r="FG120" s="37"/>
      <c r="FH120" s="37"/>
      <c r="FI120" s="37"/>
      <c r="FJ120" s="37"/>
      <c r="FK120" s="37"/>
      <c r="FL120" s="37"/>
      <c r="FM120" s="37"/>
      <c r="FN120" s="37"/>
      <c r="FO120" s="37"/>
      <c r="FP120" s="37"/>
      <c r="FQ120" s="37"/>
      <c r="FR120" s="37"/>
      <c r="FS120" s="37"/>
      <c r="FT120" s="37"/>
      <c r="FU120" s="37"/>
      <c r="FV120" s="37"/>
      <c r="FW120" s="37"/>
      <c r="FX120" s="37"/>
      <c r="FY120" s="37"/>
      <c r="FZ120" s="37"/>
      <c r="GA120" s="37"/>
      <c r="GB120" s="37"/>
      <c r="GC120" s="37"/>
      <c r="GD120" s="37"/>
      <c r="GE120" s="37"/>
      <c r="GF120" s="37"/>
      <c r="GG120" s="37"/>
      <c r="GH120" s="37"/>
      <c r="GI120" s="37"/>
      <c r="GJ120" s="37"/>
      <c r="GK120" s="37"/>
      <c r="GL120" s="37"/>
      <c r="GM120" s="37"/>
      <c r="GN120" s="37"/>
      <c r="GO120" s="37"/>
      <c r="GP120" s="37"/>
      <c r="GQ120" s="37"/>
      <c r="GR120" s="37"/>
      <c r="GS120" s="37"/>
      <c r="GT120" s="37"/>
      <c r="GU120" s="37"/>
      <c r="GV120" s="37"/>
      <c r="GW120" s="37"/>
      <c r="GX120" s="37"/>
      <c r="GY120" s="37"/>
      <c r="GZ120" s="37"/>
      <c r="HA120" s="37"/>
      <c r="HB120" s="37"/>
      <c r="HC120" s="37"/>
      <c r="HD120" s="37"/>
      <c r="HE120" s="37"/>
      <c r="HF120" s="37"/>
      <c r="HG120" s="37"/>
      <c r="HH120" s="37"/>
      <c r="HI120" s="37"/>
      <c r="HJ120" s="37"/>
      <c r="HK120" s="37"/>
      <c r="HL120" s="37"/>
      <c r="HM120" s="37"/>
      <c r="HN120" s="37"/>
      <c r="HO120" s="37"/>
      <c r="HP120" s="37"/>
      <c r="HQ120" s="37"/>
      <c r="HR120" s="37"/>
      <c r="HS120" s="37"/>
      <c r="HT120" s="37"/>
      <c r="HU120" s="37"/>
      <c r="HV120" s="37"/>
      <c r="HW120" s="37"/>
      <c r="HX120" s="37"/>
      <c r="HY120" s="37"/>
      <c r="HZ120" s="37"/>
      <c r="IA120" s="37"/>
      <c r="IB120" s="37"/>
      <c r="IC120" s="37"/>
    </row>
    <row r="121" spans="1:237" s="40" customFormat="1" x14ac:dyDescent="0.2">
      <c r="A121" s="62"/>
      <c r="B121" s="63"/>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c r="BZ121" s="37"/>
      <c r="CA121" s="37"/>
      <c r="CB121" s="37"/>
      <c r="CC121" s="37"/>
      <c r="CD121" s="37"/>
      <c r="CE121" s="37"/>
      <c r="CF121" s="37"/>
      <c r="CG121" s="37"/>
      <c r="CH121" s="37"/>
      <c r="CI121" s="37"/>
      <c r="CJ121" s="37"/>
      <c r="CK121" s="37"/>
      <c r="CL121" s="37"/>
      <c r="CM121" s="37"/>
      <c r="CN121" s="37"/>
      <c r="CO121" s="37"/>
      <c r="CP121" s="37"/>
      <c r="CQ121" s="37"/>
      <c r="CR121" s="37"/>
      <c r="CS121" s="37"/>
      <c r="CT121" s="37"/>
      <c r="CU121" s="37"/>
      <c r="CV121" s="37"/>
      <c r="CW121" s="37"/>
      <c r="CX121" s="37"/>
      <c r="CY121" s="37"/>
      <c r="CZ121" s="37"/>
      <c r="DA121" s="37"/>
      <c r="DB121" s="37"/>
      <c r="DC121" s="37"/>
      <c r="DD121" s="37"/>
      <c r="DE121" s="37"/>
      <c r="DF121" s="37"/>
      <c r="DG121" s="37"/>
      <c r="DH121" s="37"/>
      <c r="DI121" s="37"/>
      <c r="DJ121" s="37"/>
      <c r="DK121" s="37"/>
      <c r="DL121" s="37"/>
      <c r="DM121" s="37"/>
      <c r="DN121" s="37"/>
      <c r="DO121" s="37"/>
      <c r="DP121" s="37"/>
      <c r="DQ121" s="37"/>
      <c r="DR121" s="37"/>
      <c r="DS121" s="37"/>
      <c r="DT121" s="37"/>
      <c r="DU121" s="37"/>
      <c r="DV121" s="37"/>
      <c r="DW121" s="37"/>
      <c r="DX121" s="37"/>
      <c r="DY121" s="37"/>
      <c r="DZ121" s="37"/>
      <c r="EA121" s="37"/>
      <c r="EB121" s="37"/>
      <c r="EC121" s="37"/>
      <c r="ED121" s="37"/>
      <c r="EE121" s="37"/>
      <c r="EF121" s="37"/>
      <c r="EG121" s="37"/>
      <c r="EH121" s="37"/>
      <c r="EI121" s="37"/>
      <c r="EJ121" s="37"/>
      <c r="EK121" s="37"/>
      <c r="EL121" s="37"/>
      <c r="EM121" s="37"/>
      <c r="EN121" s="37"/>
      <c r="EO121" s="37"/>
      <c r="EP121" s="37"/>
      <c r="EQ121" s="37"/>
      <c r="ER121" s="37"/>
      <c r="ES121" s="37"/>
      <c r="ET121" s="37"/>
      <c r="EU121" s="37"/>
      <c r="EV121" s="37"/>
      <c r="EW121" s="37"/>
      <c r="EX121" s="37"/>
      <c r="EY121" s="37"/>
      <c r="EZ121" s="37"/>
      <c r="FA121" s="37"/>
      <c r="FB121" s="37"/>
      <c r="FC121" s="37"/>
      <c r="FD121" s="37"/>
      <c r="FE121" s="37"/>
      <c r="FF121" s="37"/>
      <c r="FG121" s="37"/>
      <c r="FH121" s="37"/>
      <c r="FI121" s="37"/>
      <c r="FJ121" s="37"/>
      <c r="FK121" s="37"/>
      <c r="FL121" s="37"/>
      <c r="FM121" s="37"/>
      <c r="FN121" s="37"/>
      <c r="FO121" s="37"/>
      <c r="FP121" s="37"/>
      <c r="FQ121" s="37"/>
      <c r="FR121" s="37"/>
      <c r="FS121" s="37"/>
      <c r="FT121" s="37"/>
      <c r="FU121" s="37"/>
      <c r="FV121" s="37"/>
      <c r="FW121" s="37"/>
      <c r="FX121" s="37"/>
      <c r="FY121" s="37"/>
      <c r="FZ121" s="37"/>
      <c r="GA121" s="37"/>
      <c r="GB121" s="37"/>
      <c r="GC121" s="37"/>
      <c r="GD121" s="37"/>
      <c r="GE121" s="37"/>
      <c r="GF121" s="37"/>
      <c r="GG121" s="37"/>
      <c r="GH121" s="37"/>
      <c r="GI121" s="37"/>
      <c r="GJ121" s="37"/>
      <c r="GK121" s="37"/>
      <c r="GL121" s="37"/>
      <c r="GM121" s="37"/>
      <c r="GN121" s="37"/>
      <c r="GO121" s="37"/>
      <c r="GP121" s="37"/>
      <c r="GQ121" s="37"/>
      <c r="GR121" s="37"/>
      <c r="GS121" s="37"/>
      <c r="GT121" s="37"/>
      <c r="GU121" s="37"/>
      <c r="GV121" s="37"/>
      <c r="GW121" s="37"/>
      <c r="GX121" s="37"/>
      <c r="GY121" s="37"/>
      <c r="GZ121" s="37"/>
      <c r="HA121" s="37"/>
      <c r="HB121" s="37"/>
      <c r="HC121" s="37"/>
      <c r="HD121" s="37"/>
      <c r="HE121" s="37"/>
      <c r="HF121" s="37"/>
      <c r="HG121" s="37"/>
      <c r="HH121" s="37"/>
      <c r="HI121" s="37"/>
      <c r="HJ121" s="37"/>
      <c r="HK121" s="37"/>
      <c r="HL121" s="37"/>
      <c r="HM121" s="37"/>
      <c r="HN121" s="37"/>
      <c r="HO121" s="37"/>
      <c r="HP121" s="37"/>
      <c r="HQ121" s="37"/>
      <c r="HR121" s="37"/>
      <c r="HS121" s="37"/>
      <c r="HT121" s="37"/>
      <c r="HU121" s="37"/>
      <c r="HV121" s="37"/>
      <c r="HW121" s="37"/>
      <c r="HX121" s="37"/>
      <c r="HY121" s="37"/>
      <c r="HZ121" s="37"/>
      <c r="IA121" s="37"/>
      <c r="IB121" s="37"/>
      <c r="IC121" s="37"/>
    </row>
    <row r="122" spans="1:237" s="40" customFormat="1" x14ac:dyDescent="0.2">
      <c r="A122" s="62"/>
      <c r="B122" s="63"/>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c r="BX122" s="37"/>
      <c r="BY122" s="37"/>
      <c r="BZ122" s="37"/>
      <c r="CA122" s="37"/>
      <c r="CB122" s="37"/>
      <c r="CC122" s="37"/>
      <c r="CD122" s="37"/>
      <c r="CE122" s="37"/>
      <c r="CF122" s="37"/>
      <c r="CG122" s="37"/>
      <c r="CH122" s="37"/>
      <c r="CI122" s="37"/>
      <c r="CJ122" s="37"/>
      <c r="CK122" s="37"/>
      <c r="CL122" s="37"/>
      <c r="CM122" s="37"/>
      <c r="CN122" s="37"/>
      <c r="CO122" s="37"/>
      <c r="CP122" s="37"/>
      <c r="CQ122" s="37"/>
      <c r="CR122" s="37"/>
      <c r="CS122" s="37"/>
      <c r="CT122" s="37"/>
      <c r="CU122" s="37"/>
      <c r="CV122" s="37"/>
      <c r="CW122" s="37"/>
      <c r="CX122" s="37"/>
      <c r="CY122" s="37"/>
      <c r="CZ122" s="37"/>
      <c r="DA122" s="37"/>
      <c r="DB122" s="37"/>
      <c r="DC122" s="37"/>
      <c r="DD122" s="37"/>
      <c r="DE122" s="37"/>
      <c r="DF122" s="37"/>
      <c r="DG122" s="37"/>
      <c r="DH122" s="37"/>
      <c r="DI122" s="37"/>
      <c r="DJ122" s="37"/>
      <c r="DK122" s="37"/>
      <c r="DL122" s="37"/>
      <c r="DM122" s="37"/>
      <c r="DN122" s="37"/>
      <c r="DO122" s="37"/>
      <c r="DP122" s="37"/>
      <c r="DQ122" s="37"/>
      <c r="DR122" s="37"/>
      <c r="DS122" s="37"/>
      <c r="DT122" s="37"/>
      <c r="DU122" s="37"/>
      <c r="DV122" s="37"/>
      <c r="DW122" s="37"/>
      <c r="DX122" s="37"/>
      <c r="DY122" s="37"/>
      <c r="DZ122" s="37"/>
      <c r="EA122" s="37"/>
      <c r="EB122" s="37"/>
      <c r="EC122" s="37"/>
      <c r="ED122" s="37"/>
      <c r="EE122" s="37"/>
      <c r="EF122" s="37"/>
      <c r="EG122" s="37"/>
      <c r="EH122" s="37"/>
      <c r="EI122" s="37"/>
      <c r="EJ122" s="37"/>
      <c r="EK122" s="37"/>
      <c r="EL122" s="37"/>
      <c r="EM122" s="37"/>
      <c r="EN122" s="37"/>
      <c r="EO122" s="37"/>
      <c r="EP122" s="37"/>
      <c r="EQ122" s="37"/>
      <c r="ER122" s="37"/>
      <c r="ES122" s="37"/>
      <c r="ET122" s="37"/>
      <c r="EU122" s="37"/>
      <c r="EV122" s="37"/>
      <c r="EW122" s="37"/>
      <c r="EX122" s="37"/>
      <c r="EY122" s="37"/>
      <c r="EZ122" s="37"/>
      <c r="FA122" s="37"/>
      <c r="FB122" s="37"/>
      <c r="FC122" s="37"/>
      <c r="FD122" s="37"/>
      <c r="FE122" s="37"/>
      <c r="FF122" s="37"/>
      <c r="FG122" s="37"/>
      <c r="FH122" s="37"/>
      <c r="FI122" s="37"/>
      <c r="FJ122" s="37"/>
      <c r="FK122" s="37"/>
      <c r="FL122" s="37"/>
      <c r="FM122" s="37"/>
      <c r="FN122" s="37"/>
      <c r="FO122" s="37"/>
      <c r="FP122" s="37"/>
      <c r="FQ122" s="37"/>
      <c r="FR122" s="37"/>
      <c r="FS122" s="37"/>
      <c r="FT122" s="37"/>
      <c r="FU122" s="37"/>
      <c r="FV122" s="37"/>
      <c r="FW122" s="37"/>
      <c r="FX122" s="37"/>
      <c r="FY122" s="37"/>
      <c r="FZ122" s="37"/>
      <c r="GA122" s="37"/>
      <c r="GB122" s="37"/>
      <c r="GC122" s="37"/>
      <c r="GD122" s="37"/>
      <c r="GE122" s="37"/>
      <c r="GF122" s="37"/>
      <c r="GG122" s="37"/>
      <c r="GH122" s="37"/>
      <c r="GI122" s="37"/>
      <c r="GJ122" s="37"/>
      <c r="GK122" s="37"/>
      <c r="GL122" s="37"/>
      <c r="GM122" s="37"/>
      <c r="GN122" s="37"/>
      <c r="GO122" s="37"/>
      <c r="GP122" s="37"/>
      <c r="GQ122" s="37"/>
      <c r="GR122" s="37"/>
      <c r="GS122" s="37"/>
      <c r="GT122" s="37"/>
      <c r="GU122" s="37"/>
      <c r="GV122" s="37"/>
      <c r="GW122" s="37"/>
      <c r="GX122" s="37"/>
      <c r="GY122" s="37"/>
      <c r="GZ122" s="37"/>
      <c r="HA122" s="37"/>
      <c r="HB122" s="37"/>
      <c r="HC122" s="37"/>
      <c r="HD122" s="37"/>
      <c r="HE122" s="37"/>
      <c r="HF122" s="37"/>
      <c r="HG122" s="37"/>
      <c r="HH122" s="37"/>
      <c r="HI122" s="37"/>
      <c r="HJ122" s="37"/>
      <c r="HK122" s="37"/>
      <c r="HL122" s="37"/>
      <c r="HM122" s="37"/>
      <c r="HN122" s="37"/>
      <c r="HO122" s="37"/>
      <c r="HP122" s="37"/>
      <c r="HQ122" s="37"/>
      <c r="HR122" s="37"/>
      <c r="HS122" s="37"/>
      <c r="HT122" s="37"/>
      <c r="HU122" s="37"/>
      <c r="HV122" s="37"/>
      <c r="HW122" s="37"/>
      <c r="HX122" s="37"/>
      <c r="HY122" s="37"/>
      <c r="HZ122" s="37"/>
      <c r="IA122" s="37"/>
      <c r="IB122" s="37"/>
      <c r="IC122" s="37"/>
    </row>
    <row r="123" spans="1:237" s="40" customFormat="1" x14ac:dyDescent="0.2">
      <c r="A123" s="62"/>
      <c r="B123" s="63"/>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c r="BC123" s="37"/>
      <c r="BD123" s="37"/>
      <c r="BE123" s="37"/>
      <c r="BF123" s="37"/>
      <c r="BG123" s="37"/>
      <c r="BH123" s="37"/>
      <c r="BI123" s="37"/>
      <c r="BJ123" s="37"/>
      <c r="BK123" s="37"/>
      <c r="BL123" s="37"/>
      <c r="BM123" s="37"/>
      <c r="BN123" s="37"/>
      <c r="BO123" s="37"/>
      <c r="BP123" s="37"/>
      <c r="BQ123" s="37"/>
      <c r="BR123" s="37"/>
      <c r="BS123" s="37"/>
      <c r="BT123" s="37"/>
      <c r="BU123" s="37"/>
      <c r="BV123" s="37"/>
      <c r="BW123" s="37"/>
      <c r="BX123" s="37"/>
      <c r="BY123" s="37"/>
      <c r="BZ123" s="37"/>
      <c r="CA123" s="37"/>
      <c r="CB123" s="37"/>
      <c r="CC123" s="37"/>
      <c r="CD123" s="37"/>
      <c r="CE123" s="37"/>
      <c r="CF123" s="37"/>
      <c r="CG123" s="37"/>
      <c r="CH123" s="37"/>
      <c r="CI123" s="37"/>
      <c r="CJ123" s="37"/>
      <c r="CK123" s="37"/>
      <c r="CL123" s="37"/>
      <c r="CM123" s="37"/>
      <c r="CN123" s="37"/>
      <c r="CO123" s="37"/>
      <c r="CP123" s="37"/>
      <c r="CQ123" s="37"/>
      <c r="CR123" s="37"/>
      <c r="CS123" s="37"/>
      <c r="CT123" s="37"/>
      <c r="CU123" s="37"/>
      <c r="CV123" s="37"/>
      <c r="CW123" s="37"/>
      <c r="CX123" s="37"/>
      <c r="CY123" s="37"/>
      <c r="CZ123" s="37"/>
      <c r="DA123" s="37"/>
      <c r="DB123" s="37"/>
      <c r="DC123" s="37"/>
      <c r="DD123" s="37"/>
      <c r="DE123" s="37"/>
      <c r="DF123" s="37"/>
      <c r="DG123" s="37"/>
      <c r="DH123" s="37"/>
      <c r="DI123" s="37"/>
      <c r="DJ123" s="37"/>
      <c r="DK123" s="37"/>
      <c r="DL123" s="37"/>
      <c r="DM123" s="37"/>
      <c r="DN123" s="37"/>
      <c r="DO123" s="37"/>
      <c r="DP123" s="37"/>
      <c r="DQ123" s="37"/>
      <c r="DR123" s="37"/>
      <c r="DS123" s="37"/>
      <c r="DT123" s="37"/>
      <c r="DU123" s="37"/>
      <c r="DV123" s="37"/>
      <c r="DW123" s="37"/>
      <c r="DX123" s="37"/>
      <c r="DY123" s="37"/>
      <c r="DZ123" s="37"/>
      <c r="EA123" s="37"/>
      <c r="EB123" s="37"/>
      <c r="EC123" s="37"/>
      <c r="ED123" s="37"/>
      <c r="EE123" s="37"/>
      <c r="EF123" s="37"/>
      <c r="EG123" s="37"/>
      <c r="EH123" s="37"/>
      <c r="EI123" s="37"/>
      <c r="EJ123" s="37"/>
      <c r="EK123" s="37"/>
      <c r="EL123" s="37"/>
      <c r="EM123" s="37"/>
      <c r="EN123" s="37"/>
      <c r="EO123" s="37"/>
      <c r="EP123" s="37"/>
      <c r="EQ123" s="37"/>
      <c r="ER123" s="37"/>
      <c r="ES123" s="37"/>
      <c r="ET123" s="37"/>
      <c r="EU123" s="37"/>
      <c r="EV123" s="37"/>
      <c r="EW123" s="37"/>
      <c r="EX123" s="37"/>
      <c r="EY123" s="37"/>
      <c r="EZ123" s="37"/>
      <c r="FA123" s="37"/>
      <c r="FB123" s="37"/>
      <c r="FC123" s="37"/>
      <c r="FD123" s="37"/>
      <c r="FE123" s="37"/>
      <c r="FF123" s="37"/>
      <c r="FG123" s="37"/>
      <c r="FH123" s="37"/>
      <c r="FI123" s="37"/>
      <c r="FJ123" s="37"/>
      <c r="FK123" s="37"/>
      <c r="FL123" s="37"/>
      <c r="FM123" s="37"/>
      <c r="FN123" s="37"/>
      <c r="FO123" s="37"/>
      <c r="FP123" s="37"/>
      <c r="FQ123" s="37"/>
      <c r="FR123" s="37"/>
      <c r="FS123" s="37"/>
      <c r="FT123" s="37"/>
      <c r="FU123" s="37"/>
      <c r="FV123" s="37"/>
      <c r="FW123" s="37"/>
      <c r="FX123" s="37"/>
      <c r="FY123" s="37"/>
      <c r="FZ123" s="37"/>
      <c r="GA123" s="37"/>
      <c r="GB123" s="37"/>
      <c r="GC123" s="37"/>
      <c r="GD123" s="37"/>
      <c r="GE123" s="37"/>
      <c r="GF123" s="37"/>
      <c r="GG123" s="37"/>
      <c r="GH123" s="37"/>
      <c r="GI123" s="37"/>
      <c r="GJ123" s="37"/>
      <c r="GK123" s="37"/>
      <c r="GL123" s="37"/>
      <c r="GM123" s="37"/>
      <c r="GN123" s="37"/>
      <c r="GO123" s="37"/>
      <c r="GP123" s="37"/>
      <c r="GQ123" s="37"/>
      <c r="GR123" s="37"/>
      <c r="GS123" s="37"/>
      <c r="GT123" s="37"/>
      <c r="GU123" s="37"/>
      <c r="GV123" s="37"/>
      <c r="GW123" s="37"/>
      <c r="GX123" s="37"/>
      <c r="GY123" s="37"/>
      <c r="GZ123" s="37"/>
      <c r="HA123" s="37"/>
      <c r="HB123" s="37"/>
      <c r="HC123" s="37"/>
      <c r="HD123" s="37"/>
      <c r="HE123" s="37"/>
      <c r="HF123" s="37"/>
      <c r="HG123" s="37"/>
      <c r="HH123" s="37"/>
      <c r="HI123" s="37"/>
      <c r="HJ123" s="37"/>
      <c r="HK123" s="37"/>
      <c r="HL123" s="37"/>
      <c r="HM123" s="37"/>
      <c r="HN123" s="37"/>
      <c r="HO123" s="37"/>
      <c r="HP123" s="37"/>
      <c r="HQ123" s="37"/>
      <c r="HR123" s="37"/>
      <c r="HS123" s="37"/>
      <c r="HT123" s="37"/>
      <c r="HU123" s="37"/>
      <c r="HV123" s="37"/>
      <c r="HW123" s="37"/>
      <c r="HX123" s="37"/>
      <c r="HY123" s="37"/>
      <c r="HZ123" s="37"/>
      <c r="IA123" s="37"/>
      <c r="IB123" s="37"/>
      <c r="IC123" s="37"/>
    </row>
    <row r="124" spans="1:237" s="40" customFormat="1" x14ac:dyDescent="0.2">
      <c r="A124" s="62"/>
      <c r="B124" s="63"/>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37"/>
      <c r="BI124" s="37"/>
      <c r="BJ124" s="37"/>
      <c r="BK124" s="37"/>
      <c r="BL124" s="37"/>
      <c r="BM124" s="37"/>
      <c r="BN124" s="37"/>
      <c r="BO124" s="37"/>
      <c r="BP124" s="37"/>
      <c r="BQ124" s="37"/>
      <c r="BR124" s="37"/>
      <c r="BS124" s="37"/>
      <c r="BT124" s="37"/>
      <c r="BU124" s="37"/>
      <c r="BV124" s="37"/>
      <c r="BW124" s="37"/>
      <c r="BX124" s="37"/>
      <c r="BY124" s="37"/>
      <c r="BZ124" s="37"/>
      <c r="CA124" s="37"/>
      <c r="CB124" s="37"/>
      <c r="CC124" s="37"/>
      <c r="CD124" s="37"/>
      <c r="CE124" s="37"/>
      <c r="CF124" s="37"/>
      <c r="CG124" s="37"/>
      <c r="CH124" s="37"/>
      <c r="CI124" s="37"/>
      <c r="CJ124" s="37"/>
      <c r="CK124" s="37"/>
      <c r="CL124" s="37"/>
      <c r="CM124" s="37"/>
      <c r="CN124" s="37"/>
      <c r="CO124" s="37"/>
      <c r="CP124" s="37"/>
      <c r="CQ124" s="37"/>
      <c r="CR124" s="37"/>
      <c r="CS124" s="37"/>
      <c r="CT124" s="37"/>
      <c r="CU124" s="37"/>
      <c r="CV124" s="37"/>
      <c r="CW124" s="37"/>
      <c r="CX124" s="37"/>
      <c r="CY124" s="37"/>
      <c r="CZ124" s="37"/>
      <c r="DA124" s="37"/>
      <c r="DB124" s="37"/>
      <c r="DC124" s="37"/>
      <c r="DD124" s="37"/>
      <c r="DE124" s="37"/>
      <c r="DF124" s="37"/>
      <c r="DG124" s="37"/>
      <c r="DH124" s="37"/>
      <c r="DI124" s="37"/>
      <c r="DJ124" s="37"/>
      <c r="DK124" s="37"/>
      <c r="DL124" s="37"/>
      <c r="DM124" s="37"/>
      <c r="DN124" s="37"/>
      <c r="DO124" s="37"/>
      <c r="DP124" s="37"/>
      <c r="DQ124" s="37"/>
      <c r="DR124" s="37"/>
      <c r="DS124" s="37"/>
      <c r="DT124" s="37"/>
      <c r="DU124" s="37"/>
      <c r="DV124" s="37"/>
      <c r="DW124" s="37"/>
      <c r="DX124" s="37"/>
      <c r="DY124" s="37"/>
      <c r="DZ124" s="37"/>
      <c r="EA124" s="37"/>
      <c r="EB124" s="37"/>
      <c r="EC124" s="37"/>
      <c r="ED124" s="37"/>
      <c r="EE124" s="37"/>
      <c r="EF124" s="37"/>
      <c r="EG124" s="37"/>
      <c r="EH124" s="37"/>
      <c r="EI124" s="37"/>
      <c r="EJ124" s="37"/>
      <c r="EK124" s="37"/>
      <c r="EL124" s="37"/>
      <c r="EM124" s="37"/>
      <c r="EN124" s="37"/>
      <c r="EO124" s="37"/>
      <c r="EP124" s="37"/>
      <c r="EQ124" s="37"/>
      <c r="ER124" s="37"/>
      <c r="ES124" s="37"/>
      <c r="ET124" s="37"/>
      <c r="EU124" s="37"/>
      <c r="EV124" s="37"/>
      <c r="EW124" s="37"/>
      <c r="EX124" s="37"/>
      <c r="EY124" s="37"/>
      <c r="EZ124" s="37"/>
      <c r="FA124" s="37"/>
      <c r="FB124" s="37"/>
      <c r="FC124" s="37"/>
      <c r="FD124" s="37"/>
      <c r="FE124" s="37"/>
      <c r="FF124" s="37"/>
      <c r="FG124" s="37"/>
      <c r="FH124" s="37"/>
      <c r="FI124" s="37"/>
      <c r="FJ124" s="37"/>
      <c r="FK124" s="37"/>
      <c r="FL124" s="37"/>
      <c r="FM124" s="37"/>
      <c r="FN124" s="37"/>
      <c r="FO124" s="37"/>
      <c r="FP124" s="37"/>
      <c r="FQ124" s="37"/>
      <c r="FR124" s="37"/>
      <c r="FS124" s="37"/>
      <c r="FT124" s="37"/>
      <c r="FU124" s="37"/>
      <c r="FV124" s="37"/>
      <c r="FW124" s="37"/>
      <c r="FX124" s="37"/>
      <c r="FY124" s="37"/>
      <c r="FZ124" s="37"/>
      <c r="GA124" s="37"/>
      <c r="GB124" s="37"/>
      <c r="GC124" s="37"/>
      <c r="GD124" s="37"/>
      <c r="GE124" s="37"/>
      <c r="GF124" s="37"/>
      <c r="GG124" s="37"/>
      <c r="GH124" s="37"/>
      <c r="GI124" s="37"/>
      <c r="GJ124" s="37"/>
      <c r="GK124" s="37"/>
      <c r="GL124" s="37"/>
      <c r="GM124" s="37"/>
      <c r="GN124" s="37"/>
      <c r="GO124" s="37"/>
      <c r="GP124" s="37"/>
      <c r="GQ124" s="37"/>
      <c r="GR124" s="37"/>
      <c r="GS124" s="37"/>
      <c r="GT124" s="37"/>
      <c r="GU124" s="37"/>
      <c r="GV124" s="37"/>
      <c r="GW124" s="37"/>
      <c r="GX124" s="37"/>
      <c r="GY124" s="37"/>
      <c r="GZ124" s="37"/>
      <c r="HA124" s="37"/>
      <c r="HB124" s="37"/>
      <c r="HC124" s="37"/>
      <c r="HD124" s="37"/>
      <c r="HE124" s="37"/>
      <c r="HF124" s="37"/>
      <c r="HG124" s="37"/>
      <c r="HH124" s="37"/>
      <c r="HI124" s="37"/>
      <c r="HJ124" s="37"/>
      <c r="HK124" s="37"/>
      <c r="HL124" s="37"/>
      <c r="HM124" s="37"/>
      <c r="HN124" s="37"/>
      <c r="HO124" s="37"/>
      <c r="HP124" s="37"/>
      <c r="HQ124" s="37"/>
      <c r="HR124" s="37"/>
      <c r="HS124" s="37"/>
      <c r="HT124" s="37"/>
      <c r="HU124" s="37"/>
      <c r="HV124" s="37"/>
      <c r="HW124" s="37"/>
      <c r="HX124" s="37"/>
      <c r="HY124" s="37"/>
      <c r="HZ124" s="37"/>
      <c r="IA124" s="37"/>
      <c r="IB124" s="37"/>
      <c r="IC124" s="37"/>
    </row>
    <row r="125" spans="1:237" s="40" customFormat="1" x14ac:dyDescent="0.2">
      <c r="A125" s="62"/>
      <c r="B125" s="63"/>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c r="BZ125" s="37"/>
      <c r="CA125" s="37"/>
      <c r="CB125" s="37"/>
      <c r="CC125" s="37"/>
      <c r="CD125" s="37"/>
      <c r="CE125" s="37"/>
      <c r="CF125" s="37"/>
      <c r="CG125" s="37"/>
      <c r="CH125" s="37"/>
      <c r="CI125" s="37"/>
      <c r="CJ125" s="37"/>
      <c r="CK125" s="37"/>
      <c r="CL125" s="37"/>
      <c r="CM125" s="37"/>
      <c r="CN125" s="37"/>
      <c r="CO125" s="37"/>
      <c r="CP125" s="37"/>
      <c r="CQ125" s="37"/>
      <c r="CR125" s="37"/>
      <c r="CS125" s="37"/>
      <c r="CT125" s="37"/>
      <c r="CU125" s="37"/>
      <c r="CV125" s="37"/>
      <c r="CW125" s="37"/>
      <c r="CX125" s="37"/>
      <c r="CY125" s="37"/>
      <c r="CZ125" s="37"/>
      <c r="DA125" s="37"/>
      <c r="DB125" s="37"/>
      <c r="DC125" s="37"/>
      <c r="DD125" s="37"/>
      <c r="DE125" s="37"/>
      <c r="DF125" s="37"/>
      <c r="DG125" s="37"/>
      <c r="DH125" s="37"/>
      <c r="DI125" s="37"/>
      <c r="DJ125" s="37"/>
      <c r="DK125" s="37"/>
      <c r="DL125" s="37"/>
      <c r="DM125" s="37"/>
      <c r="DN125" s="37"/>
      <c r="DO125" s="37"/>
      <c r="DP125" s="37"/>
      <c r="DQ125" s="37"/>
      <c r="DR125" s="37"/>
      <c r="DS125" s="37"/>
      <c r="DT125" s="37"/>
      <c r="DU125" s="37"/>
      <c r="DV125" s="37"/>
      <c r="DW125" s="37"/>
      <c r="DX125" s="37"/>
      <c r="DY125" s="37"/>
      <c r="DZ125" s="37"/>
      <c r="EA125" s="37"/>
      <c r="EB125" s="37"/>
      <c r="EC125" s="37"/>
      <c r="ED125" s="37"/>
      <c r="EE125" s="37"/>
      <c r="EF125" s="37"/>
      <c r="EG125" s="37"/>
      <c r="EH125" s="37"/>
      <c r="EI125" s="37"/>
      <c r="EJ125" s="37"/>
      <c r="EK125" s="37"/>
      <c r="EL125" s="37"/>
      <c r="EM125" s="37"/>
      <c r="EN125" s="37"/>
      <c r="EO125" s="37"/>
      <c r="EP125" s="37"/>
      <c r="EQ125" s="37"/>
      <c r="ER125" s="37"/>
      <c r="ES125" s="37"/>
      <c r="ET125" s="37"/>
      <c r="EU125" s="37"/>
      <c r="EV125" s="37"/>
      <c r="EW125" s="37"/>
      <c r="EX125" s="37"/>
      <c r="EY125" s="37"/>
      <c r="EZ125" s="37"/>
      <c r="FA125" s="37"/>
      <c r="FB125" s="37"/>
      <c r="FC125" s="37"/>
      <c r="FD125" s="37"/>
      <c r="FE125" s="37"/>
      <c r="FF125" s="37"/>
      <c r="FG125" s="37"/>
      <c r="FH125" s="37"/>
      <c r="FI125" s="37"/>
      <c r="FJ125" s="37"/>
      <c r="FK125" s="37"/>
      <c r="FL125" s="37"/>
      <c r="FM125" s="37"/>
      <c r="FN125" s="37"/>
      <c r="FO125" s="37"/>
      <c r="FP125" s="37"/>
      <c r="FQ125" s="37"/>
      <c r="FR125" s="37"/>
      <c r="FS125" s="37"/>
      <c r="FT125" s="37"/>
      <c r="FU125" s="37"/>
      <c r="FV125" s="37"/>
      <c r="FW125" s="37"/>
      <c r="FX125" s="37"/>
      <c r="FY125" s="37"/>
      <c r="FZ125" s="37"/>
      <c r="GA125" s="37"/>
      <c r="GB125" s="37"/>
      <c r="GC125" s="37"/>
      <c r="GD125" s="37"/>
      <c r="GE125" s="37"/>
      <c r="GF125" s="37"/>
      <c r="GG125" s="37"/>
      <c r="GH125" s="37"/>
      <c r="GI125" s="37"/>
      <c r="GJ125" s="37"/>
      <c r="GK125" s="37"/>
      <c r="GL125" s="37"/>
      <c r="GM125" s="37"/>
      <c r="GN125" s="37"/>
      <c r="GO125" s="37"/>
      <c r="GP125" s="37"/>
      <c r="GQ125" s="37"/>
      <c r="GR125" s="37"/>
      <c r="GS125" s="37"/>
      <c r="GT125" s="37"/>
      <c r="GU125" s="37"/>
      <c r="GV125" s="37"/>
      <c r="GW125" s="37"/>
      <c r="GX125" s="37"/>
      <c r="GY125" s="37"/>
      <c r="GZ125" s="37"/>
      <c r="HA125" s="37"/>
      <c r="HB125" s="37"/>
      <c r="HC125" s="37"/>
      <c r="HD125" s="37"/>
      <c r="HE125" s="37"/>
      <c r="HF125" s="37"/>
      <c r="HG125" s="37"/>
      <c r="HH125" s="37"/>
      <c r="HI125" s="37"/>
      <c r="HJ125" s="37"/>
      <c r="HK125" s="37"/>
      <c r="HL125" s="37"/>
      <c r="HM125" s="37"/>
      <c r="HN125" s="37"/>
      <c r="HO125" s="37"/>
      <c r="HP125" s="37"/>
      <c r="HQ125" s="37"/>
      <c r="HR125" s="37"/>
      <c r="HS125" s="37"/>
      <c r="HT125" s="37"/>
      <c r="HU125" s="37"/>
      <c r="HV125" s="37"/>
      <c r="HW125" s="37"/>
      <c r="HX125" s="37"/>
      <c r="HY125" s="37"/>
      <c r="HZ125" s="37"/>
      <c r="IA125" s="37"/>
      <c r="IB125" s="37"/>
      <c r="IC125" s="37"/>
    </row>
    <row r="126" spans="1:237" s="40" customFormat="1" x14ac:dyDescent="0.2">
      <c r="A126" s="62"/>
      <c r="B126" s="63"/>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37"/>
      <c r="BH126" s="37"/>
      <c r="BI126" s="37"/>
      <c r="BJ126" s="37"/>
      <c r="BK126" s="37"/>
      <c r="BL126" s="37"/>
      <c r="BM126" s="37"/>
      <c r="BN126" s="37"/>
      <c r="BO126" s="37"/>
      <c r="BP126" s="37"/>
      <c r="BQ126" s="37"/>
      <c r="BR126" s="37"/>
      <c r="BS126" s="37"/>
      <c r="BT126" s="37"/>
      <c r="BU126" s="37"/>
      <c r="BV126" s="37"/>
      <c r="BW126" s="37"/>
      <c r="BX126" s="37"/>
      <c r="BY126" s="37"/>
      <c r="BZ126" s="37"/>
      <c r="CA126" s="37"/>
      <c r="CB126" s="37"/>
      <c r="CC126" s="37"/>
      <c r="CD126" s="37"/>
      <c r="CE126" s="37"/>
      <c r="CF126" s="37"/>
      <c r="CG126" s="37"/>
      <c r="CH126" s="37"/>
      <c r="CI126" s="37"/>
      <c r="CJ126" s="37"/>
      <c r="CK126" s="37"/>
      <c r="CL126" s="37"/>
      <c r="CM126" s="37"/>
      <c r="CN126" s="37"/>
      <c r="CO126" s="37"/>
      <c r="CP126" s="37"/>
      <c r="CQ126" s="37"/>
      <c r="CR126" s="37"/>
      <c r="CS126" s="37"/>
      <c r="CT126" s="37"/>
      <c r="CU126" s="37"/>
      <c r="CV126" s="37"/>
      <c r="CW126" s="37"/>
      <c r="CX126" s="37"/>
      <c r="CY126" s="37"/>
      <c r="CZ126" s="37"/>
      <c r="DA126" s="37"/>
      <c r="DB126" s="37"/>
      <c r="DC126" s="37"/>
      <c r="DD126" s="37"/>
      <c r="DE126" s="37"/>
      <c r="DF126" s="37"/>
      <c r="DG126" s="37"/>
      <c r="DH126" s="37"/>
      <c r="DI126" s="37"/>
      <c r="DJ126" s="37"/>
      <c r="DK126" s="37"/>
      <c r="DL126" s="37"/>
      <c r="DM126" s="37"/>
      <c r="DN126" s="37"/>
      <c r="DO126" s="37"/>
      <c r="DP126" s="37"/>
      <c r="DQ126" s="37"/>
      <c r="DR126" s="37"/>
      <c r="DS126" s="37"/>
      <c r="DT126" s="37"/>
      <c r="DU126" s="37"/>
      <c r="DV126" s="37"/>
      <c r="DW126" s="37"/>
      <c r="DX126" s="37"/>
      <c r="DY126" s="37"/>
      <c r="DZ126" s="37"/>
      <c r="EA126" s="37"/>
      <c r="EB126" s="37"/>
      <c r="EC126" s="37"/>
      <c r="ED126" s="37"/>
      <c r="EE126" s="37"/>
      <c r="EF126" s="37"/>
      <c r="EG126" s="37"/>
      <c r="EH126" s="37"/>
      <c r="EI126" s="37"/>
      <c r="EJ126" s="37"/>
      <c r="EK126" s="37"/>
      <c r="EL126" s="37"/>
      <c r="EM126" s="37"/>
      <c r="EN126" s="37"/>
      <c r="EO126" s="37"/>
      <c r="EP126" s="37"/>
      <c r="EQ126" s="37"/>
      <c r="ER126" s="37"/>
      <c r="ES126" s="37"/>
      <c r="ET126" s="37"/>
      <c r="EU126" s="37"/>
      <c r="EV126" s="37"/>
      <c r="EW126" s="37"/>
      <c r="EX126" s="37"/>
      <c r="EY126" s="37"/>
      <c r="EZ126" s="37"/>
      <c r="FA126" s="37"/>
      <c r="FB126" s="37"/>
      <c r="FC126" s="37"/>
      <c r="FD126" s="37"/>
      <c r="FE126" s="37"/>
      <c r="FF126" s="37"/>
      <c r="FG126" s="37"/>
      <c r="FH126" s="37"/>
      <c r="FI126" s="37"/>
      <c r="FJ126" s="37"/>
      <c r="FK126" s="37"/>
      <c r="FL126" s="37"/>
      <c r="FM126" s="37"/>
      <c r="FN126" s="37"/>
      <c r="FO126" s="37"/>
      <c r="FP126" s="37"/>
      <c r="FQ126" s="37"/>
      <c r="FR126" s="37"/>
      <c r="FS126" s="37"/>
      <c r="FT126" s="37"/>
      <c r="FU126" s="37"/>
      <c r="FV126" s="37"/>
      <c r="FW126" s="37"/>
      <c r="FX126" s="37"/>
      <c r="FY126" s="37"/>
      <c r="FZ126" s="37"/>
      <c r="GA126" s="37"/>
      <c r="GB126" s="37"/>
      <c r="GC126" s="37"/>
      <c r="GD126" s="37"/>
      <c r="GE126" s="37"/>
      <c r="GF126" s="37"/>
      <c r="GG126" s="37"/>
      <c r="GH126" s="37"/>
      <c r="GI126" s="37"/>
      <c r="GJ126" s="37"/>
      <c r="GK126" s="37"/>
      <c r="GL126" s="37"/>
      <c r="GM126" s="37"/>
      <c r="GN126" s="37"/>
      <c r="GO126" s="37"/>
      <c r="GP126" s="37"/>
      <c r="GQ126" s="37"/>
      <c r="GR126" s="37"/>
      <c r="GS126" s="37"/>
      <c r="GT126" s="37"/>
      <c r="GU126" s="37"/>
      <c r="GV126" s="37"/>
      <c r="GW126" s="37"/>
      <c r="GX126" s="37"/>
      <c r="GY126" s="37"/>
      <c r="GZ126" s="37"/>
      <c r="HA126" s="37"/>
      <c r="HB126" s="37"/>
      <c r="HC126" s="37"/>
      <c r="HD126" s="37"/>
      <c r="HE126" s="37"/>
      <c r="HF126" s="37"/>
      <c r="HG126" s="37"/>
      <c r="HH126" s="37"/>
      <c r="HI126" s="37"/>
      <c r="HJ126" s="37"/>
      <c r="HK126" s="37"/>
      <c r="HL126" s="37"/>
      <c r="HM126" s="37"/>
      <c r="HN126" s="37"/>
      <c r="HO126" s="37"/>
      <c r="HP126" s="37"/>
      <c r="HQ126" s="37"/>
      <c r="HR126" s="37"/>
      <c r="HS126" s="37"/>
      <c r="HT126" s="37"/>
      <c r="HU126" s="37"/>
      <c r="HV126" s="37"/>
      <c r="HW126" s="37"/>
      <c r="HX126" s="37"/>
      <c r="HY126" s="37"/>
      <c r="HZ126" s="37"/>
      <c r="IA126" s="37"/>
      <c r="IB126" s="37"/>
      <c r="IC126" s="37"/>
    </row>
    <row r="127" spans="1:237" s="40" customFormat="1" x14ac:dyDescent="0.2">
      <c r="A127" s="62"/>
      <c r="B127" s="63"/>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7"/>
      <c r="BJ127" s="37"/>
      <c r="BK127" s="37"/>
      <c r="BL127" s="37"/>
      <c r="BM127" s="37"/>
      <c r="BN127" s="37"/>
      <c r="BO127" s="37"/>
      <c r="BP127" s="37"/>
      <c r="BQ127" s="37"/>
      <c r="BR127" s="37"/>
      <c r="BS127" s="37"/>
      <c r="BT127" s="37"/>
      <c r="BU127" s="37"/>
      <c r="BV127" s="37"/>
      <c r="BW127" s="37"/>
      <c r="BX127" s="37"/>
      <c r="BY127" s="37"/>
      <c r="BZ127" s="37"/>
      <c r="CA127" s="37"/>
      <c r="CB127" s="37"/>
      <c r="CC127" s="37"/>
      <c r="CD127" s="37"/>
      <c r="CE127" s="37"/>
      <c r="CF127" s="37"/>
      <c r="CG127" s="37"/>
      <c r="CH127" s="37"/>
      <c r="CI127" s="37"/>
      <c r="CJ127" s="37"/>
      <c r="CK127" s="37"/>
      <c r="CL127" s="37"/>
      <c r="CM127" s="37"/>
      <c r="CN127" s="37"/>
      <c r="CO127" s="37"/>
      <c r="CP127" s="37"/>
      <c r="CQ127" s="37"/>
      <c r="CR127" s="37"/>
      <c r="CS127" s="37"/>
      <c r="CT127" s="37"/>
      <c r="CU127" s="37"/>
      <c r="CV127" s="37"/>
      <c r="CW127" s="37"/>
      <c r="CX127" s="37"/>
      <c r="CY127" s="37"/>
      <c r="CZ127" s="37"/>
      <c r="DA127" s="37"/>
      <c r="DB127" s="37"/>
      <c r="DC127" s="37"/>
      <c r="DD127" s="37"/>
      <c r="DE127" s="37"/>
      <c r="DF127" s="37"/>
      <c r="DG127" s="37"/>
      <c r="DH127" s="37"/>
      <c r="DI127" s="37"/>
      <c r="DJ127" s="37"/>
      <c r="DK127" s="37"/>
      <c r="DL127" s="37"/>
      <c r="DM127" s="37"/>
      <c r="DN127" s="37"/>
      <c r="DO127" s="37"/>
      <c r="DP127" s="37"/>
      <c r="DQ127" s="37"/>
      <c r="DR127" s="37"/>
      <c r="DS127" s="37"/>
      <c r="DT127" s="37"/>
      <c r="DU127" s="37"/>
      <c r="DV127" s="37"/>
      <c r="DW127" s="37"/>
      <c r="DX127" s="37"/>
      <c r="DY127" s="37"/>
      <c r="DZ127" s="37"/>
      <c r="EA127" s="37"/>
      <c r="EB127" s="37"/>
      <c r="EC127" s="37"/>
      <c r="ED127" s="37"/>
      <c r="EE127" s="37"/>
      <c r="EF127" s="37"/>
      <c r="EG127" s="37"/>
      <c r="EH127" s="37"/>
      <c r="EI127" s="37"/>
      <c r="EJ127" s="37"/>
      <c r="EK127" s="37"/>
      <c r="EL127" s="37"/>
      <c r="EM127" s="37"/>
      <c r="EN127" s="37"/>
      <c r="EO127" s="37"/>
      <c r="EP127" s="37"/>
      <c r="EQ127" s="37"/>
      <c r="ER127" s="37"/>
      <c r="ES127" s="37"/>
      <c r="ET127" s="37"/>
      <c r="EU127" s="37"/>
      <c r="EV127" s="37"/>
      <c r="EW127" s="37"/>
      <c r="EX127" s="37"/>
      <c r="EY127" s="37"/>
      <c r="EZ127" s="37"/>
      <c r="FA127" s="37"/>
      <c r="FB127" s="37"/>
      <c r="FC127" s="37"/>
      <c r="FD127" s="37"/>
      <c r="FE127" s="37"/>
      <c r="FF127" s="37"/>
      <c r="FG127" s="37"/>
      <c r="FH127" s="37"/>
      <c r="FI127" s="37"/>
      <c r="FJ127" s="37"/>
      <c r="FK127" s="37"/>
      <c r="FL127" s="37"/>
      <c r="FM127" s="37"/>
      <c r="FN127" s="37"/>
      <c r="FO127" s="37"/>
      <c r="FP127" s="37"/>
      <c r="FQ127" s="37"/>
      <c r="FR127" s="37"/>
      <c r="FS127" s="37"/>
      <c r="FT127" s="37"/>
      <c r="FU127" s="37"/>
      <c r="FV127" s="37"/>
      <c r="FW127" s="37"/>
      <c r="FX127" s="37"/>
      <c r="FY127" s="37"/>
      <c r="FZ127" s="37"/>
      <c r="GA127" s="37"/>
      <c r="GB127" s="37"/>
      <c r="GC127" s="37"/>
      <c r="GD127" s="37"/>
      <c r="GE127" s="37"/>
      <c r="GF127" s="37"/>
      <c r="GG127" s="37"/>
      <c r="GH127" s="37"/>
      <c r="GI127" s="37"/>
      <c r="GJ127" s="37"/>
      <c r="GK127" s="37"/>
      <c r="GL127" s="37"/>
      <c r="GM127" s="37"/>
      <c r="GN127" s="37"/>
      <c r="GO127" s="37"/>
      <c r="GP127" s="37"/>
      <c r="GQ127" s="37"/>
      <c r="GR127" s="37"/>
      <c r="GS127" s="37"/>
      <c r="GT127" s="37"/>
      <c r="GU127" s="37"/>
      <c r="GV127" s="37"/>
      <c r="GW127" s="37"/>
      <c r="GX127" s="37"/>
      <c r="GY127" s="37"/>
      <c r="GZ127" s="37"/>
      <c r="HA127" s="37"/>
      <c r="HB127" s="37"/>
      <c r="HC127" s="37"/>
      <c r="HD127" s="37"/>
      <c r="HE127" s="37"/>
      <c r="HF127" s="37"/>
      <c r="HG127" s="37"/>
      <c r="HH127" s="37"/>
      <c r="HI127" s="37"/>
      <c r="HJ127" s="37"/>
      <c r="HK127" s="37"/>
      <c r="HL127" s="37"/>
      <c r="HM127" s="37"/>
      <c r="HN127" s="37"/>
      <c r="HO127" s="37"/>
      <c r="HP127" s="37"/>
      <c r="HQ127" s="37"/>
      <c r="HR127" s="37"/>
      <c r="HS127" s="37"/>
      <c r="HT127" s="37"/>
      <c r="HU127" s="37"/>
      <c r="HV127" s="37"/>
      <c r="HW127" s="37"/>
      <c r="HX127" s="37"/>
      <c r="HY127" s="37"/>
      <c r="HZ127" s="37"/>
      <c r="IA127" s="37"/>
      <c r="IB127" s="37"/>
      <c r="IC127" s="37"/>
    </row>
    <row r="128" spans="1:237" s="40" customFormat="1" x14ac:dyDescent="0.2">
      <c r="A128" s="62"/>
      <c r="B128" s="63"/>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BZ128" s="37"/>
      <c r="CA128" s="37"/>
      <c r="CB128" s="37"/>
      <c r="CC128" s="37"/>
      <c r="CD128" s="37"/>
      <c r="CE128" s="37"/>
      <c r="CF128" s="37"/>
      <c r="CG128" s="37"/>
      <c r="CH128" s="37"/>
      <c r="CI128" s="37"/>
      <c r="CJ128" s="37"/>
      <c r="CK128" s="37"/>
      <c r="CL128" s="37"/>
      <c r="CM128" s="37"/>
      <c r="CN128" s="37"/>
      <c r="CO128" s="37"/>
      <c r="CP128" s="37"/>
      <c r="CQ128" s="37"/>
      <c r="CR128" s="37"/>
      <c r="CS128" s="37"/>
      <c r="CT128" s="37"/>
      <c r="CU128" s="37"/>
      <c r="CV128" s="37"/>
      <c r="CW128" s="37"/>
      <c r="CX128" s="37"/>
      <c r="CY128" s="37"/>
      <c r="CZ128" s="37"/>
      <c r="DA128" s="37"/>
      <c r="DB128" s="37"/>
      <c r="DC128" s="37"/>
      <c r="DD128" s="37"/>
      <c r="DE128" s="37"/>
      <c r="DF128" s="37"/>
      <c r="DG128" s="37"/>
      <c r="DH128" s="37"/>
      <c r="DI128" s="37"/>
      <c r="DJ128" s="37"/>
      <c r="DK128" s="37"/>
      <c r="DL128" s="37"/>
      <c r="DM128" s="37"/>
      <c r="DN128" s="37"/>
      <c r="DO128" s="37"/>
      <c r="DP128" s="37"/>
      <c r="DQ128" s="37"/>
      <c r="DR128" s="37"/>
      <c r="DS128" s="37"/>
      <c r="DT128" s="37"/>
      <c r="DU128" s="37"/>
      <c r="DV128" s="37"/>
      <c r="DW128" s="37"/>
      <c r="DX128" s="37"/>
      <c r="DY128" s="37"/>
      <c r="DZ128" s="37"/>
      <c r="EA128" s="37"/>
      <c r="EB128" s="37"/>
      <c r="EC128" s="37"/>
      <c r="ED128" s="37"/>
      <c r="EE128" s="37"/>
      <c r="EF128" s="37"/>
      <c r="EG128" s="37"/>
      <c r="EH128" s="37"/>
      <c r="EI128" s="37"/>
      <c r="EJ128" s="37"/>
      <c r="EK128" s="37"/>
      <c r="EL128" s="37"/>
      <c r="EM128" s="37"/>
      <c r="EN128" s="37"/>
      <c r="EO128" s="37"/>
      <c r="EP128" s="37"/>
      <c r="EQ128" s="37"/>
      <c r="ER128" s="37"/>
      <c r="ES128" s="37"/>
      <c r="ET128" s="37"/>
      <c r="EU128" s="37"/>
      <c r="EV128" s="37"/>
      <c r="EW128" s="37"/>
      <c r="EX128" s="37"/>
      <c r="EY128" s="37"/>
      <c r="EZ128" s="37"/>
      <c r="FA128" s="37"/>
      <c r="FB128" s="37"/>
      <c r="FC128" s="37"/>
      <c r="FD128" s="37"/>
      <c r="FE128" s="37"/>
      <c r="FF128" s="37"/>
      <c r="FG128" s="37"/>
      <c r="FH128" s="37"/>
      <c r="FI128" s="37"/>
      <c r="FJ128" s="37"/>
      <c r="FK128" s="37"/>
      <c r="FL128" s="37"/>
      <c r="FM128" s="37"/>
      <c r="FN128" s="37"/>
      <c r="FO128" s="37"/>
      <c r="FP128" s="37"/>
      <c r="FQ128" s="37"/>
      <c r="FR128" s="37"/>
      <c r="FS128" s="37"/>
      <c r="FT128" s="37"/>
      <c r="FU128" s="37"/>
      <c r="FV128" s="37"/>
      <c r="FW128" s="37"/>
      <c r="FX128" s="37"/>
      <c r="FY128" s="37"/>
      <c r="FZ128" s="37"/>
      <c r="GA128" s="37"/>
      <c r="GB128" s="37"/>
      <c r="GC128" s="37"/>
      <c r="GD128" s="37"/>
      <c r="GE128" s="37"/>
      <c r="GF128" s="37"/>
      <c r="GG128" s="37"/>
      <c r="GH128" s="37"/>
      <c r="GI128" s="37"/>
      <c r="GJ128" s="37"/>
      <c r="GK128" s="37"/>
      <c r="GL128" s="37"/>
      <c r="GM128" s="37"/>
      <c r="GN128" s="37"/>
      <c r="GO128" s="37"/>
      <c r="GP128" s="37"/>
      <c r="GQ128" s="37"/>
      <c r="GR128" s="37"/>
      <c r="GS128" s="37"/>
      <c r="GT128" s="37"/>
      <c r="GU128" s="37"/>
      <c r="GV128" s="37"/>
      <c r="GW128" s="37"/>
      <c r="GX128" s="37"/>
      <c r="GY128" s="37"/>
      <c r="GZ128" s="37"/>
      <c r="HA128" s="37"/>
      <c r="HB128" s="37"/>
      <c r="HC128" s="37"/>
      <c r="HD128" s="37"/>
      <c r="HE128" s="37"/>
      <c r="HF128" s="37"/>
      <c r="HG128" s="37"/>
      <c r="HH128" s="37"/>
      <c r="HI128" s="37"/>
      <c r="HJ128" s="37"/>
      <c r="HK128" s="37"/>
      <c r="HL128" s="37"/>
      <c r="HM128" s="37"/>
      <c r="HN128" s="37"/>
      <c r="HO128" s="37"/>
      <c r="HP128" s="37"/>
      <c r="HQ128" s="37"/>
      <c r="HR128" s="37"/>
      <c r="HS128" s="37"/>
      <c r="HT128" s="37"/>
      <c r="HU128" s="37"/>
      <c r="HV128" s="37"/>
      <c r="HW128" s="37"/>
      <c r="HX128" s="37"/>
      <c r="HY128" s="37"/>
      <c r="HZ128" s="37"/>
      <c r="IA128" s="37"/>
      <c r="IB128" s="37"/>
      <c r="IC128" s="37"/>
    </row>
    <row r="129" spans="1:237" s="40" customFormat="1" x14ac:dyDescent="0.2">
      <c r="A129" s="62"/>
      <c r="B129" s="63"/>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c r="BC129" s="37"/>
      <c r="BD129" s="37"/>
      <c r="BE129" s="37"/>
      <c r="BF129" s="37"/>
      <c r="BG129" s="37"/>
      <c r="BH129" s="37"/>
      <c r="BI129" s="37"/>
      <c r="BJ129" s="37"/>
      <c r="BK129" s="37"/>
      <c r="BL129" s="37"/>
      <c r="BM129" s="37"/>
      <c r="BN129" s="37"/>
      <c r="BO129" s="37"/>
      <c r="BP129" s="37"/>
      <c r="BQ129" s="37"/>
      <c r="BR129" s="37"/>
      <c r="BS129" s="37"/>
      <c r="BT129" s="37"/>
      <c r="BU129" s="37"/>
      <c r="BV129" s="37"/>
      <c r="BW129" s="37"/>
      <c r="BX129" s="37"/>
      <c r="BY129" s="37"/>
      <c r="BZ129" s="37"/>
      <c r="CA129" s="37"/>
      <c r="CB129" s="37"/>
      <c r="CC129" s="37"/>
      <c r="CD129" s="37"/>
      <c r="CE129" s="37"/>
      <c r="CF129" s="37"/>
      <c r="CG129" s="37"/>
      <c r="CH129" s="37"/>
      <c r="CI129" s="37"/>
      <c r="CJ129" s="37"/>
      <c r="CK129" s="37"/>
      <c r="CL129" s="37"/>
      <c r="CM129" s="37"/>
      <c r="CN129" s="37"/>
      <c r="CO129" s="37"/>
      <c r="CP129" s="37"/>
      <c r="CQ129" s="37"/>
      <c r="CR129" s="37"/>
      <c r="CS129" s="37"/>
      <c r="CT129" s="37"/>
      <c r="CU129" s="37"/>
      <c r="CV129" s="37"/>
      <c r="CW129" s="37"/>
      <c r="CX129" s="37"/>
      <c r="CY129" s="37"/>
      <c r="CZ129" s="37"/>
      <c r="DA129" s="37"/>
      <c r="DB129" s="37"/>
      <c r="DC129" s="37"/>
      <c r="DD129" s="37"/>
      <c r="DE129" s="37"/>
      <c r="DF129" s="37"/>
      <c r="DG129" s="37"/>
      <c r="DH129" s="37"/>
      <c r="DI129" s="37"/>
      <c r="DJ129" s="37"/>
      <c r="DK129" s="37"/>
      <c r="DL129" s="37"/>
      <c r="DM129" s="37"/>
      <c r="DN129" s="37"/>
      <c r="DO129" s="37"/>
      <c r="DP129" s="37"/>
      <c r="DQ129" s="37"/>
      <c r="DR129" s="37"/>
      <c r="DS129" s="37"/>
      <c r="DT129" s="37"/>
      <c r="DU129" s="37"/>
      <c r="DV129" s="37"/>
      <c r="DW129" s="37"/>
      <c r="DX129" s="37"/>
      <c r="DY129" s="37"/>
      <c r="DZ129" s="37"/>
      <c r="EA129" s="37"/>
      <c r="EB129" s="37"/>
      <c r="EC129" s="37"/>
      <c r="ED129" s="37"/>
      <c r="EE129" s="37"/>
      <c r="EF129" s="37"/>
      <c r="EG129" s="37"/>
      <c r="EH129" s="37"/>
      <c r="EI129" s="37"/>
      <c r="EJ129" s="37"/>
      <c r="EK129" s="37"/>
      <c r="EL129" s="37"/>
      <c r="EM129" s="37"/>
      <c r="EN129" s="37"/>
      <c r="EO129" s="37"/>
      <c r="EP129" s="37"/>
      <c r="EQ129" s="37"/>
      <c r="ER129" s="37"/>
      <c r="ES129" s="37"/>
      <c r="ET129" s="37"/>
      <c r="EU129" s="37"/>
      <c r="EV129" s="37"/>
      <c r="EW129" s="37"/>
      <c r="EX129" s="37"/>
      <c r="EY129" s="37"/>
      <c r="EZ129" s="37"/>
      <c r="FA129" s="37"/>
      <c r="FB129" s="37"/>
      <c r="FC129" s="37"/>
      <c r="FD129" s="37"/>
      <c r="FE129" s="37"/>
      <c r="FF129" s="37"/>
      <c r="FG129" s="37"/>
      <c r="FH129" s="37"/>
      <c r="FI129" s="37"/>
      <c r="FJ129" s="37"/>
      <c r="FK129" s="37"/>
      <c r="FL129" s="37"/>
      <c r="FM129" s="37"/>
      <c r="FN129" s="37"/>
      <c r="FO129" s="37"/>
      <c r="FP129" s="37"/>
      <c r="FQ129" s="37"/>
      <c r="FR129" s="37"/>
      <c r="FS129" s="37"/>
      <c r="FT129" s="37"/>
      <c r="FU129" s="37"/>
      <c r="FV129" s="37"/>
      <c r="FW129" s="37"/>
      <c r="FX129" s="37"/>
      <c r="FY129" s="37"/>
      <c r="FZ129" s="37"/>
      <c r="GA129" s="37"/>
      <c r="GB129" s="37"/>
      <c r="GC129" s="37"/>
      <c r="GD129" s="37"/>
      <c r="GE129" s="37"/>
      <c r="GF129" s="37"/>
      <c r="GG129" s="37"/>
      <c r="GH129" s="37"/>
      <c r="GI129" s="37"/>
      <c r="GJ129" s="37"/>
      <c r="GK129" s="37"/>
      <c r="GL129" s="37"/>
      <c r="GM129" s="37"/>
      <c r="GN129" s="37"/>
      <c r="GO129" s="37"/>
      <c r="GP129" s="37"/>
      <c r="GQ129" s="37"/>
      <c r="GR129" s="37"/>
      <c r="GS129" s="37"/>
      <c r="GT129" s="37"/>
      <c r="GU129" s="37"/>
      <c r="GV129" s="37"/>
      <c r="GW129" s="37"/>
      <c r="GX129" s="37"/>
      <c r="GY129" s="37"/>
      <c r="GZ129" s="37"/>
      <c r="HA129" s="37"/>
      <c r="HB129" s="37"/>
      <c r="HC129" s="37"/>
      <c r="HD129" s="37"/>
      <c r="HE129" s="37"/>
      <c r="HF129" s="37"/>
      <c r="HG129" s="37"/>
      <c r="HH129" s="37"/>
      <c r="HI129" s="37"/>
      <c r="HJ129" s="37"/>
      <c r="HK129" s="37"/>
      <c r="HL129" s="37"/>
      <c r="HM129" s="37"/>
      <c r="HN129" s="37"/>
      <c r="HO129" s="37"/>
      <c r="HP129" s="37"/>
      <c r="HQ129" s="37"/>
      <c r="HR129" s="37"/>
      <c r="HS129" s="37"/>
      <c r="HT129" s="37"/>
      <c r="HU129" s="37"/>
      <c r="HV129" s="37"/>
      <c r="HW129" s="37"/>
      <c r="HX129" s="37"/>
      <c r="HY129" s="37"/>
      <c r="HZ129" s="37"/>
      <c r="IA129" s="37"/>
      <c r="IB129" s="37"/>
      <c r="IC129" s="37"/>
    </row>
    <row r="130" spans="1:237" s="40" customFormat="1" x14ac:dyDescent="0.2">
      <c r="A130" s="62"/>
      <c r="B130" s="63"/>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37"/>
      <c r="BI130" s="37"/>
      <c r="BJ130" s="37"/>
      <c r="BK130" s="37"/>
      <c r="BL130" s="37"/>
      <c r="BM130" s="37"/>
      <c r="BN130" s="37"/>
      <c r="BO130" s="37"/>
      <c r="BP130" s="37"/>
      <c r="BQ130" s="37"/>
      <c r="BR130" s="37"/>
      <c r="BS130" s="37"/>
      <c r="BT130" s="37"/>
      <c r="BU130" s="37"/>
      <c r="BV130" s="37"/>
      <c r="BW130" s="37"/>
      <c r="BX130" s="37"/>
      <c r="BY130" s="37"/>
      <c r="BZ130" s="37"/>
      <c r="CA130" s="37"/>
      <c r="CB130" s="37"/>
      <c r="CC130" s="37"/>
      <c r="CD130" s="37"/>
      <c r="CE130" s="37"/>
      <c r="CF130" s="37"/>
      <c r="CG130" s="37"/>
      <c r="CH130" s="37"/>
      <c r="CI130" s="37"/>
      <c r="CJ130" s="37"/>
      <c r="CK130" s="37"/>
      <c r="CL130" s="37"/>
      <c r="CM130" s="37"/>
      <c r="CN130" s="37"/>
      <c r="CO130" s="37"/>
      <c r="CP130" s="37"/>
      <c r="CQ130" s="37"/>
      <c r="CR130" s="37"/>
      <c r="CS130" s="37"/>
      <c r="CT130" s="37"/>
      <c r="CU130" s="37"/>
      <c r="CV130" s="37"/>
      <c r="CW130" s="37"/>
      <c r="CX130" s="37"/>
      <c r="CY130" s="37"/>
      <c r="CZ130" s="37"/>
      <c r="DA130" s="37"/>
      <c r="DB130" s="37"/>
      <c r="DC130" s="37"/>
      <c r="DD130" s="37"/>
      <c r="DE130" s="37"/>
      <c r="DF130" s="37"/>
      <c r="DG130" s="37"/>
      <c r="DH130" s="37"/>
      <c r="DI130" s="37"/>
      <c r="DJ130" s="37"/>
      <c r="DK130" s="37"/>
      <c r="DL130" s="37"/>
      <c r="DM130" s="37"/>
      <c r="DN130" s="37"/>
      <c r="DO130" s="37"/>
      <c r="DP130" s="37"/>
      <c r="DQ130" s="37"/>
      <c r="DR130" s="37"/>
      <c r="DS130" s="37"/>
      <c r="DT130" s="37"/>
      <c r="DU130" s="37"/>
      <c r="DV130" s="37"/>
      <c r="DW130" s="37"/>
      <c r="DX130" s="37"/>
      <c r="DY130" s="37"/>
      <c r="DZ130" s="37"/>
      <c r="EA130" s="37"/>
      <c r="EB130" s="37"/>
      <c r="EC130" s="37"/>
      <c r="ED130" s="37"/>
      <c r="EE130" s="37"/>
      <c r="EF130" s="37"/>
      <c r="EG130" s="37"/>
      <c r="EH130" s="37"/>
      <c r="EI130" s="37"/>
      <c r="EJ130" s="37"/>
      <c r="EK130" s="37"/>
      <c r="EL130" s="37"/>
      <c r="EM130" s="37"/>
      <c r="EN130" s="37"/>
      <c r="EO130" s="37"/>
      <c r="EP130" s="37"/>
      <c r="EQ130" s="37"/>
      <c r="ER130" s="37"/>
      <c r="ES130" s="37"/>
      <c r="ET130" s="37"/>
      <c r="EU130" s="37"/>
      <c r="EV130" s="37"/>
      <c r="EW130" s="37"/>
      <c r="EX130" s="37"/>
      <c r="EY130" s="37"/>
      <c r="EZ130" s="37"/>
      <c r="FA130" s="37"/>
      <c r="FB130" s="37"/>
      <c r="FC130" s="37"/>
      <c r="FD130" s="37"/>
      <c r="FE130" s="37"/>
      <c r="FF130" s="37"/>
      <c r="FG130" s="37"/>
      <c r="FH130" s="37"/>
      <c r="FI130" s="37"/>
      <c r="FJ130" s="37"/>
      <c r="FK130" s="37"/>
      <c r="FL130" s="37"/>
      <c r="FM130" s="37"/>
      <c r="FN130" s="37"/>
      <c r="FO130" s="37"/>
      <c r="FP130" s="37"/>
      <c r="FQ130" s="37"/>
      <c r="FR130" s="37"/>
      <c r="FS130" s="37"/>
      <c r="FT130" s="37"/>
      <c r="FU130" s="37"/>
      <c r="FV130" s="37"/>
      <c r="FW130" s="37"/>
      <c r="FX130" s="37"/>
      <c r="FY130" s="37"/>
      <c r="FZ130" s="37"/>
      <c r="GA130" s="37"/>
      <c r="GB130" s="37"/>
      <c r="GC130" s="37"/>
      <c r="GD130" s="37"/>
      <c r="GE130" s="37"/>
      <c r="GF130" s="37"/>
      <c r="GG130" s="37"/>
      <c r="GH130" s="37"/>
      <c r="GI130" s="37"/>
      <c r="GJ130" s="37"/>
      <c r="GK130" s="37"/>
      <c r="GL130" s="37"/>
      <c r="GM130" s="37"/>
      <c r="GN130" s="37"/>
      <c r="GO130" s="37"/>
      <c r="GP130" s="37"/>
      <c r="GQ130" s="37"/>
      <c r="GR130" s="37"/>
      <c r="GS130" s="37"/>
      <c r="GT130" s="37"/>
      <c r="GU130" s="37"/>
      <c r="GV130" s="37"/>
      <c r="GW130" s="37"/>
      <c r="GX130" s="37"/>
      <c r="GY130" s="37"/>
      <c r="GZ130" s="37"/>
      <c r="HA130" s="37"/>
      <c r="HB130" s="37"/>
      <c r="HC130" s="37"/>
      <c r="HD130" s="37"/>
      <c r="HE130" s="37"/>
      <c r="HF130" s="37"/>
      <c r="HG130" s="37"/>
      <c r="HH130" s="37"/>
      <c r="HI130" s="37"/>
      <c r="HJ130" s="37"/>
      <c r="HK130" s="37"/>
      <c r="HL130" s="37"/>
      <c r="HM130" s="37"/>
      <c r="HN130" s="37"/>
      <c r="HO130" s="37"/>
      <c r="HP130" s="37"/>
      <c r="HQ130" s="37"/>
      <c r="HR130" s="37"/>
      <c r="HS130" s="37"/>
      <c r="HT130" s="37"/>
      <c r="HU130" s="37"/>
      <c r="HV130" s="37"/>
      <c r="HW130" s="37"/>
      <c r="HX130" s="37"/>
      <c r="HY130" s="37"/>
      <c r="HZ130" s="37"/>
      <c r="IA130" s="37"/>
      <c r="IB130" s="37"/>
      <c r="IC130" s="37"/>
    </row>
    <row r="131" spans="1:237" s="40" customFormat="1" x14ac:dyDescent="0.2">
      <c r="A131" s="62"/>
      <c r="B131" s="63"/>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BZ131" s="37"/>
      <c r="CA131" s="37"/>
      <c r="CB131" s="37"/>
      <c r="CC131" s="37"/>
      <c r="CD131" s="37"/>
      <c r="CE131" s="37"/>
      <c r="CF131" s="37"/>
      <c r="CG131" s="37"/>
      <c r="CH131" s="37"/>
      <c r="CI131" s="37"/>
      <c r="CJ131" s="37"/>
      <c r="CK131" s="37"/>
      <c r="CL131" s="37"/>
      <c r="CM131" s="37"/>
      <c r="CN131" s="37"/>
      <c r="CO131" s="37"/>
      <c r="CP131" s="37"/>
      <c r="CQ131" s="37"/>
      <c r="CR131" s="37"/>
      <c r="CS131" s="37"/>
      <c r="CT131" s="37"/>
      <c r="CU131" s="37"/>
      <c r="CV131" s="37"/>
      <c r="CW131" s="37"/>
      <c r="CX131" s="37"/>
      <c r="CY131" s="37"/>
      <c r="CZ131" s="37"/>
      <c r="DA131" s="37"/>
      <c r="DB131" s="37"/>
      <c r="DC131" s="37"/>
      <c r="DD131" s="37"/>
      <c r="DE131" s="37"/>
      <c r="DF131" s="37"/>
      <c r="DG131" s="37"/>
      <c r="DH131" s="37"/>
      <c r="DI131" s="37"/>
      <c r="DJ131" s="37"/>
      <c r="DK131" s="37"/>
      <c r="DL131" s="37"/>
      <c r="DM131" s="37"/>
      <c r="DN131" s="37"/>
      <c r="DO131" s="37"/>
      <c r="DP131" s="37"/>
      <c r="DQ131" s="37"/>
      <c r="DR131" s="37"/>
      <c r="DS131" s="37"/>
      <c r="DT131" s="37"/>
      <c r="DU131" s="37"/>
      <c r="DV131" s="37"/>
      <c r="DW131" s="37"/>
      <c r="DX131" s="37"/>
      <c r="DY131" s="37"/>
      <c r="DZ131" s="37"/>
      <c r="EA131" s="37"/>
      <c r="EB131" s="37"/>
      <c r="EC131" s="37"/>
      <c r="ED131" s="37"/>
      <c r="EE131" s="37"/>
      <c r="EF131" s="37"/>
      <c r="EG131" s="37"/>
      <c r="EH131" s="37"/>
      <c r="EI131" s="37"/>
      <c r="EJ131" s="37"/>
      <c r="EK131" s="37"/>
      <c r="EL131" s="37"/>
      <c r="EM131" s="37"/>
      <c r="EN131" s="37"/>
      <c r="EO131" s="37"/>
      <c r="EP131" s="37"/>
      <c r="EQ131" s="37"/>
      <c r="ER131" s="37"/>
      <c r="ES131" s="37"/>
      <c r="ET131" s="37"/>
      <c r="EU131" s="37"/>
      <c r="EV131" s="37"/>
      <c r="EW131" s="37"/>
      <c r="EX131" s="37"/>
      <c r="EY131" s="37"/>
      <c r="EZ131" s="37"/>
      <c r="FA131" s="37"/>
      <c r="FB131" s="37"/>
      <c r="FC131" s="37"/>
      <c r="FD131" s="37"/>
      <c r="FE131" s="37"/>
      <c r="FF131" s="37"/>
      <c r="FG131" s="37"/>
      <c r="FH131" s="37"/>
      <c r="FI131" s="37"/>
      <c r="FJ131" s="37"/>
      <c r="FK131" s="37"/>
      <c r="FL131" s="37"/>
      <c r="FM131" s="37"/>
      <c r="FN131" s="37"/>
      <c r="FO131" s="37"/>
      <c r="FP131" s="37"/>
      <c r="FQ131" s="37"/>
      <c r="FR131" s="37"/>
      <c r="FS131" s="37"/>
      <c r="FT131" s="37"/>
      <c r="FU131" s="37"/>
      <c r="FV131" s="37"/>
      <c r="FW131" s="37"/>
      <c r="FX131" s="37"/>
      <c r="FY131" s="37"/>
      <c r="FZ131" s="37"/>
      <c r="GA131" s="37"/>
      <c r="GB131" s="37"/>
      <c r="GC131" s="37"/>
      <c r="GD131" s="37"/>
      <c r="GE131" s="37"/>
      <c r="GF131" s="37"/>
      <c r="GG131" s="37"/>
      <c r="GH131" s="37"/>
      <c r="GI131" s="37"/>
      <c r="GJ131" s="37"/>
      <c r="GK131" s="37"/>
      <c r="GL131" s="37"/>
      <c r="GM131" s="37"/>
      <c r="GN131" s="37"/>
      <c r="GO131" s="37"/>
      <c r="GP131" s="37"/>
      <c r="GQ131" s="37"/>
      <c r="GR131" s="37"/>
      <c r="GS131" s="37"/>
      <c r="GT131" s="37"/>
      <c r="GU131" s="37"/>
      <c r="GV131" s="37"/>
      <c r="GW131" s="37"/>
      <c r="GX131" s="37"/>
      <c r="GY131" s="37"/>
      <c r="GZ131" s="37"/>
      <c r="HA131" s="37"/>
      <c r="HB131" s="37"/>
      <c r="HC131" s="37"/>
      <c r="HD131" s="37"/>
      <c r="HE131" s="37"/>
      <c r="HF131" s="37"/>
      <c r="HG131" s="37"/>
      <c r="HH131" s="37"/>
      <c r="HI131" s="37"/>
      <c r="HJ131" s="37"/>
      <c r="HK131" s="37"/>
      <c r="HL131" s="37"/>
      <c r="HM131" s="37"/>
      <c r="HN131" s="37"/>
      <c r="HO131" s="37"/>
      <c r="HP131" s="37"/>
      <c r="HQ131" s="37"/>
      <c r="HR131" s="37"/>
      <c r="HS131" s="37"/>
      <c r="HT131" s="37"/>
      <c r="HU131" s="37"/>
      <c r="HV131" s="37"/>
      <c r="HW131" s="37"/>
      <c r="HX131" s="37"/>
      <c r="HY131" s="37"/>
      <c r="HZ131" s="37"/>
      <c r="IA131" s="37"/>
      <c r="IB131" s="37"/>
      <c r="IC131" s="37"/>
    </row>
    <row r="132" spans="1:237" s="40" customFormat="1" x14ac:dyDescent="0.2">
      <c r="A132" s="62"/>
      <c r="B132" s="63"/>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BZ132" s="37"/>
      <c r="CA132" s="37"/>
      <c r="CB132" s="37"/>
      <c r="CC132" s="37"/>
      <c r="CD132" s="37"/>
      <c r="CE132" s="37"/>
      <c r="CF132" s="37"/>
      <c r="CG132" s="37"/>
      <c r="CH132" s="37"/>
      <c r="CI132" s="37"/>
      <c r="CJ132" s="37"/>
      <c r="CK132" s="37"/>
      <c r="CL132" s="37"/>
      <c r="CM132" s="37"/>
      <c r="CN132" s="37"/>
      <c r="CO132" s="37"/>
      <c r="CP132" s="37"/>
      <c r="CQ132" s="37"/>
      <c r="CR132" s="37"/>
      <c r="CS132" s="37"/>
      <c r="CT132" s="37"/>
      <c r="CU132" s="37"/>
      <c r="CV132" s="37"/>
      <c r="CW132" s="37"/>
      <c r="CX132" s="37"/>
      <c r="CY132" s="37"/>
      <c r="CZ132" s="37"/>
      <c r="DA132" s="37"/>
      <c r="DB132" s="37"/>
      <c r="DC132" s="37"/>
      <c r="DD132" s="37"/>
      <c r="DE132" s="37"/>
      <c r="DF132" s="37"/>
      <c r="DG132" s="37"/>
      <c r="DH132" s="37"/>
      <c r="DI132" s="37"/>
      <c r="DJ132" s="37"/>
      <c r="DK132" s="37"/>
      <c r="DL132" s="37"/>
      <c r="DM132" s="37"/>
      <c r="DN132" s="37"/>
      <c r="DO132" s="37"/>
      <c r="DP132" s="37"/>
      <c r="DQ132" s="37"/>
      <c r="DR132" s="37"/>
      <c r="DS132" s="37"/>
      <c r="DT132" s="37"/>
      <c r="DU132" s="37"/>
      <c r="DV132" s="37"/>
      <c r="DW132" s="37"/>
      <c r="DX132" s="37"/>
      <c r="DY132" s="37"/>
      <c r="DZ132" s="37"/>
      <c r="EA132" s="37"/>
      <c r="EB132" s="37"/>
      <c r="EC132" s="37"/>
      <c r="ED132" s="37"/>
      <c r="EE132" s="37"/>
      <c r="EF132" s="37"/>
      <c r="EG132" s="37"/>
      <c r="EH132" s="37"/>
      <c r="EI132" s="37"/>
      <c r="EJ132" s="37"/>
      <c r="EK132" s="37"/>
      <c r="EL132" s="37"/>
      <c r="EM132" s="37"/>
      <c r="EN132" s="37"/>
      <c r="EO132" s="37"/>
      <c r="EP132" s="37"/>
      <c r="EQ132" s="37"/>
      <c r="ER132" s="37"/>
      <c r="ES132" s="37"/>
      <c r="ET132" s="37"/>
      <c r="EU132" s="37"/>
      <c r="EV132" s="37"/>
      <c r="EW132" s="37"/>
      <c r="EX132" s="37"/>
      <c r="EY132" s="37"/>
      <c r="EZ132" s="37"/>
      <c r="FA132" s="37"/>
      <c r="FB132" s="37"/>
      <c r="FC132" s="37"/>
      <c r="FD132" s="37"/>
      <c r="FE132" s="37"/>
      <c r="FF132" s="37"/>
      <c r="FG132" s="37"/>
      <c r="FH132" s="37"/>
      <c r="FI132" s="37"/>
      <c r="FJ132" s="37"/>
      <c r="FK132" s="37"/>
      <c r="FL132" s="37"/>
      <c r="FM132" s="37"/>
      <c r="FN132" s="37"/>
      <c r="FO132" s="37"/>
      <c r="FP132" s="37"/>
      <c r="FQ132" s="37"/>
      <c r="FR132" s="37"/>
      <c r="FS132" s="37"/>
      <c r="FT132" s="37"/>
      <c r="FU132" s="37"/>
      <c r="FV132" s="37"/>
      <c r="FW132" s="37"/>
      <c r="FX132" s="37"/>
      <c r="FY132" s="37"/>
      <c r="FZ132" s="37"/>
      <c r="GA132" s="37"/>
      <c r="GB132" s="37"/>
      <c r="GC132" s="37"/>
      <c r="GD132" s="37"/>
      <c r="GE132" s="37"/>
      <c r="GF132" s="37"/>
      <c r="GG132" s="37"/>
      <c r="GH132" s="37"/>
      <c r="GI132" s="37"/>
      <c r="GJ132" s="37"/>
      <c r="GK132" s="37"/>
      <c r="GL132" s="37"/>
      <c r="GM132" s="37"/>
      <c r="GN132" s="37"/>
      <c r="GO132" s="37"/>
      <c r="GP132" s="37"/>
      <c r="GQ132" s="37"/>
      <c r="GR132" s="37"/>
      <c r="GS132" s="37"/>
      <c r="GT132" s="37"/>
      <c r="GU132" s="37"/>
      <c r="GV132" s="37"/>
      <c r="GW132" s="37"/>
      <c r="GX132" s="37"/>
      <c r="GY132" s="37"/>
      <c r="GZ132" s="37"/>
      <c r="HA132" s="37"/>
      <c r="HB132" s="37"/>
      <c r="HC132" s="37"/>
      <c r="HD132" s="37"/>
      <c r="HE132" s="37"/>
      <c r="HF132" s="37"/>
      <c r="HG132" s="37"/>
      <c r="HH132" s="37"/>
      <c r="HI132" s="37"/>
      <c r="HJ132" s="37"/>
      <c r="HK132" s="37"/>
      <c r="HL132" s="37"/>
      <c r="HM132" s="37"/>
      <c r="HN132" s="37"/>
      <c r="HO132" s="37"/>
      <c r="HP132" s="37"/>
      <c r="HQ132" s="37"/>
      <c r="HR132" s="37"/>
      <c r="HS132" s="37"/>
      <c r="HT132" s="37"/>
      <c r="HU132" s="37"/>
      <c r="HV132" s="37"/>
      <c r="HW132" s="37"/>
      <c r="HX132" s="37"/>
      <c r="HY132" s="37"/>
      <c r="HZ132" s="37"/>
      <c r="IA132" s="37"/>
      <c r="IB132" s="37"/>
      <c r="IC132" s="37"/>
    </row>
    <row r="133" spans="1:237" s="40" customFormat="1" x14ac:dyDescent="0.2">
      <c r="A133" s="62"/>
      <c r="B133" s="63"/>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c r="BC133" s="37"/>
      <c r="BD133" s="37"/>
      <c r="BE133" s="37"/>
      <c r="BF133" s="37"/>
      <c r="BG133" s="37"/>
      <c r="BH133" s="37"/>
      <c r="BI133" s="37"/>
      <c r="BJ133" s="37"/>
      <c r="BK133" s="37"/>
      <c r="BL133" s="37"/>
      <c r="BM133" s="37"/>
      <c r="BN133" s="37"/>
      <c r="BO133" s="37"/>
      <c r="BP133" s="37"/>
      <c r="BQ133" s="37"/>
      <c r="BR133" s="37"/>
      <c r="BS133" s="37"/>
      <c r="BT133" s="37"/>
      <c r="BU133" s="37"/>
      <c r="BV133" s="37"/>
      <c r="BW133" s="37"/>
      <c r="BX133" s="37"/>
      <c r="BY133" s="37"/>
      <c r="BZ133" s="37"/>
      <c r="CA133" s="37"/>
      <c r="CB133" s="37"/>
      <c r="CC133" s="37"/>
      <c r="CD133" s="37"/>
      <c r="CE133" s="37"/>
      <c r="CF133" s="37"/>
      <c r="CG133" s="37"/>
      <c r="CH133" s="37"/>
      <c r="CI133" s="37"/>
      <c r="CJ133" s="37"/>
      <c r="CK133" s="37"/>
      <c r="CL133" s="37"/>
      <c r="CM133" s="37"/>
      <c r="CN133" s="37"/>
      <c r="CO133" s="37"/>
      <c r="CP133" s="37"/>
      <c r="CQ133" s="37"/>
      <c r="CR133" s="37"/>
      <c r="CS133" s="37"/>
      <c r="CT133" s="37"/>
      <c r="CU133" s="37"/>
      <c r="CV133" s="37"/>
      <c r="CW133" s="37"/>
      <c r="CX133" s="37"/>
      <c r="CY133" s="37"/>
      <c r="CZ133" s="37"/>
      <c r="DA133" s="37"/>
      <c r="DB133" s="37"/>
      <c r="DC133" s="37"/>
      <c r="DD133" s="37"/>
      <c r="DE133" s="37"/>
      <c r="DF133" s="37"/>
      <c r="DG133" s="37"/>
      <c r="DH133" s="37"/>
      <c r="DI133" s="37"/>
      <c r="DJ133" s="37"/>
      <c r="DK133" s="37"/>
      <c r="DL133" s="37"/>
      <c r="DM133" s="37"/>
      <c r="DN133" s="37"/>
      <c r="DO133" s="37"/>
      <c r="DP133" s="37"/>
      <c r="DQ133" s="37"/>
      <c r="DR133" s="37"/>
      <c r="DS133" s="37"/>
      <c r="DT133" s="37"/>
      <c r="DU133" s="37"/>
      <c r="DV133" s="37"/>
      <c r="DW133" s="37"/>
      <c r="DX133" s="37"/>
      <c r="DY133" s="37"/>
      <c r="DZ133" s="37"/>
      <c r="EA133" s="37"/>
      <c r="EB133" s="37"/>
      <c r="EC133" s="37"/>
      <c r="ED133" s="37"/>
      <c r="EE133" s="37"/>
      <c r="EF133" s="37"/>
      <c r="EG133" s="37"/>
      <c r="EH133" s="37"/>
      <c r="EI133" s="37"/>
      <c r="EJ133" s="37"/>
      <c r="EK133" s="37"/>
      <c r="EL133" s="37"/>
      <c r="EM133" s="37"/>
      <c r="EN133" s="37"/>
      <c r="EO133" s="37"/>
      <c r="EP133" s="37"/>
      <c r="EQ133" s="37"/>
      <c r="ER133" s="37"/>
      <c r="ES133" s="37"/>
      <c r="ET133" s="37"/>
      <c r="EU133" s="37"/>
      <c r="EV133" s="37"/>
      <c r="EW133" s="37"/>
      <c r="EX133" s="37"/>
      <c r="EY133" s="37"/>
      <c r="EZ133" s="37"/>
      <c r="FA133" s="37"/>
      <c r="FB133" s="37"/>
      <c r="FC133" s="37"/>
      <c r="FD133" s="37"/>
      <c r="FE133" s="37"/>
      <c r="FF133" s="37"/>
      <c r="FG133" s="37"/>
      <c r="FH133" s="37"/>
      <c r="FI133" s="37"/>
      <c r="FJ133" s="37"/>
      <c r="FK133" s="37"/>
      <c r="FL133" s="37"/>
      <c r="FM133" s="37"/>
      <c r="FN133" s="37"/>
      <c r="FO133" s="37"/>
      <c r="FP133" s="37"/>
      <c r="FQ133" s="37"/>
      <c r="FR133" s="37"/>
      <c r="FS133" s="37"/>
      <c r="FT133" s="37"/>
      <c r="FU133" s="37"/>
      <c r="FV133" s="37"/>
      <c r="FW133" s="37"/>
      <c r="FX133" s="37"/>
      <c r="FY133" s="37"/>
      <c r="FZ133" s="37"/>
      <c r="GA133" s="37"/>
      <c r="GB133" s="37"/>
      <c r="GC133" s="37"/>
      <c r="GD133" s="37"/>
      <c r="GE133" s="37"/>
      <c r="GF133" s="37"/>
      <c r="GG133" s="37"/>
      <c r="GH133" s="37"/>
      <c r="GI133" s="37"/>
      <c r="GJ133" s="37"/>
      <c r="GK133" s="37"/>
      <c r="GL133" s="37"/>
      <c r="GM133" s="37"/>
      <c r="GN133" s="37"/>
      <c r="GO133" s="37"/>
      <c r="GP133" s="37"/>
      <c r="GQ133" s="37"/>
      <c r="GR133" s="37"/>
      <c r="GS133" s="37"/>
      <c r="GT133" s="37"/>
      <c r="GU133" s="37"/>
      <c r="GV133" s="37"/>
      <c r="GW133" s="37"/>
      <c r="GX133" s="37"/>
      <c r="GY133" s="37"/>
      <c r="GZ133" s="37"/>
      <c r="HA133" s="37"/>
      <c r="HB133" s="37"/>
      <c r="HC133" s="37"/>
      <c r="HD133" s="37"/>
      <c r="HE133" s="37"/>
      <c r="HF133" s="37"/>
      <c r="HG133" s="37"/>
      <c r="HH133" s="37"/>
      <c r="HI133" s="37"/>
      <c r="HJ133" s="37"/>
      <c r="HK133" s="37"/>
      <c r="HL133" s="37"/>
      <c r="HM133" s="37"/>
      <c r="HN133" s="37"/>
      <c r="HO133" s="37"/>
      <c r="HP133" s="37"/>
      <c r="HQ133" s="37"/>
      <c r="HR133" s="37"/>
      <c r="HS133" s="37"/>
      <c r="HT133" s="37"/>
      <c r="HU133" s="37"/>
      <c r="HV133" s="37"/>
      <c r="HW133" s="37"/>
      <c r="HX133" s="37"/>
      <c r="HY133" s="37"/>
      <c r="HZ133" s="37"/>
      <c r="IA133" s="37"/>
      <c r="IB133" s="37"/>
      <c r="IC133" s="37"/>
    </row>
    <row r="134" spans="1:237" s="40" customFormat="1" x14ac:dyDescent="0.2">
      <c r="A134" s="62"/>
      <c r="B134" s="63"/>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c r="BC134" s="37"/>
      <c r="BD134" s="37"/>
      <c r="BE134" s="37"/>
      <c r="BF134" s="37"/>
      <c r="BG134" s="37"/>
      <c r="BH134" s="37"/>
      <c r="BI134" s="37"/>
      <c r="BJ134" s="37"/>
      <c r="BK134" s="37"/>
      <c r="BL134" s="37"/>
      <c r="BM134" s="37"/>
      <c r="BN134" s="37"/>
      <c r="BO134" s="37"/>
      <c r="BP134" s="37"/>
      <c r="BQ134" s="37"/>
      <c r="BR134" s="37"/>
      <c r="BS134" s="37"/>
      <c r="BT134" s="37"/>
      <c r="BU134" s="37"/>
      <c r="BV134" s="37"/>
      <c r="BW134" s="37"/>
      <c r="BX134" s="37"/>
      <c r="BY134" s="37"/>
      <c r="BZ134" s="37"/>
      <c r="CA134" s="37"/>
      <c r="CB134" s="37"/>
      <c r="CC134" s="37"/>
      <c r="CD134" s="37"/>
      <c r="CE134" s="37"/>
      <c r="CF134" s="37"/>
      <c r="CG134" s="37"/>
      <c r="CH134" s="37"/>
      <c r="CI134" s="37"/>
      <c r="CJ134" s="37"/>
      <c r="CK134" s="37"/>
      <c r="CL134" s="37"/>
      <c r="CM134" s="37"/>
      <c r="CN134" s="37"/>
      <c r="CO134" s="37"/>
      <c r="CP134" s="37"/>
      <c r="CQ134" s="37"/>
      <c r="CR134" s="37"/>
      <c r="CS134" s="37"/>
      <c r="CT134" s="37"/>
      <c r="CU134" s="37"/>
      <c r="CV134" s="37"/>
      <c r="CW134" s="37"/>
      <c r="CX134" s="37"/>
      <c r="CY134" s="37"/>
      <c r="CZ134" s="37"/>
      <c r="DA134" s="37"/>
      <c r="DB134" s="37"/>
      <c r="DC134" s="37"/>
      <c r="DD134" s="37"/>
      <c r="DE134" s="37"/>
      <c r="DF134" s="37"/>
      <c r="DG134" s="37"/>
      <c r="DH134" s="37"/>
      <c r="DI134" s="37"/>
      <c r="DJ134" s="37"/>
      <c r="DK134" s="37"/>
      <c r="DL134" s="37"/>
      <c r="DM134" s="37"/>
      <c r="DN134" s="37"/>
      <c r="DO134" s="37"/>
      <c r="DP134" s="37"/>
      <c r="DQ134" s="37"/>
      <c r="DR134" s="37"/>
      <c r="DS134" s="37"/>
      <c r="DT134" s="37"/>
      <c r="DU134" s="37"/>
      <c r="DV134" s="37"/>
      <c r="DW134" s="37"/>
      <c r="DX134" s="37"/>
      <c r="DY134" s="37"/>
      <c r="DZ134" s="37"/>
      <c r="EA134" s="37"/>
      <c r="EB134" s="37"/>
      <c r="EC134" s="37"/>
      <c r="ED134" s="37"/>
      <c r="EE134" s="37"/>
      <c r="EF134" s="37"/>
      <c r="EG134" s="37"/>
      <c r="EH134" s="37"/>
      <c r="EI134" s="37"/>
      <c r="EJ134" s="37"/>
      <c r="EK134" s="37"/>
      <c r="EL134" s="37"/>
      <c r="EM134" s="37"/>
      <c r="EN134" s="37"/>
      <c r="EO134" s="37"/>
      <c r="EP134" s="37"/>
      <c r="EQ134" s="37"/>
      <c r="ER134" s="37"/>
      <c r="ES134" s="37"/>
      <c r="ET134" s="37"/>
      <c r="EU134" s="37"/>
      <c r="EV134" s="37"/>
      <c r="EW134" s="37"/>
      <c r="EX134" s="37"/>
      <c r="EY134" s="37"/>
      <c r="EZ134" s="37"/>
      <c r="FA134" s="37"/>
      <c r="FB134" s="37"/>
      <c r="FC134" s="37"/>
      <c r="FD134" s="37"/>
      <c r="FE134" s="37"/>
      <c r="FF134" s="37"/>
      <c r="FG134" s="37"/>
      <c r="FH134" s="37"/>
      <c r="FI134" s="37"/>
      <c r="FJ134" s="37"/>
      <c r="FK134" s="37"/>
      <c r="FL134" s="37"/>
      <c r="FM134" s="37"/>
      <c r="FN134" s="37"/>
      <c r="FO134" s="37"/>
      <c r="FP134" s="37"/>
      <c r="FQ134" s="37"/>
      <c r="FR134" s="37"/>
      <c r="FS134" s="37"/>
      <c r="FT134" s="37"/>
      <c r="FU134" s="37"/>
      <c r="FV134" s="37"/>
      <c r="FW134" s="37"/>
      <c r="FX134" s="37"/>
      <c r="FY134" s="37"/>
      <c r="FZ134" s="37"/>
      <c r="GA134" s="37"/>
      <c r="GB134" s="37"/>
      <c r="GC134" s="37"/>
      <c r="GD134" s="37"/>
      <c r="GE134" s="37"/>
      <c r="GF134" s="37"/>
      <c r="GG134" s="37"/>
      <c r="GH134" s="37"/>
      <c r="GI134" s="37"/>
      <c r="GJ134" s="37"/>
      <c r="GK134" s="37"/>
      <c r="GL134" s="37"/>
      <c r="GM134" s="37"/>
      <c r="GN134" s="37"/>
      <c r="GO134" s="37"/>
      <c r="GP134" s="37"/>
      <c r="GQ134" s="37"/>
      <c r="GR134" s="37"/>
      <c r="GS134" s="37"/>
      <c r="GT134" s="37"/>
      <c r="GU134" s="37"/>
      <c r="GV134" s="37"/>
      <c r="GW134" s="37"/>
      <c r="GX134" s="37"/>
      <c r="GY134" s="37"/>
      <c r="GZ134" s="37"/>
      <c r="HA134" s="37"/>
      <c r="HB134" s="37"/>
      <c r="HC134" s="37"/>
      <c r="HD134" s="37"/>
      <c r="HE134" s="37"/>
      <c r="HF134" s="37"/>
      <c r="HG134" s="37"/>
      <c r="HH134" s="37"/>
      <c r="HI134" s="37"/>
      <c r="HJ134" s="37"/>
      <c r="HK134" s="37"/>
      <c r="HL134" s="37"/>
      <c r="HM134" s="37"/>
      <c r="HN134" s="37"/>
      <c r="HO134" s="37"/>
      <c r="HP134" s="37"/>
      <c r="HQ134" s="37"/>
      <c r="HR134" s="37"/>
      <c r="HS134" s="37"/>
      <c r="HT134" s="37"/>
      <c r="HU134" s="37"/>
      <c r="HV134" s="37"/>
      <c r="HW134" s="37"/>
      <c r="HX134" s="37"/>
      <c r="HY134" s="37"/>
      <c r="HZ134" s="37"/>
      <c r="IA134" s="37"/>
      <c r="IB134" s="37"/>
      <c r="IC134" s="37"/>
    </row>
    <row r="135" spans="1:237" s="40" customFormat="1" x14ac:dyDescent="0.2">
      <c r="A135" s="62"/>
      <c r="B135" s="63"/>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c r="BC135" s="37"/>
      <c r="BD135" s="37"/>
      <c r="BE135" s="37"/>
      <c r="BF135" s="37"/>
      <c r="BG135" s="37"/>
      <c r="BH135" s="37"/>
      <c r="BI135" s="37"/>
      <c r="BJ135" s="37"/>
      <c r="BK135" s="37"/>
      <c r="BL135" s="37"/>
      <c r="BM135" s="37"/>
      <c r="BN135" s="37"/>
      <c r="BO135" s="37"/>
      <c r="BP135" s="37"/>
      <c r="BQ135" s="37"/>
      <c r="BR135" s="37"/>
      <c r="BS135" s="37"/>
      <c r="BT135" s="37"/>
      <c r="BU135" s="37"/>
      <c r="BV135" s="37"/>
      <c r="BW135" s="37"/>
      <c r="BX135" s="37"/>
      <c r="BY135" s="37"/>
      <c r="BZ135" s="37"/>
      <c r="CA135" s="37"/>
      <c r="CB135" s="37"/>
      <c r="CC135" s="37"/>
      <c r="CD135" s="37"/>
      <c r="CE135" s="37"/>
      <c r="CF135" s="37"/>
      <c r="CG135" s="37"/>
      <c r="CH135" s="37"/>
      <c r="CI135" s="37"/>
      <c r="CJ135" s="37"/>
      <c r="CK135" s="37"/>
      <c r="CL135" s="37"/>
      <c r="CM135" s="37"/>
      <c r="CN135" s="37"/>
      <c r="CO135" s="37"/>
      <c r="CP135" s="37"/>
      <c r="CQ135" s="37"/>
      <c r="CR135" s="37"/>
      <c r="CS135" s="37"/>
      <c r="CT135" s="37"/>
      <c r="CU135" s="37"/>
      <c r="CV135" s="37"/>
      <c r="CW135" s="37"/>
      <c r="CX135" s="37"/>
      <c r="CY135" s="37"/>
      <c r="CZ135" s="37"/>
      <c r="DA135" s="37"/>
      <c r="DB135" s="37"/>
      <c r="DC135" s="37"/>
      <c r="DD135" s="37"/>
      <c r="DE135" s="37"/>
      <c r="DF135" s="37"/>
      <c r="DG135" s="37"/>
      <c r="DH135" s="37"/>
      <c r="DI135" s="37"/>
      <c r="DJ135" s="37"/>
      <c r="DK135" s="37"/>
      <c r="DL135" s="37"/>
      <c r="DM135" s="37"/>
      <c r="DN135" s="37"/>
      <c r="DO135" s="37"/>
      <c r="DP135" s="37"/>
      <c r="DQ135" s="37"/>
      <c r="DR135" s="37"/>
      <c r="DS135" s="37"/>
      <c r="DT135" s="37"/>
      <c r="DU135" s="37"/>
      <c r="DV135" s="37"/>
      <c r="DW135" s="37"/>
      <c r="DX135" s="37"/>
      <c r="DY135" s="37"/>
      <c r="DZ135" s="37"/>
      <c r="EA135" s="37"/>
      <c r="EB135" s="37"/>
      <c r="EC135" s="37"/>
      <c r="ED135" s="37"/>
      <c r="EE135" s="37"/>
      <c r="EF135" s="37"/>
      <c r="EG135" s="37"/>
      <c r="EH135" s="37"/>
      <c r="EI135" s="37"/>
      <c r="EJ135" s="37"/>
      <c r="EK135" s="37"/>
      <c r="EL135" s="37"/>
      <c r="EM135" s="37"/>
      <c r="EN135" s="37"/>
      <c r="EO135" s="37"/>
      <c r="EP135" s="37"/>
      <c r="EQ135" s="37"/>
      <c r="ER135" s="37"/>
      <c r="ES135" s="37"/>
      <c r="ET135" s="37"/>
      <c r="EU135" s="37"/>
      <c r="EV135" s="37"/>
      <c r="EW135" s="37"/>
      <c r="EX135" s="37"/>
      <c r="EY135" s="37"/>
      <c r="EZ135" s="37"/>
      <c r="FA135" s="37"/>
      <c r="FB135" s="37"/>
      <c r="FC135" s="37"/>
      <c r="FD135" s="37"/>
      <c r="FE135" s="37"/>
      <c r="FF135" s="37"/>
      <c r="FG135" s="37"/>
      <c r="FH135" s="37"/>
      <c r="FI135" s="37"/>
      <c r="FJ135" s="37"/>
      <c r="FK135" s="37"/>
      <c r="FL135" s="37"/>
      <c r="FM135" s="37"/>
      <c r="FN135" s="37"/>
      <c r="FO135" s="37"/>
      <c r="FP135" s="37"/>
      <c r="FQ135" s="37"/>
      <c r="FR135" s="37"/>
      <c r="FS135" s="37"/>
      <c r="FT135" s="37"/>
      <c r="FU135" s="37"/>
      <c r="FV135" s="37"/>
      <c r="FW135" s="37"/>
      <c r="FX135" s="37"/>
      <c r="FY135" s="37"/>
      <c r="FZ135" s="37"/>
      <c r="GA135" s="37"/>
      <c r="GB135" s="37"/>
      <c r="GC135" s="37"/>
      <c r="GD135" s="37"/>
      <c r="GE135" s="37"/>
      <c r="GF135" s="37"/>
      <c r="GG135" s="37"/>
      <c r="GH135" s="37"/>
      <c r="GI135" s="37"/>
      <c r="GJ135" s="37"/>
      <c r="GK135" s="37"/>
      <c r="GL135" s="37"/>
      <c r="GM135" s="37"/>
      <c r="GN135" s="37"/>
      <c r="GO135" s="37"/>
      <c r="GP135" s="37"/>
      <c r="GQ135" s="37"/>
      <c r="GR135" s="37"/>
      <c r="GS135" s="37"/>
      <c r="GT135" s="37"/>
      <c r="GU135" s="37"/>
      <c r="GV135" s="37"/>
      <c r="GW135" s="37"/>
      <c r="GX135" s="37"/>
      <c r="GY135" s="37"/>
      <c r="GZ135" s="37"/>
      <c r="HA135" s="37"/>
      <c r="HB135" s="37"/>
      <c r="HC135" s="37"/>
      <c r="HD135" s="37"/>
      <c r="HE135" s="37"/>
      <c r="HF135" s="37"/>
      <c r="HG135" s="37"/>
      <c r="HH135" s="37"/>
      <c r="HI135" s="37"/>
      <c r="HJ135" s="37"/>
      <c r="HK135" s="37"/>
      <c r="HL135" s="37"/>
      <c r="HM135" s="37"/>
      <c r="HN135" s="37"/>
      <c r="HO135" s="37"/>
      <c r="HP135" s="37"/>
      <c r="HQ135" s="37"/>
      <c r="HR135" s="37"/>
      <c r="HS135" s="37"/>
      <c r="HT135" s="37"/>
      <c r="HU135" s="37"/>
      <c r="HV135" s="37"/>
      <c r="HW135" s="37"/>
      <c r="HX135" s="37"/>
      <c r="HY135" s="37"/>
      <c r="HZ135" s="37"/>
      <c r="IA135" s="37"/>
      <c r="IB135" s="37"/>
      <c r="IC135" s="37"/>
    </row>
    <row r="136" spans="1:237" s="40" customFormat="1" x14ac:dyDescent="0.2">
      <c r="A136" s="62"/>
      <c r="B136" s="63"/>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c r="AY136" s="37"/>
      <c r="AZ136" s="37"/>
      <c r="BA136" s="37"/>
      <c r="BB136" s="37"/>
      <c r="BC136" s="37"/>
      <c r="BD136" s="37"/>
      <c r="BE136" s="37"/>
      <c r="BF136" s="37"/>
      <c r="BG136" s="37"/>
      <c r="BH136" s="37"/>
      <c r="BI136" s="37"/>
      <c r="BJ136" s="37"/>
      <c r="BK136" s="37"/>
      <c r="BL136" s="37"/>
      <c r="BM136" s="37"/>
      <c r="BN136" s="37"/>
      <c r="BO136" s="37"/>
      <c r="BP136" s="37"/>
      <c r="BQ136" s="37"/>
      <c r="BR136" s="37"/>
      <c r="BS136" s="37"/>
      <c r="BT136" s="37"/>
      <c r="BU136" s="37"/>
      <c r="BV136" s="37"/>
      <c r="BW136" s="37"/>
      <c r="BX136" s="37"/>
      <c r="BY136" s="37"/>
      <c r="BZ136" s="37"/>
      <c r="CA136" s="37"/>
      <c r="CB136" s="37"/>
      <c r="CC136" s="37"/>
      <c r="CD136" s="37"/>
      <c r="CE136" s="37"/>
      <c r="CF136" s="37"/>
      <c r="CG136" s="37"/>
      <c r="CH136" s="37"/>
      <c r="CI136" s="37"/>
      <c r="CJ136" s="37"/>
      <c r="CK136" s="37"/>
      <c r="CL136" s="37"/>
      <c r="CM136" s="37"/>
      <c r="CN136" s="37"/>
      <c r="CO136" s="37"/>
      <c r="CP136" s="37"/>
      <c r="CQ136" s="37"/>
      <c r="CR136" s="37"/>
      <c r="CS136" s="37"/>
      <c r="CT136" s="37"/>
      <c r="CU136" s="37"/>
      <c r="CV136" s="37"/>
      <c r="CW136" s="37"/>
      <c r="CX136" s="37"/>
      <c r="CY136" s="37"/>
      <c r="CZ136" s="37"/>
      <c r="DA136" s="37"/>
      <c r="DB136" s="37"/>
      <c r="DC136" s="37"/>
      <c r="DD136" s="37"/>
      <c r="DE136" s="37"/>
      <c r="DF136" s="37"/>
      <c r="DG136" s="37"/>
      <c r="DH136" s="37"/>
      <c r="DI136" s="37"/>
      <c r="DJ136" s="37"/>
      <c r="DK136" s="37"/>
      <c r="DL136" s="37"/>
      <c r="DM136" s="37"/>
      <c r="DN136" s="37"/>
      <c r="DO136" s="37"/>
      <c r="DP136" s="37"/>
      <c r="DQ136" s="37"/>
      <c r="DR136" s="37"/>
      <c r="DS136" s="37"/>
      <c r="DT136" s="37"/>
      <c r="DU136" s="37"/>
      <c r="DV136" s="37"/>
      <c r="DW136" s="37"/>
      <c r="DX136" s="37"/>
      <c r="DY136" s="37"/>
      <c r="DZ136" s="37"/>
      <c r="EA136" s="37"/>
      <c r="EB136" s="37"/>
      <c r="EC136" s="37"/>
      <c r="ED136" s="37"/>
      <c r="EE136" s="37"/>
      <c r="EF136" s="37"/>
      <c r="EG136" s="37"/>
      <c r="EH136" s="37"/>
      <c r="EI136" s="37"/>
      <c r="EJ136" s="37"/>
      <c r="EK136" s="37"/>
      <c r="EL136" s="37"/>
      <c r="EM136" s="37"/>
      <c r="EN136" s="37"/>
      <c r="EO136" s="37"/>
      <c r="EP136" s="37"/>
      <c r="EQ136" s="37"/>
      <c r="ER136" s="37"/>
      <c r="ES136" s="37"/>
      <c r="ET136" s="37"/>
      <c r="EU136" s="37"/>
      <c r="EV136" s="37"/>
      <c r="EW136" s="37"/>
      <c r="EX136" s="37"/>
      <c r="EY136" s="37"/>
      <c r="EZ136" s="37"/>
      <c r="FA136" s="37"/>
      <c r="FB136" s="37"/>
      <c r="FC136" s="37"/>
      <c r="FD136" s="37"/>
      <c r="FE136" s="37"/>
      <c r="FF136" s="37"/>
      <c r="FG136" s="37"/>
      <c r="FH136" s="37"/>
      <c r="FI136" s="37"/>
      <c r="FJ136" s="37"/>
      <c r="FK136" s="37"/>
      <c r="FL136" s="37"/>
      <c r="FM136" s="37"/>
      <c r="FN136" s="37"/>
      <c r="FO136" s="37"/>
      <c r="FP136" s="37"/>
      <c r="FQ136" s="37"/>
      <c r="FR136" s="37"/>
      <c r="FS136" s="37"/>
      <c r="FT136" s="37"/>
      <c r="FU136" s="37"/>
      <c r="FV136" s="37"/>
      <c r="FW136" s="37"/>
      <c r="FX136" s="37"/>
      <c r="FY136" s="37"/>
      <c r="FZ136" s="37"/>
      <c r="GA136" s="37"/>
      <c r="GB136" s="37"/>
      <c r="GC136" s="37"/>
      <c r="GD136" s="37"/>
      <c r="GE136" s="37"/>
      <c r="GF136" s="37"/>
      <c r="GG136" s="37"/>
      <c r="GH136" s="37"/>
      <c r="GI136" s="37"/>
      <c r="GJ136" s="37"/>
      <c r="GK136" s="37"/>
      <c r="GL136" s="37"/>
      <c r="GM136" s="37"/>
      <c r="GN136" s="37"/>
      <c r="GO136" s="37"/>
      <c r="GP136" s="37"/>
      <c r="GQ136" s="37"/>
      <c r="GR136" s="37"/>
      <c r="GS136" s="37"/>
      <c r="GT136" s="37"/>
      <c r="GU136" s="37"/>
      <c r="GV136" s="37"/>
      <c r="GW136" s="37"/>
      <c r="GX136" s="37"/>
      <c r="GY136" s="37"/>
      <c r="GZ136" s="37"/>
      <c r="HA136" s="37"/>
      <c r="HB136" s="37"/>
      <c r="HC136" s="37"/>
      <c r="HD136" s="37"/>
      <c r="HE136" s="37"/>
      <c r="HF136" s="37"/>
      <c r="HG136" s="37"/>
      <c r="HH136" s="37"/>
      <c r="HI136" s="37"/>
      <c r="HJ136" s="37"/>
      <c r="HK136" s="37"/>
      <c r="HL136" s="37"/>
      <c r="HM136" s="37"/>
      <c r="HN136" s="37"/>
      <c r="HO136" s="37"/>
      <c r="HP136" s="37"/>
      <c r="HQ136" s="37"/>
      <c r="HR136" s="37"/>
      <c r="HS136" s="37"/>
      <c r="HT136" s="37"/>
      <c r="HU136" s="37"/>
      <c r="HV136" s="37"/>
      <c r="HW136" s="37"/>
      <c r="HX136" s="37"/>
      <c r="HY136" s="37"/>
      <c r="HZ136" s="37"/>
      <c r="IA136" s="37"/>
      <c r="IB136" s="37"/>
      <c r="IC136" s="37"/>
    </row>
    <row r="137" spans="1:237" s="40" customFormat="1" x14ac:dyDescent="0.2">
      <c r="A137" s="62"/>
      <c r="B137" s="63"/>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37"/>
      <c r="AX137" s="37"/>
      <c r="AY137" s="37"/>
      <c r="AZ137" s="37"/>
      <c r="BA137" s="37"/>
      <c r="BB137" s="37"/>
      <c r="BC137" s="37"/>
      <c r="BD137" s="37"/>
      <c r="BE137" s="37"/>
      <c r="BF137" s="37"/>
      <c r="BG137" s="37"/>
      <c r="BH137" s="37"/>
      <c r="BI137" s="37"/>
      <c r="BJ137" s="37"/>
      <c r="BK137" s="37"/>
      <c r="BL137" s="37"/>
      <c r="BM137" s="37"/>
      <c r="BN137" s="37"/>
      <c r="BO137" s="37"/>
      <c r="BP137" s="37"/>
      <c r="BQ137" s="37"/>
      <c r="BR137" s="37"/>
      <c r="BS137" s="37"/>
      <c r="BT137" s="37"/>
      <c r="BU137" s="37"/>
      <c r="BV137" s="37"/>
      <c r="BW137" s="37"/>
      <c r="BX137" s="37"/>
      <c r="BY137" s="37"/>
      <c r="BZ137" s="37"/>
      <c r="CA137" s="37"/>
      <c r="CB137" s="37"/>
      <c r="CC137" s="37"/>
      <c r="CD137" s="37"/>
      <c r="CE137" s="37"/>
      <c r="CF137" s="37"/>
      <c r="CG137" s="37"/>
      <c r="CH137" s="37"/>
      <c r="CI137" s="37"/>
      <c r="CJ137" s="37"/>
      <c r="CK137" s="37"/>
      <c r="CL137" s="37"/>
      <c r="CM137" s="37"/>
      <c r="CN137" s="37"/>
      <c r="CO137" s="37"/>
      <c r="CP137" s="37"/>
      <c r="CQ137" s="37"/>
      <c r="CR137" s="37"/>
      <c r="CS137" s="37"/>
      <c r="CT137" s="37"/>
      <c r="CU137" s="37"/>
      <c r="CV137" s="37"/>
      <c r="CW137" s="37"/>
      <c r="CX137" s="37"/>
      <c r="CY137" s="37"/>
      <c r="CZ137" s="37"/>
      <c r="DA137" s="37"/>
      <c r="DB137" s="37"/>
      <c r="DC137" s="37"/>
      <c r="DD137" s="37"/>
      <c r="DE137" s="37"/>
      <c r="DF137" s="37"/>
      <c r="DG137" s="37"/>
      <c r="DH137" s="37"/>
      <c r="DI137" s="37"/>
      <c r="DJ137" s="37"/>
      <c r="DK137" s="37"/>
      <c r="DL137" s="37"/>
      <c r="DM137" s="37"/>
      <c r="DN137" s="37"/>
      <c r="DO137" s="37"/>
      <c r="DP137" s="37"/>
      <c r="DQ137" s="37"/>
      <c r="DR137" s="37"/>
      <c r="DS137" s="37"/>
      <c r="DT137" s="37"/>
      <c r="DU137" s="37"/>
      <c r="DV137" s="37"/>
      <c r="DW137" s="37"/>
      <c r="DX137" s="37"/>
      <c r="DY137" s="37"/>
      <c r="DZ137" s="37"/>
      <c r="EA137" s="37"/>
      <c r="EB137" s="37"/>
      <c r="EC137" s="37"/>
      <c r="ED137" s="37"/>
      <c r="EE137" s="37"/>
      <c r="EF137" s="37"/>
      <c r="EG137" s="37"/>
      <c r="EH137" s="37"/>
      <c r="EI137" s="37"/>
      <c r="EJ137" s="37"/>
      <c r="EK137" s="37"/>
      <c r="EL137" s="37"/>
      <c r="EM137" s="37"/>
      <c r="EN137" s="37"/>
      <c r="EO137" s="37"/>
      <c r="EP137" s="37"/>
      <c r="EQ137" s="37"/>
      <c r="ER137" s="37"/>
      <c r="ES137" s="37"/>
      <c r="ET137" s="37"/>
      <c r="EU137" s="37"/>
      <c r="EV137" s="37"/>
      <c r="EW137" s="37"/>
      <c r="EX137" s="37"/>
      <c r="EY137" s="37"/>
      <c r="EZ137" s="37"/>
      <c r="FA137" s="37"/>
      <c r="FB137" s="37"/>
      <c r="FC137" s="37"/>
      <c r="FD137" s="37"/>
      <c r="FE137" s="37"/>
      <c r="FF137" s="37"/>
      <c r="FG137" s="37"/>
      <c r="FH137" s="37"/>
      <c r="FI137" s="37"/>
      <c r="FJ137" s="37"/>
      <c r="FK137" s="37"/>
      <c r="FL137" s="37"/>
      <c r="FM137" s="37"/>
      <c r="FN137" s="37"/>
      <c r="FO137" s="37"/>
      <c r="FP137" s="37"/>
      <c r="FQ137" s="37"/>
      <c r="FR137" s="37"/>
      <c r="FS137" s="37"/>
      <c r="FT137" s="37"/>
      <c r="FU137" s="37"/>
      <c r="FV137" s="37"/>
      <c r="FW137" s="37"/>
      <c r="FX137" s="37"/>
      <c r="FY137" s="37"/>
      <c r="FZ137" s="37"/>
      <c r="GA137" s="37"/>
      <c r="GB137" s="37"/>
      <c r="GC137" s="37"/>
      <c r="GD137" s="37"/>
      <c r="GE137" s="37"/>
      <c r="GF137" s="37"/>
      <c r="GG137" s="37"/>
      <c r="GH137" s="37"/>
      <c r="GI137" s="37"/>
      <c r="GJ137" s="37"/>
      <c r="GK137" s="37"/>
      <c r="GL137" s="37"/>
      <c r="GM137" s="37"/>
      <c r="GN137" s="37"/>
      <c r="GO137" s="37"/>
      <c r="GP137" s="37"/>
      <c r="GQ137" s="37"/>
      <c r="GR137" s="37"/>
      <c r="GS137" s="37"/>
      <c r="GT137" s="37"/>
      <c r="GU137" s="37"/>
      <c r="GV137" s="37"/>
      <c r="GW137" s="37"/>
      <c r="GX137" s="37"/>
      <c r="GY137" s="37"/>
      <c r="GZ137" s="37"/>
      <c r="HA137" s="37"/>
      <c r="HB137" s="37"/>
      <c r="HC137" s="37"/>
      <c r="HD137" s="37"/>
      <c r="HE137" s="37"/>
      <c r="HF137" s="37"/>
      <c r="HG137" s="37"/>
      <c r="HH137" s="37"/>
      <c r="HI137" s="37"/>
      <c r="HJ137" s="37"/>
      <c r="HK137" s="37"/>
      <c r="HL137" s="37"/>
      <c r="HM137" s="37"/>
      <c r="HN137" s="37"/>
      <c r="HO137" s="37"/>
      <c r="HP137" s="37"/>
      <c r="HQ137" s="37"/>
      <c r="HR137" s="37"/>
      <c r="HS137" s="37"/>
      <c r="HT137" s="37"/>
      <c r="HU137" s="37"/>
      <c r="HV137" s="37"/>
      <c r="HW137" s="37"/>
      <c r="HX137" s="37"/>
      <c r="HY137" s="37"/>
      <c r="HZ137" s="37"/>
      <c r="IA137" s="37"/>
      <c r="IB137" s="37"/>
      <c r="IC137" s="37"/>
    </row>
    <row r="138" spans="1:237" s="40" customFormat="1" x14ac:dyDescent="0.2">
      <c r="A138" s="62"/>
      <c r="B138" s="63"/>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7"/>
      <c r="AZ138" s="37"/>
      <c r="BA138" s="37"/>
      <c r="BB138" s="37"/>
      <c r="BC138" s="37"/>
      <c r="BD138" s="37"/>
      <c r="BE138" s="37"/>
      <c r="BF138" s="37"/>
      <c r="BG138" s="37"/>
      <c r="BH138" s="37"/>
      <c r="BI138" s="37"/>
      <c r="BJ138" s="37"/>
      <c r="BK138" s="37"/>
      <c r="BL138" s="37"/>
      <c r="BM138" s="37"/>
      <c r="BN138" s="37"/>
      <c r="BO138" s="37"/>
      <c r="BP138" s="37"/>
      <c r="BQ138" s="37"/>
      <c r="BR138" s="37"/>
      <c r="BS138" s="37"/>
      <c r="BT138" s="37"/>
      <c r="BU138" s="37"/>
      <c r="BV138" s="37"/>
      <c r="BW138" s="37"/>
      <c r="BX138" s="37"/>
      <c r="BY138" s="37"/>
      <c r="BZ138" s="37"/>
      <c r="CA138" s="37"/>
      <c r="CB138" s="37"/>
      <c r="CC138" s="37"/>
      <c r="CD138" s="37"/>
      <c r="CE138" s="37"/>
      <c r="CF138" s="37"/>
      <c r="CG138" s="37"/>
      <c r="CH138" s="37"/>
      <c r="CI138" s="37"/>
      <c r="CJ138" s="37"/>
      <c r="CK138" s="37"/>
      <c r="CL138" s="37"/>
      <c r="CM138" s="37"/>
      <c r="CN138" s="37"/>
      <c r="CO138" s="37"/>
      <c r="CP138" s="37"/>
      <c r="CQ138" s="37"/>
      <c r="CR138" s="37"/>
      <c r="CS138" s="37"/>
      <c r="CT138" s="37"/>
      <c r="CU138" s="37"/>
      <c r="CV138" s="37"/>
      <c r="CW138" s="37"/>
      <c r="CX138" s="37"/>
      <c r="CY138" s="37"/>
      <c r="CZ138" s="37"/>
      <c r="DA138" s="37"/>
      <c r="DB138" s="37"/>
      <c r="DC138" s="37"/>
      <c r="DD138" s="37"/>
      <c r="DE138" s="37"/>
      <c r="DF138" s="37"/>
      <c r="DG138" s="37"/>
      <c r="DH138" s="37"/>
      <c r="DI138" s="37"/>
      <c r="DJ138" s="37"/>
      <c r="DK138" s="37"/>
      <c r="DL138" s="37"/>
      <c r="DM138" s="37"/>
      <c r="DN138" s="37"/>
      <c r="DO138" s="37"/>
      <c r="DP138" s="37"/>
      <c r="DQ138" s="37"/>
      <c r="DR138" s="37"/>
      <c r="DS138" s="37"/>
      <c r="DT138" s="37"/>
      <c r="DU138" s="37"/>
      <c r="DV138" s="37"/>
      <c r="DW138" s="37"/>
      <c r="DX138" s="37"/>
      <c r="DY138" s="37"/>
      <c r="DZ138" s="37"/>
      <c r="EA138" s="37"/>
      <c r="EB138" s="37"/>
      <c r="EC138" s="37"/>
      <c r="ED138" s="37"/>
      <c r="EE138" s="37"/>
      <c r="EF138" s="37"/>
      <c r="EG138" s="37"/>
      <c r="EH138" s="37"/>
      <c r="EI138" s="37"/>
      <c r="EJ138" s="37"/>
      <c r="EK138" s="37"/>
      <c r="EL138" s="37"/>
      <c r="EM138" s="37"/>
      <c r="EN138" s="37"/>
      <c r="EO138" s="37"/>
      <c r="EP138" s="37"/>
      <c r="EQ138" s="37"/>
      <c r="ER138" s="37"/>
      <c r="ES138" s="37"/>
      <c r="ET138" s="37"/>
      <c r="EU138" s="37"/>
      <c r="EV138" s="37"/>
      <c r="EW138" s="37"/>
      <c r="EX138" s="37"/>
      <c r="EY138" s="37"/>
      <c r="EZ138" s="37"/>
      <c r="FA138" s="37"/>
      <c r="FB138" s="37"/>
      <c r="FC138" s="37"/>
      <c r="FD138" s="37"/>
      <c r="FE138" s="37"/>
      <c r="FF138" s="37"/>
      <c r="FG138" s="37"/>
      <c r="FH138" s="37"/>
      <c r="FI138" s="37"/>
      <c r="FJ138" s="37"/>
      <c r="FK138" s="37"/>
      <c r="FL138" s="37"/>
      <c r="FM138" s="37"/>
      <c r="FN138" s="37"/>
      <c r="FO138" s="37"/>
      <c r="FP138" s="37"/>
      <c r="FQ138" s="37"/>
      <c r="FR138" s="37"/>
      <c r="FS138" s="37"/>
      <c r="FT138" s="37"/>
      <c r="FU138" s="37"/>
      <c r="FV138" s="37"/>
      <c r="FW138" s="37"/>
      <c r="FX138" s="37"/>
      <c r="FY138" s="37"/>
      <c r="FZ138" s="37"/>
      <c r="GA138" s="37"/>
      <c r="GB138" s="37"/>
      <c r="GC138" s="37"/>
      <c r="GD138" s="37"/>
      <c r="GE138" s="37"/>
      <c r="GF138" s="37"/>
      <c r="GG138" s="37"/>
      <c r="GH138" s="37"/>
      <c r="GI138" s="37"/>
      <c r="GJ138" s="37"/>
      <c r="GK138" s="37"/>
      <c r="GL138" s="37"/>
      <c r="GM138" s="37"/>
      <c r="GN138" s="37"/>
      <c r="GO138" s="37"/>
      <c r="GP138" s="37"/>
      <c r="GQ138" s="37"/>
      <c r="GR138" s="37"/>
      <c r="GS138" s="37"/>
      <c r="GT138" s="37"/>
      <c r="GU138" s="37"/>
      <c r="GV138" s="37"/>
      <c r="GW138" s="37"/>
      <c r="GX138" s="37"/>
      <c r="GY138" s="37"/>
      <c r="GZ138" s="37"/>
      <c r="HA138" s="37"/>
      <c r="HB138" s="37"/>
      <c r="HC138" s="37"/>
      <c r="HD138" s="37"/>
      <c r="HE138" s="37"/>
      <c r="HF138" s="37"/>
      <c r="HG138" s="37"/>
      <c r="HH138" s="37"/>
      <c r="HI138" s="37"/>
      <c r="HJ138" s="37"/>
      <c r="HK138" s="37"/>
      <c r="HL138" s="37"/>
      <c r="HM138" s="37"/>
      <c r="HN138" s="37"/>
      <c r="HO138" s="37"/>
      <c r="HP138" s="37"/>
      <c r="HQ138" s="37"/>
      <c r="HR138" s="37"/>
      <c r="HS138" s="37"/>
      <c r="HT138" s="37"/>
      <c r="HU138" s="37"/>
      <c r="HV138" s="37"/>
      <c r="HW138" s="37"/>
      <c r="HX138" s="37"/>
      <c r="HY138" s="37"/>
      <c r="HZ138" s="37"/>
      <c r="IA138" s="37"/>
      <c r="IB138" s="37"/>
      <c r="IC138" s="37"/>
    </row>
    <row r="139" spans="1:237" s="40" customFormat="1" x14ac:dyDescent="0.2">
      <c r="A139" s="62"/>
      <c r="B139" s="63"/>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37"/>
      <c r="AX139" s="37"/>
      <c r="AY139" s="37"/>
      <c r="AZ139" s="37"/>
      <c r="BA139" s="37"/>
      <c r="BB139" s="37"/>
      <c r="BC139" s="37"/>
      <c r="BD139" s="37"/>
      <c r="BE139" s="37"/>
      <c r="BF139" s="37"/>
      <c r="BG139" s="37"/>
      <c r="BH139" s="37"/>
      <c r="BI139" s="37"/>
      <c r="BJ139" s="37"/>
      <c r="BK139" s="37"/>
      <c r="BL139" s="37"/>
      <c r="BM139" s="37"/>
      <c r="BN139" s="37"/>
      <c r="BO139" s="37"/>
      <c r="BP139" s="37"/>
      <c r="BQ139" s="37"/>
      <c r="BR139" s="37"/>
      <c r="BS139" s="37"/>
      <c r="BT139" s="37"/>
      <c r="BU139" s="37"/>
      <c r="BV139" s="37"/>
      <c r="BW139" s="37"/>
      <c r="BX139" s="37"/>
      <c r="BY139" s="37"/>
      <c r="BZ139" s="37"/>
      <c r="CA139" s="37"/>
      <c r="CB139" s="37"/>
      <c r="CC139" s="37"/>
      <c r="CD139" s="37"/>
      <c r="CE139" s="37"/>
      <c r="CF139" s="37"/>
      <c r="CG139" s="37"/>
      <c r="CH139" s="37"/>
      <c r="CI139" s="37"/>
      <c r="CJ139" s="37"/>
      <c r="CK139" s="37"/>
      <c r="CL139" s="37"/>
      <c r="CM139" s="37"/>
      <c r="CN139" s="37"/>
      <c r="CO139" s="37"/>
      <c r="CP139" s="37"/>
      <c r="CQ139" s="37"/>
      <c r="CR139" s="37"/>
      <c r="CS139" s="37"/>
      <c r="CT139" s="37"/>
      <c r="CU139" s="37"/>
      <c r="CV139" s="37"/>
      <c r="CW139" s="37"/>
      <c r="CX139" s="37"/>
      <c r="CY139" s="37"/>
      <c r="CZ139" s="37"/>
      <c r="DA139" s="37"/>
      <c r="DB139" s="37"/>
      <c r="DC139" s="37"/>
      <c r="DD139" s="37"/>
      <c r="DE139" s="37"/>
      <c r="DF139" s="37"/>
      <c r="DG139" s="37"/>
      <c r="DH139" s="37"/>
      <c r="DI139" s="37"/>
      <c r="DJ139" s="37"/>
      <c r="DK139" s="37"/>
      <c r="DL139" s="37"/>
      <c r="DM139" s="37"/>
      <c r="DN139" s="37"/>
      <c r="DO139" s="37"/>
      <c r="DP139" s="37"/>
      <c r="DQ139" s="37"/>
      <c r="DR139" s="37"/>
      <c r="DS139" s="37"/>
      <c r="DT139" s="37"/>
      <c r="DU139" s="37"/>
      <c r="DV139" s="37"/>
      <c r="DW139" s="37"/>
      <c r="DX139" s="37"/>
      <c r="DY139" s="37"/>
      <c r="DZ139" s="37"/>
      <c r="EA139" s="37"/>
      <c r="EB139" s="37"/>
      <c r="EC139" s="37"/>
      <c r="ED139" s="37"/>
      <c r="EE139" s="37"/>
      <c r="EF139" s="37"/>
      <c r="EG139" s="37"/>
      <c r="EH139" s="37"/>
      <c r="EI139" s="37"/>
      <c r="EJ139" s="37"/>
      <c r="EK139" s="37"/>
      <c r="EL139" s="37"/>
      <c r="EM139" s="37"/>
      <c r="EN139" s="37"/>
      <c r="EO139" s="37"/>
      <c r="EP139" s="37"/>
      <c r="EQ139" s="37"/>
      <c r="ER139" s="37"/>
      <c r="ES139" s="37"/>
      <c r="ET139" s="37"/>
      <c r="EU139" s="37"/>
      <c r="EV139" s="37"/>
      <c r="EW139" s="37"/>
      <c r="EX139" s="37"/>
      <c r="EY139" s="37"/>
      <c r="EZ139" s="37"/>
      <c r="FA139" s="37"/>
      <c r="FB139" s="37"/>
      <c r="FC139" s="37"/>
      <c r="FD139" s="37"/>
      <c r="FE139" s="37"/>
      <c r="FF139" s="37"/>
      <c r="FG139" s="37"/>
      <c r="FH139" s="37"/>
      <c r="FI139" s="37"/>
      <c r="FJ139" s="37"/>
      <c r="FK139" s="37"/>
      <c r="FL139" s="37"/>
      <c r="FM139" s="37"/>
      <c r="FN139" s="37"/>
      <c r="FO139" s="37"/>
      <c r="FP139" s="37"/>
      <c r="FQ139" s="37"/>
      <c r="FR139" s="37"/>
      <c r="FS139" s="37"/>
      <c r="FT139" s="37"/>
      <c r="FU139" s="37"/>
      <c r="FV139" s="37"/>
      <c r="FW139" s="37"/>
      <c r="FX139" s="37"/>
      <c r="FY139" s="37"/>
      <c r="FZ139" s="37"/>
      <c r="GA139" s="37"/>
      <c r="GB139" s="37"/>
      <c r="GC139" s="37"/>
      <c r="GD139" s="37"/>
      <c r="GE139" s="37"/>
      <c r="GF139" s="37"/>
      <c r="GG139" s="37"/>
      <c r="GH139" s="37"/>
      <c r="GI139" s="37"/>
      <c r="GJ139" s="37"/>
      <c r="GK139" s="37"/>
      <c r="GL139" s="37"/>
      <c r="GM139" s="37"/>
      <c r="GN139" s="37"/>
      <c r="GO139" s="37"/>
      <c r="GP139" s="37"/>
      <c r="GQ139" s="37"/>
      <c r="GR139" s="37"/>
      <c r="GS139" s="37"/>
      <c r="GT139" s="37"/>
      <c r="GU139" s="37"/>
      <c r="GV139" s="37"/>
      <c r="GW139" s="37"/>
      <c r="GX139" s="37"/>
      <c r="GY139" s="37"/>
      <c r="GZ139" s="37"/>
      <c r="HA139" s="37"/>
      <c r="HB139" s="37"/>
      <c r="HC139" s="37"/>
      <c r="HD139" s="37"/>
      <c r="HE139" s="37"/>
      <c r="HF139" s="37"/>
      <c r="HG139" s="37"/>
      <c r="HH139" s="37"/>
      <c r="HI139" s="37"/>
      <c r="HJ139" s="37"/>
      <c r="HK139" s="37"/>
      <c r="HL139" s="37"/>
      <c r="HM139" s="37"/>
      <c r="HN139" s="37"/>
      <c r="HO139" s="37"/>
      <c r="HP139" s="37"/>
      <c r="HQ139" s="37"/>
      <c r="HR139" s="37"/>
      <c r="HS139" s="37"/>
      <c r="HT139" s="37"/>
      <c r="HU139" s="37"/>
      <c r="HV139" s="37"/>
      <c r="HW139" s="37"/>
      <c r="HX139" s="37"/>
      <c r="HY139" s="37"/>
      <c r="HZ139" s="37"/>
      <c r="IA139" s="37"/>
      <c r="IB139" s="37"/>
      <c r="IC139" s="37"/>
    </row>
    <row r="140" spans="1:237" s="40" customFormat="1" x14ac:dyDescent="0.2">
      <c r="A140" s="62"/>
      <c r="B140" s="63"/>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c r="AR140" s="37"/>
      <c r="AS140" s="37"/>
      <c r="AT140" s="37"/>
      <c r="AU140" s="37"/>
      <c r="AV140" s="37"/>
      <c r="AW140" s="37"/>
      <c r="AX140" s="37"/>
      <c r="AY140" s="37"/>
      <c r="AZ140" s="37"/>
      <c r="BA140" s="37"/>
      <c r="BB140" s="37"/>
      <c r="BC140" s="37"/>
      <c r="BD140" s="37"/>
      <c r="BE140" s="37"/>
      <c r="BF140" s="37"/>
      <c r="BG140" s="37"/>
      <c r="BH140" s="37"/>
      <c r="BI140" s="37"/>
      <c r="BJ140" s="37"/>
      <c r="BK140" s="37"/>
      <c r="BL140" s="37"/>
      <c r="BM140" s="37"/>
      <c r="BN140" s="37"/>
      <c r="BO140" s="37"/>
      <c r="BP140" s="37"/>
      <c r="BQ140" s="37"/>
      <c r="BR140" s="37"/>
      <c r="BS140" s="37"/>
      <c r="BT140" s="37"/>
      <c r="BU140" s="37"/>
      <c r="BV140" s="37"/>
      <c r="BW140" s="37"/>
      <c r="BX140" s="37"/>
      <c r="BY140" s="37"/>
      <c r="BZ140" s="37"/>
      <c r="CA140" s="37"/>
      <c r="CB140" s="37"/>
      <c r="CC140" s="37"/>
      <c r="CD140" s="37"/>
      <c r="CE140" s="37"/>
      <c r="CF140" s="37"/>
      <c r="CG140" s="37"/>
      <c r="CH140" s="37"/>
      <c r="CI140" s="37"/>
      <c r="CJ140" s="37"/>
      <c r="CK140" s="37"/>
      <c r="CL140" s="37"/>
      <c r="CM140" s="37"/>
      <c r="CN140" s="37"/>
      <c r="CO140" s="37"/>
      <c r="CP140" s="37"/>
      <c r="CQ140" s="37"/>
      <c r="CR140" s="37"/>
      <c r="CS140" s="37"/>
      <c r="CT140" s="37"/>
      <c r="CU140" s="37"/>
      <c r="CV140" s="37"/>
      <c r="CW140" s="37"/>
      <c r="CX140" s="37"/>
      <c r="CY140" s="37"/>
      <c r="CZ140" s="37"/>
      <c r="DA140" s="37"/>
      <c r="DB140" s="37"/>
      <c r="DC140" s="37"/>
      <c r="DD140" s="37"/>
      <c r="DE140" s="37"/>
      <c r="DF140" s="37"/>
      <c r="DG140" s="37"/>
      <c r="DH140" s="37"/>
      <c r="DI140" s="37"/>
      <c r="DJ140" s="37"/>
      <c r="DK140" s="37"/>
      <c r="DL140" s="37"/>
      <c r="DM140" s="37"/>
      <c r="DN140" s="37"/>
      <c r="DO140" s="37"/>
      <c r="DP140" s="37"/>
      <c r="DQ140" s="37"/>
      <c r="DR140" s="37"/>
      <c r="DS140" s="37"/>
      <c r="DT140" s="37"/>
      <c r="DU140" s="37"/>
      <c r="DV140" s="37"/>
      <c r="DW140" s="37"/>
      <c r="DX140" s="37"/>
      <c r="DY140" s="37"/>
      <c r="DZ140" s="37"/>
      <c r="EA140" s="37"/>
      <c r="EB140" s="37"/>
      <c r="EC140" s="37"/>
      <c r="ED140" s="37"/>
      <c r="EE140" s="37"/>
      <c r="EF140" s="37"/>
      <c r="EG140" s="37"/>
      <c r="EH140" s="37"/>
      <c r="EI140" s="37"/>
      <c r="EJ140" s="37"/>
      <c r="EK140" s="37"/>
      <c r="EL140" s="37"/>
      <c r="EM140" s="37"/>
      <c r="EN140" s="37"/>
      <c r="EO140" s="37"/>
      <c r="EP140" s="37"/>
      <c r="EQ140" s="37"/>
      <c r="ER140" s="37"/>
      <c r="ES140" s="37"/>
      <c r="ET140" s="37"/>
      <c r="EU140" s="37"/>
      <c r="EV140" s="37"/>
      <c r="EW140" s="37"/>
      <c r="EX140" s="37"/>
      <c r="EY140" s="37"/>
      <c r="EZ140" s="37"/>
      <c r="FA140" s="37"/>
      <c r="FB140" s="37"/>
      <c r="FC140" s="37"/>
      <c r="FD140" s="37"/>
      <c r="FE140" s="37"/>
      <c r="FF140" s="37"/>
      <c r="FG140" s="37"/>
      <c r="FH140" s="37"/>
      <c r="FI140" s="37"/>
      <c r="FJ140" s="37"/>
      <c r="FK140" s="37"/>
      <c r="FL140" s="37"/>
      <c r="FM140" s="37"/>
      <c r="FN140" s="37"/>
      <c r="FO140" s="37"/>
      <c r="FP140" s="37"/>
      <c r="FQ140" s="37"/>
      <c r="FR140" s="37"/>
      <c r="FS140" s="37"/>
      <c r="FT140" s="37"/>
      <c r="FU140" s="37"/>
      <c r="FV140" s="37"/>
      <c r="FW140" s="37"/>
      <c r="FX140" s="37"/>
      <c r="FY140" s="37"/>
      <c r="FZ140" s="37"/>
      <c r="GA140" s="37"/>
      <c r="GB140" s="37"/>
      <c r="GC140" s="37"/>
      <c r="GD140" s="37"/>
      <c r="GE140" s="37"/>
      <c r="GF140" s="37"/>
      <c r="GG140" s="37"/>
      <c r="GH140" s="37"/>
      <c r="GI140" s="37"/>
      <c r="GJ140" s="37"/>
      <c r="GK140" s="37"/>
      <c r="GL140" s="37"/>
      <c r="GM140" s="37"/>
      <c r="GN140" s="37"/>
      <c r="GO140" s="37"/>
      <c r="GP140" s="37"/>
      <c r="GQ140" s="37"/>
      <c r="GR140" s="37"/>
      <c r="GS140" s="37"/>
      <c r="GT140" s="37"/>
      <c r="GU140" s="37"/>
      <c r="GV140" s="37"/>
      <c r="GW140" s="37"/>
      <c r="GX140" s="37"/>
      <c r="GY140" s="37"/>
      <c r="GZ140" s="37"/>
      <c r="HA140" s="37"/>
      <c r="HB140" s="37"/>
      <c r="HC140" s="37"/>
      <c r="HD140" s="37"/>
      <c r="HE140" s="37"/>
      <c r="HF140" s="37"/>
      <c r="HG140" s="37"/>
      <c r="HH140" s="37"/>
      <c r="HI140" s="37"/>
      <c r="HJ140" s="37"/>
      <c r="HK140" s="37"/>
      <c r="HL140" s="37"/>
      <c r="HM140" s="37"/>
      <c r="HN140" s="37"/>
      <c r="HO140" s="37"/>
      <c r="HP140" s="37"/>
      <c r="HQ140" s="37"/>
      <c r="HR140" s="37"/>
      <c r="HS140" s="37"/>
      <c r="HT140" s="37"/>
      <c r="HU140" s="37"/>
      <c r="HV140" s="37"/>
      <c r="HW140" s="37"/>
      <c r="HX140" s="37"/>
      <c r="HY140" s="37"/>
      <c r="HZ140" s="37"/>
      <c r="IA140" s="37"/>
      <c r="IB140" s="37"/>
      <c r="IC140" s="37"/>
    </row>
    <row r="141" spans="1:237" s="40" customFormat="1" x14ac:dyDescent="0.2">
      <c r="A141" s="62"/>
      <c r="B141" s="63"/>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c r="BC141" s="37"/>
      <c r="BD141" s="37"/>
      <c r="BE141" s="37"/>
      <c r="BF141" s="37"/>
      <c r="BG141" s="37"/>
      <c r="BH141" s="37"/>
      <c r="BI141" s="37"/>
      <c r="BJ141" s="37"/>
      <c r="BK141" s="37"/>
      <c r="BL141" s="37"/>
      <c r="BM141" s="37"/>
      <c r="BN141" s="37"/>
      <c r="BO141" s="37"/>
      <c r="BP141" s="37"/>
      <c r="BQ141" s="37"/>
      <c r="BR141" s="37"/>
      <c r="BS141" s="37"/>
      <c r="BT141" s="37"/>
      <c r="BU141" s="37"/>
      <c r="BV141" s="37"/>
      <c r="BW141" s="37"/>
      <c r="BX141" s="37"/>
      <c r="BY141" s="37"/>
      <c r="BZ141" s="37"/>
      <c r="CA141" s="37"/>
      <c r="CB141" s="37"/>
      <c r="CC141" s="37"/>
      <c r="CD141" s="37"/>
      <c r="CE141" s="37"/>
      <c r="CF141" s="37"/>
      <c r="CG141" s="37"/>
      <c r="CH141" s="37"/>
      <c r="CI141" s="37"/>
      <c r="CJ141" s="37"/>
      <c r="CK141" s="37"/>
      <c r="CL141" s="37"/>
      <c r="CM141" s="37"/>
      <c r="CN141" s="37"/>
      <c r="CO141" s="37"/>
      <c r="CP141" s="37"/>
      <c r="CQ141" s="37"/>
      <c r="CR141" s="37"/>
      <c r="CS141" s="37"/>
      <c r="CT141" s="37"/>
      <c r="CU141" s="37"/>
      <c r="CV141" s="37"/>
      <c r="CW141" s="37"/>
      <c r="CX141" s="37"/>
      <c r="CY141" s="37"/>
      <c r="CZ141" s="37"/>
      <c r="DA141" s="37"/>
      <c r="DB141" s="37"/>
      <c r="DC141" s="37"/>
      <c r="DD141" s="37"/>
      <c r="DE141" s="37"/>
      <c r="DF141" s="37"/>
      <c r="DG141" s="37"/>
      <c r="DH141" s="37"/>
      <c r="DI141" s="37"/>
      <c r="DJ141" s="37"/>
      <c r="DK141" s="37"/>
      <c r="DL141" s="37"/>
      <c r="DM141" s="37"/>
      <c r="DN141" s="37"/>
      <c r="DO141" s="37"/>
      <c r="DP141" s="37"/>
      <c r="DQ141" s="37"/>
      <c r="DR141" s="37"/>
      <c r="DS141" s="37"/>
      <c r="DT141" s="37"/>
      <c r="DU141" s="37"/>
      <c r="DV141" s="37"/>
      <c r="DW141" s="37"/>
      <c r="DX141" s="37"/>
      <c r="DY141" s="37"/>
      <c r="DZ141" s="37"/>
      <c r="EA141" s="37"/>
      <c r="EB141" s="37"/>
      <c r="EC141" s="37"/>
      <c r="ED141" s="37"/>
      <c r="EE141" s="37"/>
      <c r="EF141" s="37"/>
      <c r="EG141" s="37"/>
      <c r="EH141" s="37"/>
      <c r="EI141" s="37"/>
      <c r="EJ141" s="37"/>
      <c r="EK141" s="37"/>
      <c r="EL141" s="37"/>
      <c r="EM141" s="37"/>
      <c r="EN141" s="37"/>
      <c r="EO141" s="37"/>
      <c r="EP141" s="37"/>
      <c r="EQ141" s="37"/>
      <c r="ER141" s="37"/>
      <c r="ES141" s="37"/>
      <c r="ET141" s="37"/>
      <c r="EU141" s="37"/>
      <c r="EV141" s="37"/>
      <c r="EW141" s="37"/>
      <c r="EX141" s="37"/>
      <c r="EY141" s="37"/>
      <c r="EZ141" s="37"/>
      <c r="FA141" s="37"/>
      <c r="FB141" s="37"/>
      <c r="FC141" s="37"/>
      <c r="FD141" s="37"/>
      <c r="FE141" s="37"/>
      <c r="FF141" s="37"/>
      <c r="FG141" s="37"/>
      <c r="FH141" s="37"/>
      <c r="FI141" s="37"/>
      <c r="FJ141" s="37"/>
      <c r="FK141" s="37"/>
      <c r="FL141" s="37"/>
      <c r="FM141" s="37"/>
      <c r="FN141" s="37"/>
      <c r="FO141" s="37"/>
      <c r="FP141" s="37"/>
      <c r="FQ141" s="37"/>
      <c r="FR141" s="37"/>
      <c r="FS141" s="37"/>
      <c r="FT141" s="37"/>
      <c r="FU141" s="37"/>
      <c r="FV141" s="37"/>
      <c r="FW141" s="37"/>
      <c r="FX141" s="37"/>
      <c r="FY141" s="37"/>
      <c r="FZ141" s="37"/>
      <c r="GA141" s="37"/>
      <c r="GB141" s="37"/>
      <c r="GC141" s="37"/>
      <c r="GD141" s="37"/>
      <c r="GE141" s="37"/>
      <c r="GF141" s="37"/>
      <c r="GG141" s="37"/>
      <c r="GH141" s="37"/>
      <c r="GI141" s="37"/>
      <c r="GJ141" s="37"/>
      <c r="GK141" s="37"/>
      <c r="GL141" s="37"/>
      <c r="GM141" s="37"/>
      <c r="GN141" s="37"/>
      <c r="GO141" s="37"/>
      <c r="GP141" s="37"/>
      <c r="GQ141" s="37"/>
      <c r="GR141" s="37"/>
      <c r="GS141" s="37"/>
      <c r="GT141" s="37"/>
      <c r="GU141" s="37"/>
      <c r="GV141" s="37"/>
      <c r="GW141" s="37"/>
      <c r="GX141" s="37"/>
      <c r="GY141" s="37"/>
      <c r="GZ141" s="37"/>
      <c r="HA141" s="37"/>
      <c r="HB141" s="37"/>
      <c r="HC141" s="37"/>
      <c r="HD141" s="37"/>
      <c r="HE141" s="37"/>
      <c r="HF141" s="37"/>
      <c r="HG141" s="37"/>
      <c r="HH141" s="37"/>
      <c r="HI141" s="37"/>
      <c r="HJ141" s="37"/>
      <c r="HK141" s="37"/>
      <c r="HL141" s="37"/>
      <c r="HM141" s="37"/>
      <c r="HN141" s="37"/>
      <c r="HO141" s="37"/>
      <c r="HP141" s="37"/>
      <c r="HQ141" s="37"/>
      <c r="HR141" s="37"/>
      <c r="HS141" s="37"/>
      <c r="HT141" s="37"/>
      <c r="HU141" s="37"/>
      <c r="HV141" s="37"/>
      <c r="HW141" s="37"/>
      <c r="HX141" s="37"/>
      <c r="HY141" s="37"/>
      <c r="HZ141" s="37"/>
      <c r="IA141" s="37"/>
      <c r="IB141" s="37"/>
      <c r="IC141" s="37"/>
    </row>
    <row r="142" spans="1:237" s="40" customFormat="1" x14ac:dyDescent="0.2">
      <c r="A142" s="62"/>
      <c r="B142" s="63"/>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37"/>
      <c r="AX142" s="37"/>
      <c r="AY142" s="37"/>
      <c r="AZ142" s="37"/>
      <c r="BA142" s="37"/>
      <c r="BB142" s="37"/>
      <c r="BC142" s="37"/>
      <c r="BD142" s="37"/>
      <c r="BE142" s="37"/>
      <c r="BF142" s="37"/>
      <c r="BG142" s="37"/>
      <c r="BH142" s="37"/>
      <c r="BI142" s="37"/>
      <c r="BJ142" s="37"/>
      <c r="BK142" s="37"/>
      <c r="BL142" s="37"/>
      <c r="BM142" s="37"/>
      <c r="BN142" s="37"/>
      <c r="BO142" s="37"/>
      <c r="BP142" s="37"/>
      <c r="BQ142" s="37"/>
      <c r="BR142" s="37"/>
      <c r="BS142" s="37"/>
      <c r="BT142" s="37"/>
      <c r="BU142" s="37"/>
      <c r="BV142" s="37"/>
      <c r="BW142" s="37"/>
      <c r="BX142" s="37"/>
      <c r="BY142" s="37"/>
      <c r="BZ142" s="37"/>
      <c r="CA142" s="37"/>
      <c r="CB142" s="37"/>
      <c r="CC142" s="37"/>
      <c r="CD142" s="37"/>
      <c r="CE142" s="37"/>
      <c r="CF142" s="37"/>
      <c r="CG142" s="37"/>
      <c r="CH142" s="37"/>
      <c r="CI142" s="37"/>
      <c r="CJ142" s="37"/>
      <c r="CK142" s="37"/>
      <c r="CL142" s="37"/>
      <c r="CM142" s="37"/>
      <c r="CN142" s="37"/>
      <c r="CO142" s="37"/>
      <c r="CP142" s="37"/>
      <c r="CQ142" s="37"/>
      <c r="CR142" s="37"/>
      <c r="CS142" s="37"/>
      <c r="CT142" s="37"/>
      <c r="CU142" s="37"/>
      <c r="CV142" s="37"/>
      <c r="CW142" s="37"/>
      <c r="CX142" s="37"/>
      <c r="CY142" s="37"/>
      <c r="CZ142" s="37"/>
      <c r="DA142" s="37"/>
      <c r="DB142" s="37"/>
      <c r="DC142" s="37"/>
      <c r="DD142" s="37"/>
      <c r="DE142" s="37"/>
      <c r="DF142" s="37"/>
      <c r="DG142" s="37"/>
      <c r="DH142" s="37"/>
      <c r="DI142" s="37"/>
      <c r="DJ142" s="37"/>
      <c r="DK142" s="37"/>
      <c r="DL142" s="37"/>
      <c r="DM142" s="37"/>
      <c r="DN142" s="37"/>
      <c r="DO142" s="37"/>
      <c r="DP142" s="37"/>
      <c r="DQ142" s="37"/>
      <c r="DR142" s="37"/>
      <c r="DS142" s="37"/>
      <c r="DT142" s="37"/>
      <c r="DU142" s="37"/>
      <c r="DV142" s="37"/>
      <c r="DW142" s="37"/>
      <c r="DX142" s="37"/>
      <c r="DY142" s="37"/>
      <c r="DZ142" s="37"/>
      <c r="EA142" s="37"/>
      <c r="EB142" s="37"/>
      <c r="EC142" s="37"/>
      <c r="ED142" s="37"/>
      <c r="EE142" s="37"/>
      <c r="EF142" s="37"/>
      <c r="EG142" s="37"/>
      <c r="EH142" s="37"/>
      <c r="EI142" s="37"/>
      <c r="EJ142" s="37"/>
      <c r="EK142" s="37"/>
      <c r="EL142" s="37"/>
      <c r="EM142" s="37"/>
      <c r="EN142" s="37"/>
      <c r="EO142" s="37"/>
      <c r="EP142" s="37"/>
      <c r="EQ142" s="37"/>
      <c r="ER142" s="37"/>
      <c r="ES142" s="37"/>
      <c r="ET142" s="37"/>
      <c r="EU142" s="37"/>
      <c r="EV142" s="37"/>
      <c r="EW142" s="37"/>
      <c r="EX142" s="37"/>
      <c r="EY142" s="37"/>
      <c r="EZ142" s="37"/>
      <c r="FA142" s="37"/>
      <c r="FB142" s="37"/>
      <c r="FC142" s="37"/>
      <c r="FD142" s="37"/>
      <c r="FE142" s="37"/>
      <c r="FF142" s="37"/>
      <c r="FG142" s="37"/>
      <c r="FH142" s="37"/>
      <c r="FI142" s="37"/>
      <c r="FJ142" s="37"/>
      <c r="FK142" s="37"/>
      <c r="FL142" s="37"/>
      <c r="FM142" s="37"/>
      <c r="FN142" s="37"/>
      <c r="FO142" s="37"/>
      <c r="FP142" s="37"/>
      <c r="FQ142" s="37"/>
      <c r="FR142" s="37"/>
      <c r="FS142" s="37"/>
      <c r="FT142" s="37"/>
      <c r="FU142" s="37"/>
      <c r="FV142" s="37"/>
      <c r="FW142" s="37"/>
      <c r="FX142" s="37"/>
      <c r="FY142" s="37"/>
      <c r="FZ142" s="37"/>
      <c r="GA142" s="37"/>
      <c r="GB142" s="37"/>
      <c r="GC142" s="37"/>
      <c r="GD142" s="37"/>
      <c r="GE142" s="37"/>
      <c r="GF142" s="37"/>
      <c r="GG142" s="37"/>
      <c r="GH142" s="37"/>
      <c r="GI142" s="37"/>
      <c r="GJ142" s="37"/>
      <c r="GK142" s="37"/>
      <c r="GL142" s="37"/>
      <c r="GM142" s="37"/>
      <c r="GN142" s="37"/>
      <c r="GO142" s="37"/>
      <c r="GP142" s="37"/>
      <c r="GQ142" s="37"/>
      <c r="GR142" s="37"/>
      <c r="GS142" s="37"/>
      <c r="GT142" s="37"/>
      <c r="GU142" s="37"/>
      <c r="GV142" s="37"/>
      <c r="GW142" s="37"/>
      <c r="GX142" s="37"/>
      <c r="GY142" s="37"/>
      <c r="GZ142" s="37"/>
      <c r="HA142" s="37"/>
      <c r="HB142" s="37"/>
      <c r="HC142" s="37"/>
      <c r="HD142" s="37"/>
      <c r="HE142" s="37"/>
      <c r="HF142" s="37"/>
      <c r="HG142" s="37"/>
      <c r="HH142" s="37"/>
      <c r="HI142" s="37"/>
      <c r="HJ142" s="37"/>
      <c r="HK142" s="37"/>
      <c r="HL142" s="37"/>
      <c r="HM142" s="37"/>
      <c r="HN142" s="37"/>
      <c r="HO142" s="37"/>
      <c r="HP142" s="37"/>
      <c r="HQ142" s="37"/>
      <c r="HR142" s="37"/>
      <c r="HS142" s="37"/>
      <c r="HT142" s="37"/>
      <c r="HU142" s="37"/>
      <c r="HV142" s="37"/>
      <c r="HW142" s="37"/>
      <c r="HX142" s="37"/>
      <c r="HY142" s="37"/>
      <c r="HZ142" s="37"/>
      <c r="IA142" s="37"/>
      <c r="IB142" s="37"/>
      <c r="IC142" s="37"/>
    </row>
    <row r="143" spans="1:237" s="40" customFormat="1" x14ac:dyDescent="0.2">
      <c r="A143" s="62"/>
      <c r="B143" s="63"/>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c r="AY143" s="37"/>
      <c r="AZ143" s="37"/>
      <c r="BA143" s="37"/>
      <c r="BB143" s="37"/>
      <c r="BC143" s="37"/>
      <c r="BD143" s="37"/>
      <c r="BE143" s="37"/>
      <c r="BF143" s="37"/>
      <c r="BG143" s="37"/>
      <c r="BH143" s="37"/>
      <c r="BI143" s="37"/>
      <c r="BJ143" s="37"/>
      <c r="BK143" s="37"/>
      <c r="BL143" s="37"/>
      <c r="BM143" s="37"/>
      <c r="BN143" s="37"/>
      <c r="BO143" s="37"/>
      <c r="BP143" s="37"/>
      <c r="BQ143" s="37"/>
      <c r="BR143" s="37"/>
      <c r="BS143" s="37"/>
      <c r="BT143" s="37"/>
      <c r="BU143" s="37"/>
      <c r="BV143" s="37"/>
      <c r="BW143" s="37"/>
      <c r="BX143" s="37"/>
      <c r="BY143" s="37"/>
      <c r="BZ143" s="37"/>
      <c r="CA143" s="37"/>
      <c r="CB143" s="37"/>
      <c r="CC143" s="37"/>
      <c r="CD143" s="37"/>
      <c r="CE143" s="37"/>
      <c r="CF143" s="37"/>
      <c r="CG143" s="37"/>
      <c r="CH143" s="37"/>
      <c r="CI143" s="37"/>
      <c r="CJ143" s="37"/>
      <c r="CK143" s="37"/>
      <c r="CL143" s="37"/>
      <c r="CM143" s="37"/>
      <c r="CN143" s="37"/>
      <c r="CO143" s="37"/>
      <c r="CP143" s="37"/>
      <c r="CQ143" s="37"/>
      <c r="CR143" s="37"/>
      <c r="CS143" s="37"/>
      <c r="CT143" s="37"/>
      <c r="CU143" s="37"/>
      <c r="CV143" s="37"/>
      <c r="CW143" s="37"/>
      <c r="CX143" s="37"/>
      <c r="CY143" s="37"/>
      <c r="CZ143" s="37"/>
      <c r="DA143" s="37"/>
      <c r="DB143" s="37"/>
      <c r="DC143" s="37"/>
      <c r="DD143" s="37"/>
      <c r="DE143" s="37"/>
      <c r="DF143" s="37"/>
      <c r="DG143" s="37"/>
      <c r="DH143" s="37"/>
      <c r="DI143" s="37"/>
      <c r="DJ143" s="37"/>
      <c r="DK143" s="37"/>
      <c r="DL143" s="37"/>
      <c r="DM143" s="37"/>
      <c r="DN143" s="37"/>
      <c r="DO143" s="37"/>
      <c r="DP143" s="37"/>
      <c r="DQ143" s="37"/>
      <c r="DR143" s="37"/>
      <c r="DS143" s="37"/>
      <c r="DT143" s="37"/>
      <c r="DU143" s="37"/>
      <c r="DV143" s="37"/>
      <c r="DW143" s="37"/>
      <c r="DX143" s="37"/>
      <c r="DY143" s="37"/>
      <c r="DZ143" s="37"/>
      <c r="EA143" s="37"/>
      <c r="EB143" s="37"/>
      <c r="EC143" s="37"/>
      <c r="ED143" s="37"/>
      <c r="EE143" s="37"/>
      <c r="EF143" s="37"/>
      <c r="EG143" s="37"/>
      <c r="EH143" s="37"/>
      <c r="EI143" s="37"/>
      <c r="EJ143" s="37"/>
      <c r="EK143" s="37"/>
      <c r="EL143" s="37"/>
      <c r="EM143" s="37"/>
      <c r="EN143" s="37"/>
      <c r="EO143" s="37"/>
      <c r="EP143" s="37"/>
      <c r="EQ143" s="37"/>
      <c r="ER143" s="37"/>
      <c r="ES143" s="37"/>
      <c r="ET143" s="37"/>
      <c r="EU143" s="37"/>
      <c r="EV143" s="37"/>
      <c r="EW143" s="37"/>
      <c r="EX143" s="37"/>
      <c r="EY143" s="37"/>
      <c r="EZ143" s="37"/>
      <c r="FA143" s="37"/>
      <c r="FB143" s="37"/>
      <c r="FC143" s="37"/>
      <c r="FD143" s="37"/>
      <c r="FE143" s="37"/>
      <c r="FF143" s="37"/>
      <c r="FG143" s="37"/>
      <c r="FH143" s="37"/>
      <c r="FI143" s="37"/>
      <c r="FJ143" s="37"/>
      <c r="FK143" s="37"/>
      <c r="FL143" s="37"/>
      <c r="FM143" s="37"/>
      <c r="FN143" s="37"/>
      <c r="FO143" s="37"/>
      <c r="FP143" s="37"/>
      <c r="FQ143" s="37"/>
      <c r="FR143" s="37"/>
      <c r="FS143" s="37"/>
      <c r="FT143" s="37"/>
      <c r="FU143" s="37"/>
      <c r="FV143" s="37"/>
      <c r="FW143" s="37"/>
      <c r="FX143" s="37"/>
      <c r="FY143" s="37"/>
      <c r="FZ143" s="37"/>
      <c r="GA143" s="37"/>
      <c r="GB143" s="37"/>
      <c r="GC143" s="37"/>
      <c r="GD143" s="37"/>
      <c r="GE143" s="37"/>
      <c r="GF143" s="37"/>
      <c r="GG143" s="37"/>
      <c r="GH143" s="37"/>
      <c r="GI143" s="37"/>
      <c r="GJ143" s="37"/>
      <c r="GK143" s="37"/>
      <c r="GL143" s="37"/>
      <c r="GM143" s="37"/>
      <c r="GN143" s="37"/>
      <c r="GO143" s="37"/>
      <c r="GP143" s="37"/>
      <c r="GQ143" s="37"/>
      <c r="GR143" s="37"/>
      <c r="GS143" s="37"/>
      <c r="GT143" s="37"/>
      <c r="GU143" s="37"/>
      <c r="GV143" s="37"/>
      <c r="GW143" s="37"/>
      <c r="GX143" s="37"/>
      <c r="GY143" s="37"/>
      <c r="GZ143" s="37"/>
      <c r="HA143" s="37"/>
      <c r="HB143" s="37"/>
      <c r="HC143" s="37"/>
      <c r="HD143" s="37"/>
      <c r="HE143" s="37"/>
      <c r="HF143" s="37"/>
      <c r="HG143" s="37"/>
      <c r="HH143" s="37"/>
      <c r="HI143" s="37"/>
      <c r="HJ143" s="37"/>
      <c r="HK143" s="37"/>
      <c r="HL143" s="37"/>
      <c r="HM143" s="37"/>
      <c r="HN143" s="37"/>
      <c r="HO143" s="37"/>
      <c r="HP143" s="37"/>
      <c r="HQ143" s="37"/>
      <c r="HR143" s="37"/>
      <c r="HS143" s="37"/>
      <c r="HT143" s="37"/>
      <c r="HU143" s="37"/>
      <c r="HV143" s="37"/>
      <c r="HW143" s="37"/>
      <c r="HX143" s="37"/>
      <c r="HY143" s="37"/>
      <c r="HZ143" s="37"/>
      <c r="IA143" s="37"/>
      <c r="IB143" s="37"/>
      <c r="IC143" s="37"/>
    </row>
    <row r="144" spans="1:237" s="40" customFormat="1" x14ac:dyDescent="0.2">
      <c r="A144" s="62"/>
      <c r="B144" s="63"/>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c r="AU144" s="37"/>
      <c r="AV144" s="37"/>
      <c r="AW144" s="37"/>
      <c r="AX144" s="37"/>
      <c r="AY144" s="37"/>
      <c r="AZ144" s="37"/>
      <c r="BA144" s="37"/>
      <c r="BB144" s="37"/>
      <c r="BC144" s="37"/>
      <c r="BD144" s="37"/>
      <c r="BE144" s="37"/>
      <c r="BF144" s="37"/>
      <c r="BG144" s="37"/>
      <c r="BH144" s="37"/>
      <c r="BI144" s="37"/>
      <c r="BJ144" s="37"/>
      <c r="BK144" s="37"/>
      <c r="BL144" s="37"/>
      <c r="BM144" s="37"/>
      <c r="BN144" s="37"/>
      <c r="BO144" s="37"/>
      <c r="BP144" s="37"/>
      <c r="BQ144" s="37"/>
      <c r="BR144" s="37"/>
      <c r="BS144" s="37"/>
      <c r="BT144" s="37"/>
      <c r="BU144" s="37"/>
      <c r="BV144" s="37"/>
      <c r="BW144" s="37"/>
      <c r="BX144" s="37"/>
      <c r="BY144" s="37"/>
      <c r="BZ144" s="37"/>
      <c r="CA144" s="37"/>
      <c r="CB144" s="37"/>
      <c r="CC144" s="37"/>
      <c r="CD144" s="37"/>
      <c r="CE144" s="37"/>
      <c r="CF144" s="37"/>
      <c r="CG144" s="37"/>
      <c r="CH144" s="37"/>
      <c r="CI144" s="37"/>
      <c r="CJ144" s="37"/>
      <c r="CK144" s="37"/>
      <c r="CL144" s="37"/>
      <c r="CM144" s="37"/>
      <c r="CN144" s="37"/>
      <c r="CO144" s="37"/>
      <c r="CP144" s="37"/>
      <c r="CQ144" s="37"/>
      <c r="CR144" s="37"/>
      <c r="CS144" s="37"/>
      <c r="CT144" s="37"/>
      <c r="CU144" s="37"/>
      <c r="CV144" s="37"/>
      <c r="CW144" s="37"/>
      <c r="CX144" s="37"/>
      <c r="CY144" s="37"/>
      <c r="CZ144" s="37"/>
      <c r="DA144" s="37"/>
      <c r="DB144" s="37"/>
      <c r="DC144" s="37"/>
      <c r="DD144" s="37"/>
      <c r="DE144" s="37"/>
      <c r="DF144" s="37"/>
      <c r="DG144" s="37"/>
      <c r="DH144" s="37"/>
      <c r="DI144" s="37"/>
      <c r="DJ144" s="37"/>
      <c r="DK144" s="37"/>
      <c r="DL144" s="37"/>
      <c r="DM144" s="37"/>
      <c r="DN144" s="37"/>
      <c r="DO144" s="37"/>
      <c r="DP144" s="37"/>
      <c r="DQ144" s="37"/>
      <c r="DR144" s="37"/>
      <c r="DS144" s="37"/>
      <c r="DT144" s="37"/>
      <c r="DU144" s="37"/>
      <c r="DV144" s="37"/>
      <c r="DW144" s="37"/>
      <c r="DX144" s="37"/>
      <c r="DY144" s="37"/>
      <c r="DZ144" s="37"/>
      <c r="EA144" s="37"/>
      <c r="EB144" s="37"/>
      <c r="EC144" s="37"/>
      <c r="ED144" s="37"/>
      <c r="EE144" s="37"/>
      <c r="EF144" s="37"/>
      <c r="EG144" s="37"/>
      <c r="EH144" s="37"/>
      <c r="EI144" s="37"/>
      <c r="EJ144" s="37"/>
      <c r="EK144" s="37"/>
      <c r="EL144" s="37"/>
      <c r="EM144" s="37"/>
      <c r="EN144" s="37"/>
      <c r="EO144" s="37"/>
      <c r="EP144" s="37"/>
      <c r="EQ144" s="37"/>
      <c r="ER144" s="37"/>
      <c r="ES144" s="37"/>
      <c r="ET144" s="37"/>
      <c r="EU144" s="37"/>
      <c r="EV144" s="37"/>
      <c r="EW144" s="37"/>
      <c r="EX144" s="37"/>
      <c r="EY144" s="37"/>
      <c r="EZ144" s="37"/>
      <c r="FA144" s="37"/>
      <c r="FB144" s="37"/>
      <c r="FC144" s="37"/>
      <c r="FD144" s="37"/>
      <c r="FE144" s="37"/>
      <c r="FF144" s="37"/>
      <c r="FG144" s="37"/>
      <c r="FH144" s="37"/>
      <c r="FI144" s="37"/>
      <c r="FJ144" s="37"/>
      <c r="FK144" s="37"/>
      <c r="FL144" s="37"/>
      <c r="FM144" s="37"/>
      <c r="FN144" s="37"/>
      <c r="FO144" s="37"/>
      <c r="FP144" s="37"/>
      <c r="FQ144" s="37"/>
      <c r="FR144" s="37"/>
      <c r="FS144" s="37"/>
      <c r="FT144" s="37"/>
      <c r="FU144" s="37"/>
      <c r="FV144" s="37"/>
      <c r="FW144" s="37"/>
      <c r="FX144" s="37"/>
      <c r="FY144" s="37"/>
      <c r="FZ144" s="37"/>
      <c r="GA144" s="37"/>
      <c r="GB144" s="37"/>
      <c r="GC144" s="37"/>
      <c r="GD144" s="37"/>
      <c r="GE144" s="37"/>
      <c r="GF144" s="37"/>
      <c r="GG144" s="37"/>
      <c r="GH144" s="37"/>
      <c r="GI144" s="37"/>
      <c r="GJ144" s="37"/>
      <c r="GK144" s="37"/>
      <c r="GL144" s="37"/>
      <c r="GM144" s="37"/>
      <c r="GN144" s="37"/>
      <c r="GO144" s="37"/>
      <c r="GP144" s="37"/>
      <c r="GQ144" s="37"/>
      <c r="GR144" s="37"/>
      <c r="GS144" s="37"/>
      <c r="GT144" s="37"/>
      <c r="GU144" s="37"/>
      <c r="GV144" s="37"/>
      <c r="GW144" s="37"/>
      <c r="GX144" s="37"/>
      <c r="GY144" s="37"/>
      <c r="GZ144" s="37"/>
      <c r="HA144" s="37"/>
      <c r="HB144" s="37"/>
      <c r="HC144" s="37"/>
      <c r="HD144" s="37"/>
      <c r="HE144" s="37"/>
      <c r="HF144" s="37"/>
      <c r="HG144" s="37"/>
      <c r="HH144" s="37"/>
      <c r="HI144" s="37"/>
      <c r="HJ144" s="37"/>
      <c r="HK144" s="37"/>
      <c r="HL144" s="37"/>
      <c r="HM144" s="37"/>
      <c r="HN144" s="37"/>
      <c r="HO144" s="37"/>
      <c r="HP144" s="37"/>
      <c r="HQ144" s="37"/>
      <c r="HR144" s="37"/>
      <c r="HS144" s="37"/>
      <c r="HT144" s="37"/>
      <c r="HU144" s="37"/>
      <c r="HV144" s="37"/>
      <c r="HW144" s="37"/>
      <c r="HX144" s="37"/>
      <c r="HY144" s="37"/>
      <c r="HZ144" s="37"/>
      <c r="IA144" s="37"/>
      <c r="IB144" s="37"/>
      <c r="IC144" s="37"/>
    </row>
    <row r="145" spans="1:237" s="40" customFormat="1" x14ac:dyDescent="0.2">
      <c r="A145" s="62"/>
      <c r="B145" s="63"/>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c r="AU145" s="37"/>
      <c r="AV145" s="37"/>
      <c r="AW145" s="37"/>
      <c r="AX145" s="37"/>
      <c r="AY145" s="37"/>
      <c r="AZ145" s="37"/>
      <c r="BA145" s="37"/>
      <c r="BB145" s="37"/>
      <c r="BC145" s="37"/>
      <c r="BD145" s="37"/>
      <c r="BE145" s="37"/>
      <c r="BF145" s="37"/>
      <c r="BG145" s="37"/>
      <c r="BH145" s="37"/>
      <c r="BI145" s="37"/>
      <c r="BJ145" s="37"/>
      <c r="BK145" s="37"/>
      <c r="BL145" s="37"/>
      <c r="BM145" s="37"/>
      <c r="BN145" s="37"/>
      <c r="BO145" s="37"/>
      <c r="BP145" s="37"/>
      <c r="BQ145" s="37"/>
      <c r="BR145" s="37"/>
      <c r="BS145" s="37"/>
      <c r="BT145" s="37"/>
      <c r="BU145" s="37"/>
      <c r="BV145" s="37"/>
      <c r="BW145" s="37"/>
      <c r="BX145" s="37"/>
      <c r="BY145" s="37"/>
      <c r="BZ145" s="37"/>
      <c r="CA145" s="37"/>
      <c r="CB145" s="37"/>
      <c r="CC145" s="37"/>
      <c r="CD145" s="37"/>
      <c r="CE145" s="37"/>
      <c r="CF145" s="37"/>
      <c r="CG145" s="37"/>
      <c r="CH145" s="37"/>
      <c r="CI145" s="37"/>
      <c r="CJ145" s="37"/>
      <c r="CK145" s="37"/>
      <c r="CL145" s="37"/>
      <c r="CM145" s="37"/>
      <c r="CN145" s="37"/>
      <c r="CO145" s="37"/>
      <c r="CP145" s="37"/>
      <c r="CQ145" s="37"/>
      <c r="CR145" s="37"/>
      <c r="CS145" s="37"/>
      <c r="CT145" s="37"/>
      <c r="CU145" s="37"/>
      <c r="CV145" s="37"/>
      <c r="CW145" s="37"/>
      <c r="CX145" s="37"/>
      <c r="CY145" s="37"/>
      <c r="CZ145" s="37"/>
      <c r="DA145" s="37"/>
      <c r="DB145" s="37"/>
      <c r="DC145" s="37"/>
      <c r="DD145" s="37"/>
      <c r="DE145" s="37"/>
      <c r="DF145" s="37"/>
      <c r="DG145" s="37"/>
      <c r="DH145" s="37"/>
      <c r="DI145" s="37"/>
      <c r="DJ145" s="37"/>
      <c r="DK145" s="37"/>
      <c r="DL145" s="37"/>
      <c r="DM145" s="37"/>
      <c r="DN145" s="37"/>
      <c r="DO145" s="37"/>
      <c r="DP145" s="37"/>
      <c r="DQ145" s="37"/>
      <c r="DR145" s="37"/>
      <c r="DS145" s="37"/>
      <c r="DT145" s="37"/>
      <c r="DU145" s="37"/>
      <c r="DV145" s="37"/>
      <c r="DW145" s="37"/>
      <c r="DX145" s="37"/>
      <c r="DY145" s="37"/>
      <c r="DZ145" s="37"/>
      <c r="EA145" s="37"/>
      <c r="EB145" s="37"/>
      <c r="EC145" s="37"/>
      <c r="ED145" s="37"/>
      <c r="EE145" s="37"/>
      <c r="EF145" s="37"/>
      <c r="EG145" s="37"/>
      <c r="EH145" s="37"/>
      <c r="EI145" s="37"/>
      <c r="EJ145" s="37"/>
      <c r="EK145" s="37"/>
      <c r="EL145" s="37"/>
      <c r="EM145" s="37"/>
      <c r="EN145" s="37"/>
      <c r="EO145" s="37"/>
      <c r="EP145" s="37"/>
      <c r="EQ145" s="37"/>
      <c r="ER145" s="37"/>
      <c r="ES145" s="37"/>
      <c r="ET145" s="37"/>
      <c r="EU145" s="37"/>
      <c r="EV145" s="37"/>
      <c r="EW145" s="37"/>
      <c r="EX145" s="37"/>
      <c r="EY145" s="37"/>
      <c r="EZ145" s="37"/>
      <c r="FA145" s="37"/>
      <c r="FB145" s="37"/>
      <c r="FC145" s="37"/>
      <c r="FD145" s="37"/>
      <c r="FE145" s="37"/>
      <c r="FF145" s="37"/>
      <c r="FG145" s="37"/>
      <c r="FH145" s="37"/>
      <c r="FI145" s="37"/>
      <c r="FJ145" s="37"/>
      <c r="FK145" s="37"/>
      <c r="FL145" s="37"/>
      <c r="FM145" s="37"/>
      <c r="FN145" s="37"/>
      <c r="FO145" s="37"/>
      <c r="FP145" s="37"/>
      <c r="FQ145" s="37"/>
      <c r="FR145" s="37"/>
      <c r="FS145" s="37"/>
      <c r="FT145" s="37"/>
      <c r="FU145" s="37"/>
      <c r="FV145" s="37"/>
      <c r="FW145" s="37"/>
      <c r="FX145" s="37"/>
      <c r="FY145" s="37"/>
      <c r="FZ145" s="37"/>
      <c r="GA145" s="37"/>
      <c r="GB145" s="37"/>
      <c r="GC145" s="37"/>
      <c r="GD145" s="37"/>
      <c r="GE145" s="37"/>
      <c r="GF145" s="37"/>
      <c r="GG145" s="37"/>
      <c r="GH145" s="37"/>
      <c r="GI145" s="37"/>
      <c r="GJ145" s="37"/>
      <c r="GK145" s="37"/>
      <c r="GL145" s="37"/>
      <c r="GM145" s="37"/>
      <c r="GN145" s="37"/>
      <c r="GO145" s="37"/>
      <c r="GP145" s="37"/>
      <c r="GQ145" s="37"/>
      <c r="GR145" s="37"/>
      <c r="GS145" s="37"/>
      <c r="GT145" s="37"/>
      <c r="GU145" s="37"/>
      <c r="GV145" s="37"/>
      <c r="GW145" s="37"/>
      <c r="GX145" s="37"/>
      <c r="GY145" s="37"/>
      <c r="GZ145" s="37"/>
      <c r="HA145" s="37"/>
      <c r="HB145" s="37"/>
      <c r="HC145" s="37"/>
      <c r="HD145" s="37"/>
      <c r="HE145" s="37"/>
      <c r="HF145" s="37"/>
      <c r="HG145" s="37"/>
      <c r="HH145" s="37"/>
      <c r="HI145" s="37"/>
      <c r="HJ145" s="37"/>
      <c r="HK145" s="37"/>
      <c r="HL145" s="37"/>
      <c r="HM145" s="37"/>
      <c r="HN145" s="37"/>
      <c r="HO145" s="37"/>
      <c r="HP145" s="37"/>
      <c r="HQ145" s="37"/>
      <c r="HR145" s="37"/>
      <c r="HS145" s="37"/>
      <c r="HT145" s="37"/>
      <c r="HU145" s="37"/>
      <c r="HV145" s="37"/>
      <c r="HW145" s="37"/>
      <c r="HX145" s="37"/>
      <c r="HY145" s="37"/>
      <c r="HZ145" s="37"/>
      <c r="IA145" s="37"/>
      <c r="IB145" s="37"/>
      <c r="IC145" s="37"/>
    </row>
    <row r="146" spans="1:237" s="40" customFormat="1" x14ac:dyDescent="0.2">
      <c r="A146" s="62"/>
      <c r="B146" s="63"/>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c r="AU146" s="37"/>
      <c r="AV146" s="37"/>
      <c r="AW146" s="37"/>
      <c r="AX146" s="37"/>
      <c r="AY146" s="37"/>
      <c r="AZ146" s="37"/>
      <c r="BA146" s="37"/>
      <c r="BB146" s="37"/>
      <c r="BC146" s="37"/>
      <c r="BD146" s="37"/>
      <c r="BE146" s="37"/>
      <c r="BF146" s="37"/>
      <c r="BG146" s="37"/>
      <c r="BH146" s="37"/>
      <c r="BI146" s="37"/>
      <c r="BJ146" s="37"/>
      <c r="BK146" s="37"/>
      <c r="BL146" s="37"/>
      <c r="BM146" s="37"/>
      <c r="BN146" s="37"/>
      <c r="BO146" s="37"/>
      <c r="BP146" s="37"/>
      <c r="BQ146" s="37"/>
      <c r="BR146" s="37"/>
      <c r="BS146" s="37"/>
      <c r="BT146" s="37"/>
      <c r="BU146" s="37"/>
      <c r="BV146" s="37"/>
      <c r="BW146" s="37"/>
      <c r="BX146" s="37"/>
      <c r="BY146" s="37"/>
      <c r="BZ146" s="37"/>
      <c r="CA146" s="37"/>
      <c r="CB146" s="37"/>
      <c r="CC146" s="37"/>
      <c r="CD146" s="37"/>
      <c r="CE146" s="37"/>
      <c r="CF146" s="37"/>
      <c r="CG146" s="37"/>
      <c r="CH146" s="37"/>
      <c r="CI146" s="37"/>
      <c r="CJ146" s="37"/>
      <c r="CK146" s="37"/>
      <c r="CL146" s="37"/>
      <c r="CM146" s="37"/>
      <c r="CN146" s="37"/>
      <c r="CO146" s="37"/>
      <c r="CP146" s="37"/>
      <c r="CQ146" s="37"/>
      <c r="CR146" s="37"/>
      <c r="CS146" s="37"/>
      <c r="CT146" s="37"/>
      <c r="CU146" s="37"/>
      <c r="CV146" s="37"/>
      <c r="CW146" s="37"/>
      <c r="CX146" s="37"/>
      <c r="CY146" s="37"/>
      <c r="CZ146" s="37"/>
      <c r="DA146" s="37"/>
      <c r="DB146" s="37"/>
      <c r="DC146" s="37"/>
      <c r="DD146" s="37"/>
      <c r="DE146" s="37"/>
      <c r="DF146" s="37"/>
      <c r="DG146" s="37"/>
      <c r="DH146" s="37"/>
      <c r="DI146" s="37"/>
      <c r="DJ146" s="37"/>
      <c r="DK146" s="37"/>
      <c r="DL146" s="37"/>
      <c r="DM146" s="37"/>
      <c r="DN146" s="37"/>
      <c r="DO146" s="37"/>
      <c r="DP146" s="37"/>
      <c r="DQ146" s="37"/>
      <c r="DR146" s="37"/>
      <c r="DS146" s="37"/>
      <c r="DT146" s="37"/>
      <c r="DU146" s="37"/>
      <c r="DV146" s="37"/>
      <c r="DW146" s="37"/>
      <c r="DX146" s="37"/>
      <c r="DY146" s="37"/>
      <c r="DZ146" s="37"/>
      <c r="EA146" s="37"/>
      <c r="EB146" s="37"/>
      <c r="EC146" s="37"/>
      <c r="ED146" s="37"/>
      <c r="EE146" s="37"/>
      <c r="EF146" s="37"/>
      <c r="EG146" s="37"/>
      <c r="EH146" s="37"/>
      <c r="EI146" s="37"/>
      <c r="EJ146" s="37"/>
      <c r="EK146" s="37"/>
      <c r="EL146" s="37"/>
      <c r="EM146" s="37"/>
      <c r="EN146" s="37"/>
      <c r="EO146" s="37"/>
      <c r="EP146" s="37"/>
      <c r="EQ146" s="37"/>
      <c r="ER146" s="37"/>
      <c r="ES146" s="37"/>
      <c r="ET146" s="37"/>
      <c r="EU146" s="37"/>
      <c r="EV146" s="37"/>
      <c r="EW146" s="37"/>
      <c r="EX146" s="37"/>
      <c r="EY146" s="37"/>
      <c r="EZ146" s="37"/>
      <c r="FA146" s="37"/>
      <c r="FB146" s="37"/>
      <c r="FC146" s="37"/>
      <c r="FD146" s="37"/>
      <c r="FE146" s="37"/>
      <c r="FF146" s="37"/>
      <c r="FG146" s="37"/>
      <c r="FH146" s="37"/>
      <c r="FI146" s="37"/>
      <c r="FJ146" s="37"/>
      <c r="FK146" s="37"/>
      <c r="FL146" s="37"/>
      <c r="FM146" s="37"/>
      <c r="FN146" s="37"/>
      <c r="FO146" s="37"/>
      <c r="FP146" s="37"/>
      <c r="FQ146" s="37"/>
      <c r="FR146" s="37"/>
      <c r="FS146" s="37"/>
      <c r="FT146" s="37"/>
      <c r="FU146" s="37"/>
      <c r="FV146" s="37"/>
      <c r="FW146" s="37"/>
      <c r="FX146" s="37"/>
      <c r="FY146" s="37"/>
      <c r="FZ146" s="37"/>
      <c r="GA146" s="37"/>
      <c r="GB146" s="37"/>
      <c r="GC146" s="37"/>
      <c r="GD146" s="37"/>
      <c r="GE146" s="37"/>
      <c r="GF146" s="37"/>
      <c r="GG146" s="37"/>
      <c r="GH146" s="37"/>
      <c r="GI146" s="37"/>
      <c r="GJ146" s="37"/>
      <c r="GK146" s="37"/>
      <c r="GL146" s="37"/>
      <c r="GM146" s="37"/>
      <c r="GN146" s="37"/>
      <c r="GO146" s="37"/>
      <c r="GP146" s="37"/>
      <c r="GQ146" s="37"/>
      <c r="GR146" s="37"/>
      <c r="GS146" s="37"/>
      <c r="GT146" s="37"/>
      <c r="GU146" s="37"/>
      <c r="GV146" s="37"/>
      <c r="GW146" s="37"/>
      <c r="GX146" s="37"/>
      <c r="GY146" s="37"/>
      <c r="GZ146" s="37"/>
      <c r="HA146" s="37"/>
      <c r="HB146" s="37"/>
      <c r="HC146" s="37"/>
      <c r="HD146" s="37"/>
      <c r="HE146" s="37"/>
      <c r="HF146" s="37"/>
      <c r="HG146" s="37"/>
      <c r="HH146" s="37"/>
      <c r="HI146" s="37"/>
      <c r="HJ146" s="37"/>
      <c r="HK146" s="37"/>
      <c r="HL146" s="37"/>
      <c r="HM146" s="37"/>
      <c r="HN146" s="37"/>
      <c r="HO146" s="37"/>
      <c r="HP146" s="37"/>
      <c r="HQ146" s="37"/>
      <c r="HR146" s="37"/>
      <c r="HS146" s="37"/>
      <c r="HT146" s="37"/>
      <c r="HU146" s="37"/>
      <c r="HV146" s="37"/>
      <c r="HW146" s="37"/>
      <c r="HX146" s="37"/>
      <c r="HY146" s="37"/>
      <c r="HZ146" s="37"/>
      <c r="IA146" s="37"/>
      <c r="IB146" s="37"/>
      <c r="IC146" s="37"/>
    </row>
    <row r="147" spans="1:237" s="40" customFormat="1" x14ac:dyDescent="0.2">
      <c r="A147" s="62"/>
      <c r="B147" s="63"/>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37"/>
      <c r="AX147" s="37"/>
      <c r="AY147" s="37"/>
      <c r="AZ147" s="37"/>
      <c r="BA147" s="37"/>
      <c r="BB147" s="37"/>
      <c r="BC147" s="37"/>
      <c r="BD147" s="37"/>
      <c r="BE147" s="37"/>
      <c r="BF147" s="37"/>
      <c r="BG147" s="37"/>
      <c r="BH147" s="37"/>
      <c r="BI147" s="37"/>
      <c r="BJ147" s="37"/>
      <c r="BK147" s="37"/>
      <c r="BL147" s="37"/>
      <c r="BM147" s="37"/>
      <c r="BN147" s="37"/>
      <c r="BO147" s="37"/>
      <c r="BP147" s="37"/>
      <c r="BQ147" s="37"/>
      <c r="BR147" s="37"/>
      <c r="BS147" s="37"/>
      <c r="BT147" s="37"/>
      <c r="BU147" s="37"/>
      <c r="BV147" s="37"/>
      <c r="BW147" s="37"/>
      <c r="BX147" s="37"/>
      <c r="BY147" s="37"/>
      <c r="BZ147" s="37"/>
      <c r="CA147" s="37"/>
      <c r="CB147" s="37"/>
      <c r="CC147" s="37"/>
      <c r="CD147" s="37"/>
      <c r="CE147" s="37"/>
      <c r="CF147" s="37"/>
      <c r="CG147" s="37"/>
      <c r="CH147" s="37"/>
      <c r="CI147" s="37"/>
      <c r="CJ147" s="37"/>
      <c r="CK147" s="37"/>
      <c r="CL147" s="37"/>
      <c r="CM147" s="37"/>
      <c r="CN147" s="37"/>
      <c r="CO147" s="37"/>
      <c r="CP147" s="37"/>
      <c r="CQ147" s="37"/>
      <c r="CR147" s="37"/>
      <c r="CS147" s="37"/>
      <c r="CT147" s="37"/>
      <c r="CU147" s="37"/>
      <c r="CV147" s="37"/>
      <c r="CW147" s="37"/>
      <c r="CX147" s="37"/>
      <c r="CY147" s="37"/>
      <c r="CZ147" s="37"/>
      <c r="DA147" s="37"/>
      <c r="DB147" s="37"/>
      <c r="DC147" s="37"/>
      <c r="DD147" s="37"/>
      <c r="DE147" s="37"/>
      <c r="DF147" s="37"/>
      <c r="DG147" s="37"/>
      <c r="DH147" s="37"/>
      <c r="DI147" s="37"/>
      <c r="DJ147" s="37"/>
      <c r="DK147" s="37"/>
      <c r="DL147" s="37"/>
      <c r="DM147" s="37"/>
      <c r="DN147" s="37"/>
      <c r="DO147" s="37"/>
      <c r="DP147" s="37"/>
      <c r="DQ147" s="37"/>
      <c r="DR147" s="37"/>
      <c r="DS147" s="37"/>
      <c r="DT147" s="37"/>
      <c r="DU147" s="37"/>
      <c r="DV147" s="37"/>
      <c r="DW147" s="37"/>
      <c r="DX147" s="37"/>
      <c r="DY147" s="37"/>
      <c r="DZ147" s="37"/>
      <c r="EA147" s="37"/>
      <c r="EB147" s="37"/>
      <c r="EC147" s="37"/>
      <c r="ED147" s="37"/>
      <c r="EE147" s="37"/>
      <c r="EF147" s="37"/>
      <c r="EG147" s="37"/>
      <c r="EH147" s="37"/>
      <c r="EI147" s="37"/>
      <c r="EJ147" s="37"/>
      <c r="EK147" s="37"/>
      <c r="EL147" s="37"/>
      <c r="EM147" s="37"/>
      <c r="EN147" s="37"/>
      <c r="EO147" s="37"/>
      <c r="EP147" s="37"/>
      <c r="EQ147" s="37"/>
      <c r="ER147" s="37"/>
      <c r="ES147" s="37"/>
      <c r="ET147" s="37"/>
      <c r="EU147" s="37"/>
      <c r="EV147" s="37"/>
      <c r="EW147" s="37"/>
      <c r="EX147" s="37"/>
      <c r="EY147" s="37"/>
      <c r="EZ147" s="37"/>
      <c r="FA147" s="37"/>
      <c r="FB147" s="37"/>
      <c r="FC147" s="37"/>
      <c r="FD147" s="37"/>
      <c r="FE147" s="37"/>
      <c r="FF147" s="37"/>
      <c r="FG147" s="37"/>
      <c r="FH147" s="37"/>
      <c r="FI147" s="37"/>
      <c r="FJ147" s="37"/>
      <c r="FK147" s="37"/>
      <c r="FL147" s="37"/>
      <c r="FM147" s="37"/>
      <c r="FN147" s="37"/>
      <c r="FO147" s="37"/>
      <c r="FP147" s="37"/>
      <c r="FQ147" s="37"/>
      <c r="FR147" s="37"/>
      <c r="FS147" s="37"/>
      <c r="FT147" s="37"/>
      <c r="FU147" s="37"/>
      <c r="FV147" s="37"/>
      <c r="FW147" s="37"/>
      <c r="FX147" s="37"/>
      <c r="FY147" s="37"/>
      <c r="FZ147" s="37"/>
      <c r="GA147" s="37"/>
      <c r="GB147" s="37"/>
      <c r="GC147" s="37"/>
      <c r="GD147" s="37"/>
      <c r="GE147" s="37"/>
      <c r="GF147" s="37"/>
      <c r="GG147" s="37"/>
      <c r="GH147" s="37"/>
      <c r="GI147" s="37"/>
      <c r="GJ147" s="37"/>
      <c r="GK147" s="37"/>
      <c r="GL147" s="37"/>
      <c r="GM147" s="37"/>
      <c r="GN147" s="37"/>
      <c r="GO147" s="37"/>
      <c r="GP147" s="37"/>
      <c r="GQ147" s="37"/>
      <c r="GR147" s="37"/>
      <c r="GS147" s="37"/>
      <c r="GT147" s="37"/>
      <c r="GU147" s="37"/>
      <c r="GV147" s="37"/>
      <c r="GW147" s="37"/>
      <c r="GX147" s="37"/>
      <c r="GY147" s="37"/>
      <c r="GZ147" s="37"/>
      <c r="HA147" s="37"/>
      <c r="HB147" s="37"/>
      <c r="HC147" s="37"/>
      <c r="HD147" s="37"/>
      <c r="HE147" s="37"/>
      <c r="HF147" s="37"/>
      <c r="HG147" s="37"/>
      <c r="HH147" s="37"/>
      <c r="HI147" s="37"/>
      <c r="HJ147" s="37"/>
      <c r="HK147" s="37"/>
      <c r="HL147" s="37"/>
      <c r="HM147" s="37"/>
      <c r="HN147" s="37"/>
      <c r="HO147" s="37"/>
      <c r="HP147" s="37"/>
      <c r="HQ147" s="37"/>
      <c r="HR147" s="37"/>
      <c r="HS147" s="37"/>
      <c r="HT147" s="37"/>
      <c r="HU147" s="37"/>
      <c r="HV147" s="37"/>
      <c r="HW147" s="37"/>
      <c r="HX147" s="37"/>
      <c r="HY147" s="37"/>
      <c r="HZ147" s="37"/>
      <c r="IA147" s="37"/>
      <c r="IB147" s="37"/>
      <c r="IC147" s="37"/>
    </row>
    <row r="148" spans="1:237" s="40" customFormat="1" x14ac:dyDescent="0.2">
      <c r="A148" s="62"/>
      <c r="B148" s="63"/>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7"/>
      <c r="BC148" s="37"/>
      <c r="BD148" s="37"/>
      <c r="BE148" s="37"/>
      <c r="BF148" s="37"/>
      <c r="BG148" s="37"/>
      <c r="BH148" s="37"/>
      <c r="BI148" s="37"/>
      <c r="BJ148" s="37"/>
      <c r="BK148" s="37"/>
      <c r="BL148" s="37"/>
      <c r="BM148" s="37"/>
      <c r="BN148" s="37"/>
      <c r="BO148" s="37"/>
      <c r="BP148" s="37"/>
      <c r="BQ148" s="37"/>
      <c r="BR148" s="37"/>
      <c r="BS148" s="37"/>
      <c r="BT148" s="37"/>
      <c r="BU148" s="37"/>
      <c r="BV148" s="37"/>
      <c r="BW148" s="37"/>
      <c r="BX148" s="37"/>
      <c r="BY148" s="37"/>
      <c r="BZ148" s="37"/>
      <c r="CA148" s="37"/>
      <c r="CB148" s="37"/>
      <c r="CC148" s="37"/>
      <c r="CD148" s="37"/>
      <c r="CE148" s="37"/>
      <c r="CF148" s="37"/>
      <c r="CG148" s="37"/>
      <c r="CH148" s="37"/>
      <c r="CI148" s="37"/>
      <c r="CJ148" s="37"/>
      <c r="CK148" s="37"/>
      <c r="CL148" s="37"/>
      <c r="CM148" s="37"/>
      <c r="CN148" s="37"/>
      <c r="CO148" s="37"/>
      <c r="CP148" s="37"/>
      <c r="CQ148" s="37"/>
      <c r="CR148" s="37"/>
      <c r="CS148" s="37"/>
      <c r="CT148" s="37"/>
      <c r="CU148" s="37"/>
      <c r="CV148" s="37"/>
      <c r="CW148" s="37"/>
      <c r="CX148" s="37"/>
      <c r="CY148" s="37"/>
      <c r="CZ148" s="37"/>
      <c r="DA148" s="37"/>
      <c r="DB148" s="37"/>
      <c r="DC148" s="37"/>
      <c r="DD148" s="37"/>
      <c r="DE148" s="37"/>
      <c r="DF148" s="37"/>
      <c r="DG148" s="37"/>
      <c r="DH148" s="37"/>
      <c r="DI148" s="37"/>
      <c r="DJ148" s="37"/>
      <c r="DK148" s="37"/>
      <c r="DL148" s="37"/>
      <c r="DM148" s="37"/>
      <c r="DN148" s="37"/>
      <c r="DO148" s="37"/>
      <c r="DP148" s="37"/>
      <c r="DQ148" s="37"/>
      <c r="DR148" s="37"/>
      <c r="DS148" s="37"/>
      <c r="DT148" s="37"/>
      <c r="DU148" s="37"/>
      <c r="DV148" s="37"/>
      <c r="DW148" s="37"/>
      <c r="DX148" s="37"/>
      <c r="DY148" s="37"/>
      <c r="DZ148" s="37"/>
      <c r="EA148" s="37"/>
      <c r="EB148" s="37"/>
      <c r="EC148" s="37"/>
      <c r="ED148" s="37"/>
      <c r="EE148" s="37"/>
      <c r="EF148" s="37"/>
      <c r="EG148" s="37"/>
      <c r="EH148" s="37"/>
      <c r="EI148" s="37"/>
      <c r="EJ148" s="37"/>
      <c r="EK148" s="37"/>
      <c r="EL148" s="37"/>
      <c r="EM148" s="37"/>
      <c r="EN148" s="37"/>
      <c r="EO148" s="37"/>
      <c r="EP148" s="37"/>
      <c r="EQ148" s="37"/>
      <c r="ER148" s="37"/>
      <c r="ES148" s="37"/>
      <c r="ET148" s="37"/>
      <c r="EU148" s="37"/>
      <c r="EV148" s="37"/>
      <c r="EW148" s="37"/>
      <c r="EX148" s="37"/>
      <c r="EY148" s="37"/>
      <c r="EZ148" s="37"/>
      <c r="FA148" s="37"/>
      <c r="FB148" s="37"/>
      <c r="FC148" s="37"/>
      <c r="FD148" s="37"/>
      <c r="FE148" s="37"/>
      <c r="FF148" s="37"/>
      <c r="FG148" s="37"/>
      <c r="FH148" s="37"/>
      <c r="FI148" s="37"/>
      <c r="FJ148" s="37"/>
      <c r="FK148" s="37"/>
      <c r="FL148" s="37"/>
      <c r="FM148" s="37"/>
      <c r="FN148" s="37"/>
      <c r="FO148" s="37"/>
      <c r="FP148" s="37"/>
      <c r="FQ148" s="37"/>
      <c r="FR148" s="37"/>
      <c r="FS148" s="37"/>
      <c r="FT148" s="37"/>
      <c r="FU148" s="37"/>
      <c r="FV148" s="37"/>
      <c r="FW148" s="37"/>
      <c r="FX148" s="37"/>
      <c r="FY148" s="37"/>
      <c r="FZ148" s="37"/>
      <c r="GA148" s="37"/>
      <c r="GB148" s="37"/>
      <c r="GC148" s="37"/>
      <c r="GD148" s="37"/>
      <c r="GE148" s="37"/>
      <c r="GF148" s="37"/>
      <c r="GG148" s="37"/>
      <c r="GH148" s="37"/>
      <c r="GI148" s="37"/>
      <c r="GJ148" s="37"/>
      <c r="GK148" s="37"/>
      <c r="GL148" s="37"/>
      <c r="GM148" s="37"/>
      <c r="GN148" s="37"/>
      <c r="GO148" s="37"/>
      <c r="GP148" s="37"/>
      <c r="GQ148" s="37"/>
      <c r="GR148" s="37"/>
      <c r="GS148" s="37"/>
      <c r="GT148" s="37"/>
      <c r="GU148" s="37"/>
      <c r="GV148" s="37"/>
      <c r="GW148" s="37"/>
      <c r="GX148" s="37"/>
      <c r="GY148" s="37"/>
      <c r="GZ148" s="37"/>
      <c r="HA148" s="37"/>
      <c r="HB148" s="37"/>
      <c r="HC148" s="37"/>
      <c r="HD148" s="37"/>
      <c r="HE148" s="37"/>
      <c r="HF148" s="37"/>
      <c r="HG148" s="37"/>
      <c r="HH148" s="37"/>
      <c r="HI148" s="37"/>
      <c r="HJ148" s="37"/>
      <c r="HK148" s="37"/>
      <c r="HL148" s="37"/>
      <c r="HM148" s="37"/>
      <c r="HN148" s="37"/>
      <c r="HO148" s="37"/>
      <c r="HP148" s="37"/>
      <c r="HQ148" s="37"/>
      <c r="HR148" s="37"/>
      <c r="HS148" s="37"/>
      <c r="HT148" s="37"/>
      <c r="HU148" s="37"/>
      <c r="HV148" s="37"/>
      <c r="HW148" s="37"/>
      <c r="HX148" s="37"/>
      <c r="HY148" s="37"/>
      <c r="HZ148" s="37"/>
      <c r="IA148" s="37"/>
      <c r="IB148" s="37"/>
      <c r="IC148" s="37"/>
    </row>
    <row r="149" spans="1:237" s="40" customFormat="1" x14ac:dyDescent="0.2">
      <c r="A149" s="62"/>
      <c r="B149" s="63"/>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c r="BC149" s="37"/>
      <c r="BD149" s="37"/>
      <c r="BE149" s="37"/>
      <c r="BF149" s="37"/>
      <c r="BG149" s="37"/>
      <c r="BH149" s="37"/>
      <c r="BI149" s="37"/>
      <c r="BJ149" s="37"/>
      <c r="BK149" s="37"/>
      <c r="BL149" s="37"/>
      <c r="BM149" s="37"/>
      <c r="BN149" s="37"/>
      <c r="BO149" s="37"/>
      <c r="BP149" s="37"/>
      <c r="BQ149" s="37"/>
      <c r="BR149" s="37"/>
      <c r="BS149" s="37"/>
      <c r="BT149" s="37"/>
      <c r="BU149" s="37"/>
      <c r="BV149" s="37"/>
      <c r="BW149" s="37"/>
      <c r="BX149" s="37"/>
      <c r="BY149" s="37"/>
      <c r="BZ149" s="37"/>
      <c r="CA149" s="37"/>
      <c r="CB149" s="37"/>
      <c r="CC149" s="37"/>
      <c r="CD149" s="37"/>
      <c r="CE149" s="37"/>
      <c r="CF149" s="37"/>
      <c r="CG149" s="37"/>
      <c r="CH149" s="37"/>
      <c r="CI149" s="37"/>
      <c r="CJ149" s="37"/>
      <c r="CK149" s="37"/>
      <c r="CL149" s="37"/>
      <c r="CM149" s="37"/>
      <c r="CN149" s="37"/>
      <c r="CO149" s="37"/>
      <c r="CP149" s="37"/>
      <c r="CQ149" s="37"/>
      <c r="CR149" s="37"/>
      <c r="CS149" s="37"/>
      <c r="CT149" s="37"/>
      <c r="CU149" s="37"/>
      <c r="CV149" s="37"/>
      <c r="CW149" s="37"/>
      <c r="CX149" s="37"/>
      <c r="CY149" s="37"/>
      <c r="CZ149" s="37"/>
      <c r="DA149" s="37"/>
      <c r="DB149" s="37"/>
      <c r="DC149" s="37"/>
      <c r="DD149" s="37"/>
      <c r="DE149" s="37"/>
      <c r="DF149" s="37"/>
      <c r="DG149" s="37"/>
      <c r="DH149" s="37"/>
      <c r="DI149" s="37"/>
      <c r="DJ149" s="37"/>
      <c r="DK149" s="37"/>
      <c r="DL149" s="37"/>
      <c r="DM149" s="37"/>
      <c r="DN149" s="37"/>
      <c r="DO149" s="37"/>
      <c r="DP149" s="37"/>
      <c r="DQ149" s="37"/>
      <c r="DR149" s="37"/>
      <c r="DS149" s="37"/>
      <c r="DT149" s="37"/>
      <c r="DU149" s="37"/>
      <c r="DV149" s="37"/>
      <c r="DW149" s="37"/>
      <c r="DX149" s="37"/>
      <c r="DY149" s="37"/>
      <c r="DZ149" s="37"/>
      <c r="EA149" s="37"/>
      <c r="EB149" s="37"/>
      <c r="EC149" s="37"/>
      <c r="ED149" s="37"/>
      <c r="EE149" s="37"/>
      <c r="EF149" s="37"/>
      <c r="EG149" s="37"/>
      <c r="EH149" s="37"/>
      <c r="EI149" s="37"/>
      <c r="EJ149" s="37"/>
      <c r="EK149" s="37"/>
      <c r="EL149" s="37"/>
      <c r="EM149" s="37"/>
      <c r="EN149" s="37"/>
      <c r="EO149" s="37"/>
      <c r="EP149" s="37"/>
      <c r="EQ149" s="37"/>
      <c r="ER149" s="37"/>
      <c r="ES149" s="37"/>
      <c r="ET149" s="37"/>
      <c r="EU149" s="37"/>
      <c r="EV149" s="37"/>
      <c r="EW149" s="37"/>
      <c r="EX149" s="37"/>
      <c r="EY149" s="37"/>
      <c r="EZ149" s="37"/>
      <c r="FA149" s="37"/>
      <c r="FB149" s="37"/>
      <c r="FC149" s="37"/>
      <c r="FD149" s="37"/>
      <c r="FE149" s="37"/>
      <c r="FF149" s="37"/>
      <c r="FG149" s="37"/>
      <c r="FH149" s="37"/>
      <c r="FI149" s="37"/>
      <c r="FJ149" s="37"/>
      <c r="FK149" s="37"/>
      <c r="FL149" s="37"/>
      <c r="FM149" s="37"/>
      <c r="FN149" s="37"/>
      <c r="FO149" s="37"/>
      <c r="FP149" s="37"/>
      <c r="FQ149" s="37"/>
      <c r="FR149" s="37"/>
      <c r="FS149" s="37"/>
      <c r="FT149" s="37"/>
      <c r="FU149" s="37"/>
      <c r="FV149" s="37"/>
      <c r="FW149" s="37"/>
      <c r="FX149" s="37"/>
      <c r="FY149" s="37"/>
      <c r="FZ149" s="37"/>
      <c r="GA149" s="37"/>
      <c r="GB149" s="37"/>
      <c r="GC149" s="37"/>
      <c r="GD149" s="37"/>
      <c r="GE149" s="37"/>
      <c r="GF149" s="37"/>
      <c r="GG149" s="37"/>
      <c r="GH149" s="37"/>
      <c r="GI149" s="37"/>
      <c r="GJ149" s="37"/>
      <c r="GK149" s="37"/>
      <c r="GL149" s="37"/>
      <c r="GM149" s="37"/>
      <c r="GN149" s="37"/>
      <c r="GO149" s="37"/>
      <c r="GP149" s="37"/>
      <c r="GQ149" s="37"/>
      <c r="GR149" s="37"/>
      <c r="GS149" s="37"/>
      <c r="GT149" s="37"/>
      <c r="GU149" s="37"/>
      <c r="GV149" s="37"/>
      <c r="GW149" s="37"/>
      <c r="GX149" s="37"/>
      <c r="GY149" s="37"/>
      <c r="GZ149" s="37"/>
      <c r="HA149" s="37"/>
      <c r="HB149" s="37"/>
      <c r="HC149" s="37"/>
      <c r="HD149" s="37"/>
      <c r="HE149" s="37"/>
      <c r="HF149" s="37"/>
      <c r="HG149" s="37"/>
      <c r="HH149" s="37"/>
      <c r="HI149" s="37"/>
      <c r="HJ149" s="37"/>
      <c r="HK149" s="37"/>
      <c r="HL149" s="37"/>
      <c r="HM149" s="37"/>
      <c r="HN149" s="37"/>
      <c r="HO149" s="37"/>
      <c r="HP149" s="37"/>
      <c r="HQ149" s="37"/>
      <c r="HR149" s="37"/>
      <c r="HS149" s="37"/>
      <c r="HT149" s="37"/>
      <c r="HU149" s="37"/>
      <c r="HV149" s="37"/>
      <c r="HW149" s="37"/>
      <c r="HX149" s="37"/>
      <c r="HY149" s="37"/>
      <c r="HZ149" s="37"/>
      <c r="IA149" s="37"/>
      <c r="IB149" s="37"/>
      <c r="IC149" s="37"/>
    </row>
    <row r="150" spans="1:237" s="40" customFormat="1" x14ac:dyDescent="0.2">
      <c r="A150" s="62"/>
      <c r="B150" s="63"/>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37"/>
      <c r="AX150" s="37"/>
      <c r="AY150" s="37"/>
      <c r="AZ150" s="37"/>
      <c r="BA150" s="37"/>
      <c r="BB150" s="37"/>
      <c r="BC150" s="37"/>
      <c r="BD150" s="37"/>
      <c r="BE150" s="37"/>
      <c r="BF150" s="37"/>
      <c r="BG150" s="37"/>
      <c r="BH150" s="37"/>
      <c r="BI150" s="37"/>
      <c r="BJ150" s="37"/>
      <c r="BK150" s="37"/>
      <c r="BL150" s="37"/>
      <c r="BM150" s="37"/>
      <c r="BN150" s="37"/>
      <c r="BO150" s="37"/>
      <c r="BP150" s="37"/>
      <c r="BQ150" s="37"/>
      <c r="BR150" s="37"/>
      <c r="BS150" s="37"/>
      <c r="BT150" s="37"/>
      <c r="BU150" s="37"/>
      <c r="BV150" s="37"/>
      <c r="BW150" s="37"/>
      <c r="BX150" s="37"/>
      <c r="BY150" s="37"/>
      <c r="BZ150" s="37"/>
      <c r="CA150" s="37"/>
      <c r="CB150" s="37"/>
      <c r="CC150" s="37"/>
      <c r="CD150" s="37"/>
      <c r="CE150" s="37"/>
      <c r="CF150" s="37"/>
      <c r="CG150" s="37"/>
      <c r="CH150" s="37"/>
      <c r="CI150" s="37"/>
      <c r="CJ150" s="37"/>
      <c r="CK150" s="37"/>
      <c r="CL150" s="37"/>
      <c r="CM150" s="37"/>
      <c r="CN150" s="37"/>
      <c r="CO150" s="37"/>
      <c r="CP150" s="37"/>
      <c r="CQ150" s="37"/>
      <c r="CR150" s="37"/>
      <c r="CS150" s="37"/>
      <c r="CT150" s="37"/>
      <c r="CU150" s="37"/>
      <c r="CV150" s="37"/>
      <c r="CW150" s="37"/>
      <c r="CX150" s="37"/>
      <c r="CY150" s="37"/>
      <c r="CZ150" s="37"/>
      <c r="DA150" s="37"/>
      <c r="DB150" s="37"/>
      <c r="DC150" s="37"/>
      <c r="DD150" s="37"/>
      <c r="DE150" s="37"/>
      <c r="DF150" s="37"/>
      <c r="DG150" s="37"/>
      <c r="DH150" s="37"/>
      <c r="DI150" s="37"/>
      <c r="DJ150" s="37"/>
      <c r="DK150" s="37"/>
      <c r="DL150" s="37"/>
      <c r="DM150" s="37"/>
      <c r="DN150" s="37"/>
      <c r="DO150" s="37"/>
      <c r="DP150" s="37"/>
      <c r="DQ150" s="37"/>
      <c r="DR150" s="37"/>
      <c r="DS150" s="37"/>
      <c r="DT150" s="37"/>
      <c r="DU150" s="37"/>
      <c r="DV150" s="37"/>
      <c r="DW150" s="37"/>
      <c r="DX150" s="37"/>
      <c r="DY150" s="37"/>
      <c r="DZ150" s="37"/>
      <c r="EA150" s="37"/>
      <c r="EB150" s="37"/>
      <c r="EC150" s="37"/>
      <c r="ED150" s="37"/>
      <c r="EE150" s="37"/>
      <c r="EF150" s="37"/>
      <c r="EG150" s="37"/>
      <c r="EH150" s="37"/>
      <c r="EI150" s="37"/>
      <c r="EJ150" s="37"/>
      <c r="EK150" s="37"/>
      <c r="EL150" s="37"/>
      <c r="EM150" s="37"/>
      <c r="EN150" s="37"/>
      <c r="EO150" s="37"/>
      <c r="EP150" s="37"/>
      <c r="EQ150" s="37"/>
      <c r="ER150" s="37"/>
      <c r="ES150" s="37"/>
      <c r="ET150" s="37"/>
      <c r="EU150" s="37"/>
      <c r="EV150" s="37"/>
      <c r="EW150" s="37"/>
      <c r="EX150" s="37"/>
      <c r="EY150" s="37"/>
      <c r="EZ150" s="37"/>
      <c r="FA150" s="37"/>
      <c r="FB150" s="37"/>
      <c r="FC150" s="37"/>
      <c r="FD150" s="37"/>
      <c r="FE150" s="37"/>
      <c r="FF150" s="37"/>
      <c r="FG150" s="37"/>
      <c r="FH150" s="37"/>
      <c r="FI150" s="37"/>
      <c r="FJ150" s="37"/>
      <c r="FK150" s="37"/>
      <c r="FL150" s="37"/>
      <c r="FM150" s="37"/>
      <c r="FN150" s="37"/>
      <c r="FO150" s="37"/>
      <c r="FP150" s="37"/>
      <c r="FQ150" s="37"/>
      <c r="FR150" s="37"/>
      <c r="FS150" s="37"/>
      <c r="FT150" s="37"/>
      <c r="FU150" s="37"/>
      <c r="FV150" s="37"/>
      <c r="FW150" s="37"/>
      <c r="FX150" s="37"/>
      <c r="FY150" s="37"/>
      <c r="FZ150" s="37"/>
      <c r="GA150" s="37"/>
      <c r="GB150" s="37"/>
      <c r="GC150" s="37"/>
      <c r="GD150" s="37"/>
      <c r="GE150" s="37"/>
      <c r="GF150" s="37"/>
      <c r="GG150" s="37"/>
      <c r="GH150" s="37"/>
      <c r="GI150" s="37"/>
      <c r="GJ150" s="37"/>
      <c r="GK150" s="37"/>
      <c r="GL150" s="37"/>
      <c r="GM150" s="37"/>
      <c r="GN150" s="37"/>
      <c r="GO150" s="37"/>
      <c r="GP150" s="37"/>
      <c r="GQ150" s="37"/>
      <c r="GR150" s="37"/>
      <c r="GS150" s="37"/>
      <c r="GT150" s="37"/>
      <c r="GU150" s="37"/>
      <c r="GV150" s="37"/>
      <c r="GW150" s="37"/>
      <c r="GX150" s="37"/>
      <c r="GY150" s="37"/>
      <c r="GZ150" s="37"/>
      <c r="HA150" s="37"/>
      <c r="HB150" s="37"/>
      <c r="HC150" s="37"/>
      <c r="HD150" s="37"/>
      <c r="HE150" s="37"/>
      <c r="HF150" s="37"/>
      <c r="HG150" s="37"/>
      <c r="HH150" s="37"/>
      <c r="HI150" s="37"/>
      <c r="HJ150" s="37"/>
      <c r="HK150" s="37"/>
      <c r="HL150" s="37"/>
      <c r="HM150" s="37"/>
      <c r="HN150" s="37"/>
      <c r="HO150" s="37"/>
      <c r="HP150" s="37"/>
      <c r="HQ150" s="37"/>
      <c r="HR150" s="37"/>
      <c r="HS150" s="37"/>
      <c r="HT150" s="37"/>
      <c r="HU150" s="37"/>
      <c r="HV150" s="37"/>
      <c r="HW150" s="37"/>
      <c r="HX150" s="37"/>
      <c r="HY150" s="37"/>
      <c r="HZ150" s="37"/>
      <c r="IA150" s="37"/>
      <c r="IB150" s="37"/>
      <c r="IC150" s="37"/>
    </row>
    <row r="151" spans="1:237" s="40" customFormat="1" x14ac:dyDescent="0.2">
      <c r="A151" s="62"/>
      <c r="B151" s="63"/>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7"/>
      <c r="AZ151" s="37"/>
      <c r="BA151" s="37"/>
      <c r="BB151" s="37"/>
      <c r="BC151" s="37"/>
      <c r="BD151" s="37"/>
      <c r="BE151" s="37"/>
      <c r="BF151" s="37"/>
      <c r="BG151" s="37"/>
      <c r="BH151" s="37"/>
      <c r="BI151" s="37"/>
      <c r="BJ151" s="37"/>
      <c r="BK151" s="37"/>
      <c r="BL151" s="37"/>
      <c r="BM151" s="37"/>
      <c r="BN151" s="37"/>
      <c r="BO151" s="37"/>
      <c r="BP151" s="37"/>
      <c r="BQ151" s="37"/>
      <c r="BR151" s="37"/>
      <c r="BS151" s="37"/>
      <c r="BT151" s="37"/>
      <c r="BU151" s="37"/>
      <c r="BV151" s="37"/>
      <c r="BW151" s="37"/>
      <c r="BX151" s="37"/>
      <c r="BY151" s="37"/>
      <c r="BZ151" s="37"/>
      <c r="CA151" s="37"/>
      <c r="CB151" s="37"/>
      <c r="CC151" s="37"/>
      <c r="CD151" s="37"/>
      <c r="CE151" s="37"/>
      <c r="CF151" s="37"/>
      <c r="CG151" s="37"/>
      <c r="CH151" s="37"/>
      <c r="CI151" s="37"/>
      <c r="CJ151" s="37"/>
      <c r="CK151" s="37"/>
      <c r="CL151" s="37"/>
      <c r="CM151" s="37"/>
      <c r="CN151" s="37"/>
      <c r="CO151" s="37"/>
      <c r="CP151" s="37"/>
      <c r="CQ151" s="37"/>
      <c r="CR151" s="37"/>
      <c r="CS151" s="37"/>
      <c r="CT151" s="37"/>
      <c r="CU151" s="37"/>
      <c r="CV151" s="37"/>
      <c r="CW151" s="37"/>
      <c r="CX151" s="37"/>
      <c r="CY151" s="37"/>
      <c r="CZ151" s="37"/>
      <c r="DA151" s="37"/>
      <c r="DB151" s="37"/>
      <c r="DC151" s="37"/>
      <c r="DD151" s="37"/>
      <c r="DE151" s="37"/>
      <c r="DF151" s="37"/>
      <c r="DG151" s="37"/>
      <c r="DH151" s="37"/>
      <c r="DI151" s="37"/>
      <c r="DJ151" s="37"/>
      <c r="DK151" s="37"/>
      <c r="DL151" s="37"/>
      <c r="DM151" s="37"/>
      <c r="DN151" s="37"/>
      <c r="DO151" s="37"/>
      <c r="DP151" s="37"/>
      <c r="DQ151" s="37"/>
      <c r="DR151" s="37"/>
      <c r="DS151" s="37"/>
      <c r="DT151" s="37"/>
      <c r="DU151" s="37"/>
      <c r="DV151" s="37"/>
      <c r="DW151" s="37"/>
      <c r="DX151" s="37"/>
      <c r="DY151" s="37"/>
      <c r="DZ151" s="37"/>
      <c r="EA151" s="37"/>
      <c r="EB151" s="37"/>
      <c r="EC151" s="37"/>
      <c r="ED151" s="37"/>
      <c r="EE151" s="37"/>
      <c r="EF151" s="37"/>
      <c r="EG151" s="37"/>
      <c r="EH151" s="37"/>
      <c r="EI151" s="37"/>
      <c r="EJ151" s="37"/>
      <c r="EK151" s="37"/>
      <c r="EL151" s="37"/>
      <c r="EM151" s="37"/>
      <c r="EN151" s="37"/>
      <c r="EO151" s="37"/>
      <c r="EP151" s="37"/>
      <c r="EQ151" s="37"/>
      <c r="ER151" s="37"/>
      <c r="ES151" s="37"/>
      <c r="ET151" s="37"/>
      <c r="EU151" s="37"/>
      <c r="EV151" s="37"/>
      <c r="EW151" s="37"/>
      <c r="EX151" s="37"/>
      <c r="EY151" s="37"/>
      <c r="EZ151" s="37"/>
      <c r="FA151" s="37"/>
      <c r="FB151" s="37"/>
      <c r="FC151" s="37"/>
      <c r="FD151" s="37"/>
      <c r="FE151" s="37"/>
      <c r="FF151" s="37"/>
      <c r="FG151" s="37"/>
      <c r="FH151" s="37"/>
      <c r="FI151" s="37"/>
      <c r="FJ151" s="37"/>
      <c r="FK151" s="37"/>
      <c r="FL151" s="37"/>
      <c r="FM151" s="37"/>
      <c r="FN151" s="37"/>
      <c r="FO151" s="37"/>
      <c r="FP151" s="37"/>
      <c r="FQ151" s="37"/>
      <c r="FR151" s="37"/>
      <c r="FS151" s="37"/>
      <c r="FT151" s="37"/>
      <c r="FU151" s="37"/>
      <c r="FV151" s="37"/>
      <c r="FW151" s="37"/>
      <c r="FX151" s="37"/>
      <c r="FY151" s="37"/>
      <c r="FZ151" s="37"/>
      <c r="GA151" s="37"/>
      <c r="GB151" s="37"/>
      <c r="GC151" s="37"/>
      <c r="GD151" s="37"/>
      <c r="GE151" s="37"/>
      <c r="GF151" s="37"/>
      <c r="GG151" s="37"/>
      <c r="GH151" s="37"/>
      <c r="GI151" s="37"/>
      <c r="GJ151" s="37"/>
      <c r="GK151" s="37"/>
      <c r="GL151" s="37"/>
      <c r="GM151" s="37"/>
      <c r="GN151" s="37"/>
      <c r="GO151" s="37"/>
      <c r="GP151" s="37"/>
      <c r="GQ151" s="37"/>
      <c r="GR151" s="37"/>
      <c r="GS151" s="37"/>
      <c r="GT151" s="37"/>
      <c r="GU151" s="37"/>
      <c r="GV151" s="37"/>
      <c r="GW151" s="37"/>
      <c r="GX151" s="37"/>
      <c r="GY151" s="37"/>
      <c r="GZ151" s="37"/>
      <c r="HA151" s="37"/>
      <c r="HB151" s="37"/>
      <c r="HC151" s="37"/>
      <c r="HD151" s="37"/>
      <c r="HE151" s="37"/>
      <c r="HF151" s="37"/>
      <c r="HG151" s="37"/>
      <c r="HH151" s="37"/>
      <c r="HI151" s="37"/>
      <c r="HJ151" s="37"/>
      <c r="HK151" s="37"/>
      <c r="HL151" s="37"/>
      <c r="HM151" s="37"/>
      <c r="HN151" s="37"/>
      <c r="HO151" s="37"/>
      <c r="HP151" s="37"/>
      <c r="HQ151" s="37"/>
      <c r="HR151" s="37"/>
      <c r="HS151" s="37"/>
      <c r="HT151" s="37"/>
      <c r="HU151" s="37"/>
      <c r="HV151" s="37"/>
      <c r="HW151" s="37"/>
      <c r="HX151" s="37"/>
      <c r="HY151" s="37"/>
      <c r="HZ151" s="37"/>
      <c r="IA151" s="37"/>
      <c r="IB151" s="37"/>
      <c r="IC151" s="37"/>
    </row>
    <row r="152" spans="1:237" s="40" customFormat="1" x14ac:dyDescent="0.2">
      <c r="A152" s="62"/>
      <c r="B152" s="63"/>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37"/>
      <c r="AX152" s="37"/>
      <c r="AY152" s="37"/>
      <c r="AZ152" s="37"/>
      <c r="BA152" s="37"/>
      <c r="BB152" s="37"/>
      <c r="BC152" s="37"/>
      <c r="BD152" s="37"/>
      <c r="BE152" s="37"/>
      <c r="BF152" s="37"/>
      <c r="BG152" s="37"/>
      <c r="BH152" s="37"/>
      <c r="BI152" s="37"/>
      <c r="BJ152" s="37"/>
      <c r="BK152" s="37"/>
      <c r="BL152" s="37"/>
      <c r="BM152" s="37"/>
      <c r="BN152" s="37"/>
      <c r="BO152" s="37"/>
      <c r="BP152" s="37"/>
      <c r="BQ152" s="37"/>
      <c r="BR152" s="37"/>
      <c r="BS152" s="37"/>
      <c r="BT152" s="37"/>
      <c r="BU152" s="37"/>
      <c r="BV152" s="37"/>
      <c r="BW152" s="37"/>
      <c r="BX152" s="37"/>
      <c r="BY152" s="37"/>
      <c r="BZ152" s="37"/>
      <c r="CA152" s="37"/>
      <c r="CB152" s="37"/>
      <c r="CC152" s="37"/>
      <c r="CD152" s="37"/>
      <c r="CE152" s="37"/>
      <c r="CF152" s="37"/>
      <c r="CG152" s="37"/>
      <c r="CH152" s="37"/>
      <c r="CI152" s="37"/>
      <c r="CJ152" s="37"/>
      <c r="CK152" s="37"/>
      <c r="CL152" s="37"/>
      <c r="CM152" s="37"/>
      <c r="CN152" s="37"/>
      <c r="CO152" s="37"/>
      <c r="CP152" s="37"/>
      <c r="CQ152" s="37"/>
      <c r="CR152" s="37"/>
      <c r="CS152" s="37"/>
      <c r="CT152" s="37"/>
      <c r="CU152" s="37"/>
      <c r="CV152" s="37"/>
      <c r="CW152" s="37"/>
      <c r="CX152" s="37"/>
      <c r="CY152" s="37"/>
      <c r="CZ152" s="37"/>
      <c r="DA152" s="37"/>
      <c r="DB152" s="37"/>
      <c r="DC152" s="37"/>
      <c r="DD152" s="37"/>
      <c r="DE152" s="37"/>
      <c r="DF152" s="37"/>
      <c r="DG152" s="37"/>
      <c r="DH152" s="37"/>
      <c r="DI152" s="37"/>
      <c r="DJ152" s="37"/>
      <c r="DK152" s="37"/>
      <c r="DL152" s="37"/>
      <c r="DM152" s="37"/>
      <c r="DN152" s="37"/>
      <c r="DO152" s="37"/>
      <c r="DP152" s="37"/>
      <c r="DQ152" s="37"/>
      <c r="DR152" s="37"/>
      <c r="DS152" s="37"/>
      <c r="DT152" s="37"/>
      <c r="DU152" s="37"/>
      <c r="DV152" s="37"/>
      <c r="DW152" s="37"/>
      <c r="DX152" s="37"/>
      <c r="DY152" s="37"/>
      <c r="DZ152" s="37"/>
      <c r="EA152" s="37"/>
      <c r="EB152" s="37"/>
      <c r="EC152" s="37"/>
      <c r="ED152" s="37"/>
      <c r="EE152" s="37"/>
      <c r="EF152" s="37"/>
      <c r="EG152" s="37"/>
      <c r="EH152" s="37"/>
      <c r="EI152" s="37"/>
      <c r="EJ152" s="37"/>
      <c r="EK152" s="37"/>
      <c r="EL152" s="37"/>
      <c r="EM152" s="37"/>
      <c r="EN152" s="37"/>
      <c r="EO152" s="37"/>
      <c r="EP152" s="37"/>
      <c r="EQ152" s="37"/>
      <c r="ER152" s="37"/>
      <c r="ES152" s="37"/>
      <c r="ET152" s="37"/>
      <c r="EU152" s="37"/>
      <c r="EV152" s="37"/>
      <c r="EW152" s="37"/>
      <c r="EX152" s="37"/>
      <c r="EY152" s="37"/>
      <c r="EZ152" s="37"/>
      <c r="FA152" s="37"/>
      <c r="FB152" s="37"/>
      <c r="FC152" s="37"/>
      <c r="FD152" s="37"/>
      <c r="FE152" s="37"/>
      <c r="FF152" s="37"/>
      <c r="FG152" s="37"/>
      <c r="FH152" s="37"/>
      <c r="FI152" s="37"/>
      <c r="FJ152" s="37"/>
      <c r="FK152" s="37"/>
      <c r="FL152" s="37"/>
      <c r="FM152" s="37"/>
      <c r="FN152" s="37"/>
      <c r="FO152" s="37"/>
      <c r="FP152" s="37"/>
      <c r="FQ152" s="37"/>
      <c r="FR152" s="37"/>
      <c r="FS152" s="37"/>
      <c r="FT152" s="37"/>
      <c r="FU152" s="37"/>
      <c r="FV152" s="37"/>
      <c r="FW152" s="37"/>
      <c r="FX152" s="37"/>
      <c r="FY152" s="37"/>
      <c r="FZ152" s="37"/>
      <c r="GA152" s="37"/>
      <c r="GB152" s="37"/>
      <c r="GC152" s="37"/>
      <c r="GD152" s="37"/>
      <c r="GE152" s="37"/>
      <c r="GF152" s="37"/>
      <c r="GG152" s="37"/>
      <c r="GH152" s="37"/>
      <c r="GI152" s="37"/>
      <c r="GJ152" s="37"/>
      <c r="GK152" s="37"/>
      <c r="GL152" s="37"/>
      <c r="GM152" s="37"/>
      <c r="GN152" s="37"/>
      <c r="GO152" s="37"/>
      <c r="GP152" s="37"/>
      <c r="GQ152" s="37"/>
      <c r="GR152" s="37"/>
      <c r="GS152" s="37"/>
      <c r="GT152" s="37"/>
      <c r="GU152" s="37"/>
      <c r="GV152" s="37"/>
      <c r="GW152" s="37"/>
      <c r="GX152" s="37"/>
      <c r="GY152" s="37"/>
      <c r="GZ152" s="37"/>
      <c r="HA152" s="37"/>
      <c r="HB152" s="37"/>
      <c r="HC152" s="37"/>
      <c r="HD152" s="37"/>
      <c r="HE152" s="37"/>
      <c r="HF152" s="37"/>
      <c r="HG152" s="37"/>
      <c r="HH152" s="37"/>
      <c r="HI152" s="37"/>
      <c r="HJ152" s="37"/>
      <c r="HK152" s="37"/>
      <c r="HL152" s="37"/>
      <c r="HM152" s="37"/>
      <c r="HN152" s="37"/>
      <c r="HO152" s="37"/>
      <c r="HP152" s="37"/>
      <c r="HQ152" s="37"/>
      <c r="HR152" s="37"/>
      <c r="HS152" s="37"/>
      <c r="HT152" s="37"/>
      <c r="HU152" s="37"/>
      <c r="HV152" s="37"/>
      <c r="HW152" s="37"/>
      <c r="HX152" s="37"/>
      <c r="HY152" s="37"/>
      <c r="HZ152" s="37"/>
      <c r="IA152" s="37"/>
      <c r="IB152" s="37"/>
      <c r="IC152" s="37"/>
    </row>
    <row r="153" spans="1:237" s="40" customFormat="1" x14ac:dyDescent="0.2">
      <c r="A153" s="62"/>
      <c r="B153" s="63"/>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c r="BC153" s="37"/>
      <c r="BD153" s="37"/>
      <c r="BE153" s="37"/>
      <c r="BF153" s="37"/>
      <c r="BG153" s="37"/>
      <c r="BH153" s="37"/>
      <c r="BI153" s="37"/>
      <c r="BJ153" s="37"/>
      <c r="BK153" s="37"/>
      <c r="BL153" s="37"/>
      <c r="BM153" s="37"/>
      <c r="BN153" s="37"/>
      <c r="BO153" s="37"/>
      <c r="BP153" s="37"/>
      <c r="BQ153" s="37"/>
      <c r="BR153" s="37"/>
      <c r="BS153" s="37"/>
      <c r="BT153" s="37"/>
      <c r="BU153" s="37"/>
      <c r="BV153" s="37"/>
      <c r="BW153" s="37"/>
      <c r="BX153" s="37"/>
      <c r="BY153" s="37"/>
      <c r="BZ153" s="37"/>
      <c r="CA153" s="37"/>
      <c r="CB153" s="37"/>
      <c r="CC153" s="37"/>
      <c r="CD153" s="37"/>
      <c r="CE153" s="37"/>
      <c r="CF153" s="37"/>
      <c r="CG153" s="37"/>
      <c r="CH153" s="37"/>
      <c r="CI153" s="37"/>
      <c r="CJ153" s="37"/>
      <c r="CK153" s="37"/>
      <c r="CL153" s="37"/>
      <c r="CM153" s="37"/>
      <c r="CN153" s="37"/>
      <c r="CO153" s="37"/>
      <c r="CP153" s="37"/>
      <c r="CQ153" s="37"/>
      <c r="CR153" s="37"/>
      <c r="CS153" s="37"/>
      <c r="CT153" s="37"/>
      <c r="CU153" s="37"/>
      <c r="CV153" s="37"/>
      <c r="CW153" s="37"/>
      <c r="CX153" s="37"/>
      <c r="CY153" s="37"/>
      <c r="CZ153" s="37"/>
      <c r="DA153" s="37"/>
      <c r="DB153" s="37"/>
      <c r="DC153" s="37"/>
      <c r="DD153" s="37"/>
      <c r="DE153" s="37"/>
      <c r="DF153" s="37"/>
      <c r="DG153" s="37"/>
      <c r="DH153" s="37"/>
      <c r="DI153" s="37"/>
      <c r="DJ153" s="37"/>
      <c r="DK153" s="37"/>
      <c r="DL153" s="37"/>
      <c r="DM153" s="37"/>
      <c r="DN153" s="37"/>
      <c r="DO153" s="37"/>
      <c r="DP153" s="37"/>
      <c r="DQ153" s="37"/>
      <c r="DR153" s="37"/>
      <c r="DS153" s="37"/>
      <c r="DT153" s="37"/>
      <c r="DU153" s="37"/>
      <c r="DV153" s="37"/>
      <c r="DW153" s="37"/>
      <c r="DX153" s="37"/>
      <c r="DY153" s="37"/>
      <c r="DZ153" s="37"/>
      <c r="EA153" s="37"/>
      <c r="EB153" s="37"/>
      <c r="EC153" s="37"/>
      <c r="ED153" s="37"/>
      <c r="EE153" s="37"/>
      <c r="EF153" s="37"/>
      <c r="EG153" s="37"/>
      <c r="EH153" s="37"/>
      <c r="EI153" s="37"/>
      <c r="EJ153" s="37"/>
      <c r="EK153" s="37"/>
      <c r="EL153" s="37"/>
      <c r="EM153" s="37"/>
      <c r="EN153" s="37"/>
      <c r="EO153" s="37"/>
      <c r="EP153" s="37"/>
      <c r="EQ153" s="37"/>
      <c r="ER153" s="37"/>
      <c r="ES153" s="37"/>
      <c r="ET153" s="37"/>
      <c r="EU153" s="37"/>
      <c r="EV153" s="37"/>
      <c r="EW153" s="37"/>
      <c r="EX153" s="37"/>
      <c r="EY153" s="37"/>
      <c r="EZ153" s="37"/>
      <c r="FA153" s="37"/>
      <c r="FB153" s="37"/>
      <c r="FC153" s="37"/>
      <c r="FD153" s="37"/>
      <c r="FE153" s="37"/>
      <c r="FF153" s="37"/>
      <c r="FG153" s="37"/>
      <c r="FH153" s="37"/>
      <c r="FI153" s="37"/>
      <c r="FJ153" s="37"/>
      <c r="FK153" s="37"/>
      <c r="FL153" s="37"/>
      <c r="FM153" s="37"/>
      <c r="FN153" s="37"/>
      <c r="FO153" s="37"/>
      <c r="FP153" s="37"/>
      <c r="FQ153" s="37"/>
      <c r="FR153" s="37"/>
      <c r="FS153" s="37"/>
      <c r="FT153" s="37"/>
      <c r="FU153" s="37"/>
      <c r="FV153" s="37"/>
      <c r="FW153" s="37"/>
      <c r="FX153" s="37"/>
      <c r="FY153" s="37"/>
      <c r="FZ153" s="37"/>
      <c r="GA153" s="37"/>
      <c r="GB153" s="37"/>
      <c r="GC153" s="37"/>
      <c r="GD153" s="37"/>
      <c r="GE153" s="37"/>
      <c r="GF153" s="37"/>
      <c r="GG153" s="37"/>
      <c r="GH153" s="37"/>
      <c r="GI153" s="37"/>
      <c r="GJ153" s="37"/>
      <c r="GK153" s="37"/>
      <c r="GL153" s="37"/>
      <c r="GM153" s="37"/>
      <c r="GN153" s="37"/>
      <c r="GO153" s="37"/>
      <c r="GP153" s="37"/>
      <c r="GQ153" s="37"/>
      <c r="GR153" s="37"/>
      <c r="GS153" s="37"/>
      <c r="GT153" s="37"/>
      <c r="GU153" s="37"/>
      <c r="GV153" s="37"/>
      <c r="GW153" s="37"/>
      <c r="GX153" s="37"/>
      <c r="GY153" s="37"/>
      <c r="GZ153" s="37"/>
      <c r="HA153" s="37"/>
      <c r="HB153" s="37"/>
      <c r="HC153" s="37"/>
      <c r="HD153" s="37"/>
      <c r="HE153" s="37"/>
      <c r="HF153" s="37"/>
      <c r="HG153" s="37"/>
      <c r="HH153" s="37"/>
      <c r="HI153" s="37"/>
      <c r="HJ153" s="37"/>
      <c r="HK153" s="37"/>
      <c r="HL153" s="37"/>
      <c r="HM153" s="37"/>
      <c r="HN153" s="37"/>
      <c r="HO153" s="37"/>
      <c r="HP153" s="37"/>
      <c r="HQ153" s="37"/>
      <c r="HR153" s="37"/>
      <c r="HS153" s="37"/>
      <c r="HT153" s="37"/>
      <c r="HU153" s="37"/>
      <c r="HV153" s="37"/>
      <c r="HW153" s="37"/>
      <c r="HX153" s="37"/>
      <c r="HY153" s="37"/>
      <c r="HZ153" s="37"/>
      <c r="IA153" s="37"/>
      <c r="IB153" s="37"/>
      <c r="IC153" s="37"/>
    </row>
    <row r="154" spans="1:237" s="40" customFormat="1" x14ac:dyDescent="0.2">
      <c r="A154" s="62"/>
      <c r="B154" s="63"/>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c r="AY154" s="37"/>
      <c r="AZ154" s="37"/>
      <c r="BA154" s="37"/>
      <c r="BB154" s="37"/>
      <c r="BC154" s="37"/>
      <c r="BD154" s="37"/>
      <c r="BE154" s="37"/>
      <c r="BF154" s="37"/>
      <c r="BG154" s="37"/>
      <c r="BH154" s="37"/>
      <c r="BI154" s="37"/>
      <c r="BJ154" s="37"/>
      <c r="BK154" s="37"/>
      <c r="BL154" s="37"/>
      <c r="BM154" s="37"/>
      <c r="BN154" s="37"/>
      <c r="BO154" s="37"/>
      <c r="BP154" s="37"/>
      <c r="BQ154" s="37"/>
      <c r="BR154" s="37"/>
      <c r="BS154" s="37"/>
      <c r="BT154" s="37"/>
      <c r="BU154" s="37"/>
      <c r="BV154" s="37"/>
      <c r="BW154" s="37"/>
      <c r="BX154" s="37"/>
      <c r="BY154" s="37"/>
      <c r="BZ154" s="37"/>
      <c r="CA154" s="37"/>
      <c r="CB154" s="37"/>
      <c r="CC154" s="37"/>
      <c r="CD154" s="37"/>
      <c r="CE154" s="37"/>
      <c r="CF154" s="37"/>
      <c r="CG154" s="37"/>
      <c r="CH154" s="37"/>
      <c r="CI154" s="37"/>
      <c r="CJ154" s="37"/>
      <c r="CK154" s="37"/>
      <c r="CL154" s="37"/>
      <c r="CM154" s="37"/>
      <c r="CN154" s="37"/>
      <c r="CO154" s="37"/>
      <c r="CP154" s="37"/>
      <c r="CQ154" s="37"/>
      <c r="CR154" s="37"/>
      <c r="CS154" s="37"/>
      <c r="CT154" s="37"/>
      <c r="CU154" s="37"/>
      <c r="CV154" s="37"/>
      <c r="CW154" s="37"/>
      <c r="CX154" s="37"/>
      <c r="CY154" s="37"/>
      <c r="CZ154" s="37"/>
      <c r="DA154" s="37"/>
      <c r="DB154" s="37"/>
      <c r="DC154" s="37"/>
      <c r="DD154" s="37"/>
      <c r="DE154" s="37"/>
      <c r="DF154" s="37"/>
      <c r="DG154" s="37"/>
      <c r="DH154" s="37"/>
      <c r="DI154" s="37"/>
      <c r="DJ154" s="37"/>
      <c r="DK154" s="37"/>
      <c r="DL154" s="37"/>
      <c r="DM154" s="37"/>
      <c r="DN154" s="37"/>
      <c r="DO154" s="37"/>
      <c r="DP154" s="37"/>
      <c r="DQ154" s="37"/>
      <c r="DR154" s="37"/>
      <c r="DS154" s="37"/>
      <c r="DT154" s="37"/>
      <c r="DU154" s="37"/>
      <c r="DV154" s="37"/>
      <c r="DW154" s="37"/>
      <c r="DX154" s="37"/>
      <c r="DY154" s="37"/>
      <c r="DZ154" s="37"/>
      <c r="EA154" s="37"/>
      <c r="EB154" s="37"/>
      <c r="EC154" s="37"/>
      <c r="ED154" s="37"/>
      <c r="EE154" s="37"/>
      <c r="EF154" s="37"/>
      <c r="EG154" s="37"/>
      <c r="EH154" s="37"/>
      <c r="EI154" s="37"/>
      <c r="EJ154" s="37"/>
      <c r="EK154" s="37"/>
      <c r="EL154" s="37"/>
      <c r="EM154" s="37"/>
      <c r="EN154" s="37"/>
      <c r="EO154" s="37"/>
      <c r="EP154" s="37"/>
      <c r="EQ154" s="37"/>
      <c r="ER154" s="37"/>
      <c r="ES154" s="37"/>
      <c r="ET154" s="37"/>
      <c r="EU154" s="37"/>
      <c r="EV154" s="37"/>
      <c r="EW154" s="37"/>
      <c r="EX154" s="37"/>
      <c r="EY154" s="37"/>
      <c r="EZ154" s="37"/>
      <c r="FA154" s="37"/>
      <c r="FB154" s="37"/>
      <c r="FC154" s="37"/>
      <c r="FD154" s="37"/>
      <c r="FE154" s="37"/>
      <c r="FF154" s="37"/>
      <c r="FG154" s="37"/>
      <c r="FH154" s="37"/>
      <c r="FI154" s="37"/>
      <c r="FJ154" s="37"/>
      <c r="FK154" s="37"/>
      <c r="FL154" s="37"/>
      <c r="FM154" s="37"/>
      <c r="FN154" s="37"/>
      <c r="FO154" s="37"/>
      <c r="FP154" s="37"/>
      <c r="FQ154" s="37"/>
      <c r="FR154" s="37"/>
      <c r="FS154" s="37"/>
      <c r="FT154" s="37"/>
      <c r="FU154" s="37"/>
      <c r="FV154" s="37"/>
      <c r="FW154" s="37"/>
      <c r="FX154" s="37"/>
      <c r="FY154" s="37"/>
      <c r="FZ154" s="37"/>
      <c r="GA154" s="37"/>
      <c r="GB154" s="37"/>
      <c r="GC154" s="37"/>
      <c r="GD154" s="37"/>
      <c r="GE154" s="37"/>
      <c r="GF154" s="37"/>
      <c r="GG154" s="37"/>
      <c r="GH154" s="37"/>
      <c r="GI154" s="37"/>
      <c r="GJ154" s="37"/>
      <c r="GK154" s="37"/>
      <c r="GL154" s="37"/>
      <c r="GM154" s="37"/>
      <c r="GN154" s="37"/>
      <c r="GO154" s="37"/>
      <c r="GP154" s="37"/>
      <c r="GQ154" s="37"/>
      <c r="GR154" s="37"/>
      <c r="GS154" s="37"/>
      <c r="GT154" s="37"/>
      <c r="GU154" s="37"/>
      <c r="GV154" s="37"/>
      <c r="GW154" s="37"/>
      <c r="GX154" s="37"/>
      <c r="GY154" s="37"/>
      <c r="GZ154" s="37"/>
      <c r="HA154" s="37"/>
      <c r="HB154" s="37"/>
      <c r="HC154" s="37"/>
      <c r="HD154" s="37"/>
      <c r="HE154" s="37"/>
      <c r="HF154" s="37"/>
      <c r="HG154" s="37"/>
      <c r="HH154" s="37"/>
      <c r="HI154" s="37"/>
      <c r="HJ154" s="37"/>
      <c r="HK154" s="37"/>
      <c r="HL154" s="37"/>
      <c r="HM154" s="37"/>
      <c r="HN154" s="37"/>
      <c r="HO154" s="37"/>
      <c r="HP154" s="37"/>
      <c r="HQ154" s="37"/>
      <c r="HR154" s="37"/>
      <c r="HS154" s="37"/>
      <c r="HT154" s="37"/>
      <c r="HU154" s="37"/>
      <c r="HV154" s="37"/>
      <c r="HW154" s="37"/>
      <c r="HX154" s="37"/>
      <c r="HY154" s="37"/>
      <c r="HZ154" s="37"/>
      <c r="IA154" s="37"/>
      <c r="IB154" s="37"/>
      <c r="IC154" s="37"/>
    </row>
    <row r="155" spans="1:237" s="40" customFormat="1" x14ac:dyDescent="0.2">
      <c r="A155" s="62"/>
      <c r="B155" s="63"/>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37"/>
      <c r="BF155" s="37"/>
      <c r="BG155" s="37"/>
      <c r="BH155" s="37"/>
      <c r="BI155" s="37"/>
      <c r="BJ155" s="37"/>
      <c r="BK155" s="37"/>
      <c r="BL155" s="37"/>
      <c r="BM155" s="37"/>
      <c r="BN155" s="37"/>
      <c r="BO155" s="37"/>
      <c r="BP155" s="37"/>
      <c r="BQ155" s="37"/>
      <c r="BR155" s="37"/>
      <c r="BS155" s="37"/>
      <c r="BT155" s="37"/>
      <c r="BU155" s="37"/>
      <c r="BV155" s="37"/>
      <c r="BW155" s="37"/>
      <c r="BX155" s="37"/>
      <c r="BY155" s="37"/>
      <c r="BZ155" s="37"/>
      <c r="CA155" s="37"/>
      <c r="CB155" s="37"/>
      <c r="CC155" s="37"/>
      <c r="CD155" s="37"/>
      <c r="CE155" s="37"/>
      <c r="CF155" s="37"/>
      <c r="CG155" s="37"/>
      <c r="CH155" s="37"/>
      <c r="CI155" s="37"/>
      <c r="CJ155" s="37"/>
      <c r="CK155" s="37"/>
      <c r="CL155" s="37"/>
      <c r="CM155" s="37"/>
      <c r="CN155" s="37"/>
      <c r="CO155" s="37"/>
      <c r="CP155" s="37"/>
      <c r="CQ155" s="37"/>
      <c r="CR155" s="37"/>
      <c r="CS155" s="37"/>
      <c r="CT155" s="37"/>
      <c r="CU155" s="37"/>
      <c r="CV155" s="37"/>
      <c r="CW155" s="37"/>
      <c r="CX155" s="37"/>
      <c r="CY155" s="37"/>
      <c r="CZ155" s="37"/>
      <c r="DA155" s="37"/>
      <c r="DB155" s="37"/>
      <c r="DC155" s="37"/>
      <c r="DD155" s="37"/>
      <c r="DE155" s="37"/>
      <c r="DF155" s="37"/>
      <c r="DG155" s="37"/>
      <c r="DH155" s="37"/>
      <c r="DI155" s="37"/>
      <c r="DJ155" s="37"/>
      <c r="DK155" s="37"/>
      <c r="DL155" s="37"/>
      <c r="DM155" s="37"/>
      <c r="DN155" s="37"/>
      <c r="DO155" s="37"/>
      <c r="DP155" s="37"/>
      <c r="DQ155" s="37"/>
      <c r="DR155" s="37"/>
      <c r="DS155" s="37"/>
      <c r="DT155" s="37"/>
      <c r="DU155" s="37"/>
      <c r="DV155" s="37"/>
      <c r="DW155" s="37"/>
      <c r="DX155" s="37"/>
      <c r="DY155" s="37"/>
      <c r="DZ155" s="37"/>
      <c r="EA155" s="37"/>
      <c r="EB155" s="37"/>
      <c r="EC155" s="37"/>
      <c r="ED155" s="37"/>
      <c r="EE155" s="37"/>
      <c r="EF155" s="37"/>
      <c r="EG155" s="37"/>
      <c r="EH155" s="37"/>
      <c r="EI155" s="37"/>
      <c r="EJ155" s="37"/>
      <c r="EK155" s="37"/>
      <c r="EL155" s="37"/>
      <c r="EM155" s="37"/>
      <c r="EN155" s="37"/>
      <c r="EO155" s="37"/>
      <c r="EP155" s="37"/>
      <c r="EQ155" s="37"/>
      <c r="ER155" s="37"/>
      <c r="ES155" s="37"/>
      <c r="ET155" s="37"/>
      <c r="EU155" s="37"/>
      <c r="EV155" s="37"/>
      <c r="EW155" s="37"/>
      <c r="EX155" s="37"/>
      <c r="EY155" s="37"/>
      <c r="EZ155" s="37"/>
      <c r="FA155" s="37"/>
      <c r="FB155" s="37"/>
      <c r="FC155" s="37"/>
      <c r="FD155" s="37"/>
      <c r="FE155" s="37"/>
      <c r="FF155" s="37"/>
      <c r="FG155" s="37"/>
      <c r="FH155" s="37"/>
      <c r="FI155" s="37"/>
      <c r="FJ155" s="37"/>
      <c r="FK155" s="37"/>
      <c r="FL155" s="37"/>
      <c r="FM155" s="37"/>
      <c r="FN155" s="37"/>
      <c r="FO155" s="37"/>
      <c r="FP155" s="37"/>
      <c r="FQ155" s="37"/>
      <c r="FR155" s="37"/>
      <c r="FS155" s="37"/>
      <c r="FT155" s="37"/>
      <c r="FU155" s="37"/>
      <c r="FV155" s="37"/>
      <c r="FW155" s="37"/>
      <c r="FX155" s="37"/>
      <c r="FY155" s="37"/>
      <c r="FZ155" s="37"/>
      <c r="GA155" s="37"/>
      <c r="GB155" s="37"/>
      <c r="GC155" s="37"/>
      <c r="GD155" s="37"/>
      <c r="GE155" s="37"/>
      <c r="GF155" s="37"/>
      <c r="GG155" s="37"/>
      <c r="GH155" s="37"/>
      <c r="GI155" s="37"/>
      <c r="GJ155" s="37"/>
      <c r="GK155" s="37"/>
      <c r="GL155" s="37"/>
      <c r="GM155" s="37"/>
      <c r="GN155" s="37"/>
      <c r="GO155" s="37"/>
      <c r="GP155" s="37"/>
      <c r="GQ155" s="37"/>
      <c r="GR155" s="37"/>
      <c r="GS155" s="37"/>
      <c r="GT155" s="37"/>
      <c r="GU155" s="37"/>
      <c r="GV155" s="37"/>
      <c r="GW155" s="37"/>
      <c r="GX155" s="37"/>
      <c r="GY155" s="37"/>
      <c r="GZ155" s="37"/>
      <c r="HA155" s="37"/>
      <c r="HB155" s="37"/>
      <c r="HC155" s="37"/>
      <c r="HD155" s="37"/>
      <c r="HE155" s="37"/>
      <c r="HF155" s="37"/>
      <c r="HG155" s="37"/>
      <c r="HH155" s="37"/>
      <c r="HI155" s="37"/>
      <c r="HJ155" s="37"/>
      <c r="HK155" s="37"/>
      <c r="HL155" s="37"/>
      <c r="HM155" s="37"/>
      <c r="HN155" s="37"/>
      <c r="HO155" s="37"/>
      <c r="HP155" s="37"/>
      <c r="HQ155" s="37"/>
      <c r="HR155" s="37"/>
      <c r="HS155" s="37"/>
      <c r="HT155" s="37"/>
      <c r="HU155" s="37"/>
      <c r="HV155" s="37"/>
      <c r="HW155" s="37"/>
      <c r="HX155" s="37"/>
      <c r="HY155" s="37"/>
      <c r="HZ155" s="37"/>
      <c r="IA155" s="37"/>
      <c r="IB155" s="37"/>
      <c r="IC155" s="37"/>
    </row>
    <row r="156" spans="1:237" s="40" customFormat="1" x14ac:dyDescent="0.2">
      <c r="A156" s="62"/>
      <c r="B156" s="63"/>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37"/>
      <c r="AZ156" s="37"/>
      <c r="BA156" s="37"/>
      <c r="BB156" s="37"/>
      <c r="BC156" s="37"/>
      <c r="BD156" s="37"/>
      <c r="BE156" s="37"/>
      <c r="BF156" s="37"/>
      <c r="BG156" s="37"/>
      <c r="BH156" s="37"/>
      <c r="BI156" s="37"/>
      <c r="BJ156" s="37"/>
      <c r="BK156" s="37"/>
      <c r="BL156" s="37"/>
      <c r="BM156" s="37"/>
      <c r="BN156" s="37"/>
      <c r="BO156" s="37"/>
      <c r="BP156" s="37"/>
      <c r="BQ156" s="37"/>
      <c r="BR156" s="37"/>
      <c r="BS156" s="37"/>
      <c r="BT156" s="37"/>
      <c r="BU156" s="37"/>
      <c r="BV156" s="37"/>
      <c r="BW156" s="37"/>
      <c r="BX156" s="37"/>
      <c r="BY156" s="37"/>
      <c r="BZ156" s="37"/>
      <c r="CA156" s="37"/>
      <c r="CB156" s="37"/>
      <c r="CC156" s="37"/>
      <c r="CD156" s="37"/>
      <c r="CE156" s="37"/>
      <c r="CF156" s="37"/>
      <c r="CG156" s="37"/>
      <c r="CH156" s="37"/>
      <c r="CI156" s="37"/>
      <c r="CJ156" s="37"/>
      <c r="CK156" s="37"/>
      <c r="CL156" s="37"/>
      <c r="CM156" s="37"/>
      <c r="CN156" s="37"/>
      <c r="CO156" s="37"/>
      <c r="CP156" s="37"/>
      <c r="CQ156" s="37"/>
      <c r="CR156" s="37"/>
      <c r="CS156" s="37"/>
      <c r="CT156" s="37"/>
      <c r="CU156" s="37"/>
      <c r="CV156" s="37"/>
      <c r="CW156" s="37"/>
      <c r="CX156" s="37"/>
      <c r="CY156" s="37"/>
      <c r="CZ156" s="37"/>
      <c r="DA156" s="37"/>
      <c r="DB156" s="37"/>
      <c r="DC156" s="37"/>
      <c r="DD156" s="37"/>
      <c r="DE156" s="37"/>
      <c r="DF156" s="37"/>
      <c r="DG156" s="37"/>
      <c r="DH156" s="37"/>
      <c r="DI156" s="37"/>
      <c r="DJ156" s="37"/>
      <c r="DK156" s="37"/>
      <c r="DL156" s="37"/>
      <c r="DM156" s="37"/>
      <c r="DN156" s="37"/>
      <c r="DO156" s="37"/>
      <c r="DP156" s="37"/>
      <c r="DQ156" s="37"/>
      <c r="DR156" s="37"/>
      <c r="DS156" s="37"/>
      <c r="DT156" s="37"/>
      <c r="DU156" s="37"/>
      <c r="DV156" s="37"/>
      <c r="DW156" s="37"/>
      <c r="DX156" s="37"/>
      <c r="DY156" s="37"/>
      <c r="DZ156" s="37"/>
      <c r="EA156" s="37"/>
      <c r="EB156" s="37"/>
      <c r="EC156" s="37"/>
      <c r="ED156" s="37"/>
      <c r="EE156" s="37"/>
      <c r="EF156" s="37"/>
      <c r="EG156" s="37"/>
      <c r="EH156" s="37"/>
      <c r="EI156" s="37"/>
      <c r="EJ156" s="37"/>
      <c r="EK156" s="37"/>
      <c r="EL156" s="37"/>
      <c r="EM156" s="37"/>
      <c r="EN156" s="37"/>
      <c r="EO156" s="37"/>
      <c r="EP156" s="37"/>
      <c r="EQ156" s="37"/>
      <c r="ER156" s="37"/>
      <c r="ES156" s="37"/>
      <c r="ET156" s="37"/>
      <c r="EU156" s="37"/>
      <c r="EV156" s="37"/>
      <c r="EW156" s="37"/>
      <c r="EX156" s="37"/>
      <c r="EY156" s="37"/>
      <c r="EZ156" s="37"/>
      <c r="FA156" s="37"/>
      <c r="FB156" s="37"/>
      <c r="FC156" s="37"/>
      <c r="FD156" s="37"/>
      <c r="FE156" s="37"/>
      <c r="FF156" s="37"/>
      <c r="FG156" s="37"/>
      <c r="FH156" s="37"/>
      <c r="FI156" s="37"/>
      <c r="FJ156" s="37"/>
      <c r="FK156" s="37"/>
      <c r="FL156" s="37"/>
      <c r="FM156" s="37"/>
      <c r="FN156" s="37"/>
      <c r="FO156" s="37"/>
      <c r="FP156" s="37"/>
      <c r="FQ156" s="37"/>
      <c r="FR156" s="37"/>
      <c r="FS156" s="37"/>
      <c r="FT156" s="37"/>
      <c r="FU156" s="37"/>
      <c r="FV156" s="37"/>
      <c r="FW156" s="37"/>
      <c r="FX156" s="37"/>
      <c r="FY156" s="37"/>
      <c r="FZ156" s="37"/>
      <c r="GA156" s="37"/>
      <c r="GB156" s="37"/>
      <c r="GC156" s="37"/>
      <c r="GD156" s="37"/>
      <c r="GE156" s="37"/>
      <c r="GF156" s="37"/>
      <c r="GG156" s="37"/>
      <c r="GH156" s="37"/>
      <c r="GI156" s="37"/>
      <c r="GJ156" s="37"/>
      <c r="GK156" s="37"/>
      <c r="GL156" s="37"/>
      <c r="GM156" s="37"/>
      <c r="GN156" s="37"/>
      <c r="GO156" s="37"/>
      <c r="GP156" s="37"/>
      <c r="GQ156" s="37"/>
      <c r="GR156" s="37"/>
      <c r="GS156" s="37"/>
      <c r="GT156" s="37"/>
      <c r="GU156" s="37"/>
      <c r="GV156" s="37"/>
      <c r="GW156" s="37"/>
      <c r="GX156" s="37"/>
      <c r="GY156" s="37"/>
      <c r="GZ156" s="37"/>
      <c r="HA156" s="37"/>
      <c r="HB156" s="37"/>
      <c r="HC156" s="37"/>
      <c r="HD156" s="37"/>
      <c r="HE156" s="37"/>
      <c r="HF156" s="37"/>
      <c r="HG156" s="37"/>
      <c r="HH156" s="37"/>
      <c r="HI156" s="37"/>
      <c r="HJ156" s="37"/>
      <c r="HK156" s="37"/>
      <c r="HL156" s="37"/>
      <c r="HM156" s="37"/>
      <c r="HN156" s="37"/>
      <c r="HO156" s="37"/>
      <c r="HP156" s="37"/>
      <c r="HQ156" s="37"/>
      <c r="HR156" s="37"/>
      <c r="HS156" s="37"/>
      <c r="HT156" s="37"/>
      <c r="HU156" s="37"/>
      <c r="HV156" s="37"/>
      <c r="HW156" s="37"/>
      <c r="HX156" s="37"/>
      <c r="HY156" s="37"/>
      <c r="HZ156" s="37"/>
      <c r="IA156" s="37"/>
      <c r="IB156" s="37"/>
      <c r="IC156" s="37"/>
    </row>
    <row r="157" spans="1:237" s="40" customFormat="1" x14ac:dyDescent="0.2">
      <c r="A157" s="62"/>
      <c r="B157" s="63"/>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c r="BC157" s="37"/>
      <c r="BD157" s="37"/>
      <c r="BE157" s="37"/>
      <c r="BF157" s="37"/>
      <c r="BG157" s="37"/>
      <c r="BH157" s="37"/>
      <c r="BI157" s="37"/>
      <c r="BJ157" s="37"/>
      <c r="BK157" s="37"/>
      <c r="BL157" s="37"/>
      <c r="BM157" s="37"/>
      <c r="BN157" s="37"/>
      <c r="BO157" s="37"/>
      <c r="BP157" s="37"/>
      <c r="BQ157" s="37"/>
      <c r="BR157" s="37"/>
      <c r="BS157" s="37"/>
      <c r="BT157" s="37"/>
      <c r="BU157" s="37"/>
      <c r="BV157" s="37"/>
      <c r="BW157" s="37"/>
      <c r="BX157" s="37"/>
      <c r="BY157" s="37"/>
      <c r="BZ157" s="37"/>
      <c r="CA157" s="37"/>
      <c r="CB157" s="37"/>
      <c r="CC157" s="37"/>
      <c r="CD157" s="37"/>
      <c r="CE157" s="37"/>
      <c r="CF157" s="37"/>
      <c r="CG157" s="37"/>
      <c r="CH157" s="37"/>
      <c r="CI157" s="37"/>
      <c r="CJ157" s="37"/>
      <c r="CK157" s="37"/>
      <c r="CL157" s="37"/>
      <c r="CM157" s="37"/>
      <c r="CN157" s="37"/>
      <c r="CO157" s="37"/>
      <c r="CP157" s="37"/>
      <c r="CQ157" s="37"/>
      <c r="CR157" s="37"/>
      <c r="CS157" s="37"/>
      <c r="CT157" s="37"/>
      <c r="CU157" s="37"/>
      <c r="CV157" s="37"/>
      <c r="CW157" s="37"/>
      <c r="CX157" s="37"/>
      <c r="CY157" s="37"/>
      <c r="CZ157" s="37"/>
      <c r="DA157" s="37"/>
      <c r="DB157" s="37"/>
      <c r="DC157" s="37"/>
      <c r="DD157" s="37"/>
      <c r="DE157" s="37"/>
      <c r="DF157" s="37"/>
      <c r="DG157" s="37"/>
      <c r="DH157" s="37"/>
      <c r="DI157" s="37"/>
      <c r="DJ157" s="37"/>
      <c r="DK157" s="37"/>
      <c r="DL157" s="37"/>
      <c r="DM157" s="37"/>
      <c r="DN157" s="37"/>
      <c r="DO157" s="37"/>
      <c r="DP157" s="37"/>
      <c r="DQ157" s="37"/>
      <c r="DR157" s="37"/>
      <c r="DS157" s="37"/>
      <c r="DT157" s="37"/>
      <c r="DU157" s="37"/>
      <c r="DV157" s="37"/>
      <c r="DW157" s="37"/>
      <c r="DX157" s="37"/>
      <c r="DY157" s="37"/>
      <c r="DZ157" s="37"/>
      <c r="EA157" s="37"/>
      <c r="EB157" s="37"/>
      <c r="EC157" s="37"/>
      <c r="ED157" s="37"/>
      <c r="EE157" s="37"/>
      <c r="EF157" s="37"/>
      <c r="EG157" s="37"/>
      <c r="EH157" s="37"/>
      <c r="EI157" s="37"/>
      <c r="EJ157" s="37"/>
      <c r="EK157" s="37"/>
      <c r="EL157" s="37"/>
      <c r="EM157" s="37"/>
      <c r="EN157" s="37"/>
      <c r="EO157" s="37"/>
      <c r="EP157" s="37"/>
      <c r="EQ157" s="37"/>
      <c r="ER157" s="37"/>
      <c r="ES157" s="37"/>
      <c r="ET157" s="37"/>
      <c r="EU157" s="37"/>
      <c r="EV157" s="37"/>
      <c r="EW157" s="37"/>
      <c r="EX157" s="37"/>
      <c r="EY157" s="37"/>
      <c r="EZ157" s="37"/>
      <c r="FA157" s="37"/>
      <c r="FB157" s="37"/>
      <c r="FC157" s="37"/>
      <c r="FD157" s="37"/>
      <c r="FE157" s="37"/>
      <c r="FF157" s="37"/>
      <c r="FG157" s="37"/>
      <c r="FH157" s="37"/>
      <c r="FI157" s="37"/>
      <c r="FJ157" s="37"/>
      <c r="FK157" s="37"/>
      <c r="FL157" s="37"/>
      <c r="FM157" s="37"/>
      <c r="FN157" s="37"/>
      <c r="FO157" s="37"/>
      <c r="FP157" s="37"/>
      <c r="FQ157" s="37"/>
      <c r="FR157" s="37"/>
      <c r="FS157" s="37"/>
      <c r="FT157" s="37"/>
      <c r="FU157" s="37"/>
      <c r="FV157" s="37"/>
      <c r="FW157" s="37"/>
      <c r="FX157" s="37"/>
      <c r="FY157" s="37"/>
      <c r="FZ157" s="37"/>
      <c r="GA157" s="37"/>
      <c r="GB157" s="37"/>
      <c r="GC157" s="37"/>
      <c r="GD157" s="37"/>
      <c r="GE157" s="37"/>
      <c r="GF157" s="37"/>
      <c r="GG157" s="37"/>
      <c r="GH157" s="37"/>
      <c r="GI157" s="37"/>
      <c r="GJ157" s="37"/>
      <c r="GK157" s="37"/>
      <c r="GL157" s="37"/>
      <c r="GM157" s="37"/>
      <c r="GN157" s="37"/>
      <c r="GO157" s="37"/>
      <c r="GP157" s="37"/>
      <c r="GQ157" s="37"/>
      <c r="GR157" s="37"/>
      <c r="GS157" s="37"/>
      <c r="GT157" s="37"/>
      <c r="GU157" s="37"/>
      <c r="GV157" s="37"/>
      <c r="GW157" s="37"/>
      <c r="GX157" s="37"/>
      <c r="GY157" s="37"/>
      <c r="GZ157" s="37"/>
      <c r="HA157" s="37"/>
      <c r="HB157" s="37"/>
      <c r="HC157" s="37"/>
      <c r="HD157" s="37"/>
      <c r="HE157" s="37"/>
      <c r="HF157" s="37"/>
      <c r="HG157" s="37"/>
      <c r="HH157" s="37"/>
      <c r="HI157" s="37"/>
      <c r="HJ157" s="37"/>
      <c r="HK157" s="37"/>
      <c r="HL157" s="37"/>
      <c r="HM157" s="37"/>
      <c r="HN157" s="37"/>
      <c r="HO157" s="37"/>
      <c r="HP157" s="37"/>
      <c r="HQ157" s="37"/>
      <c r="HR157" s="37"/>
      <c r="HS157" s="37"/>
      <c r="HT157" s="37"/>
      <c r="HU157" s="37"/>
      <c r="HV157" s="37"/>
      <c r="HW157" s="37"/>
      <c r="HX157" s="37"/>
      <c r="HY157" s="37"/>
      <c r="HZ157" s="37"/>
      <c r="IA157" s="37"/>
      <c r="IB157" s="37"/>
      <c r="IC157" s="37"/>
    </row>
    <row r="158" spans="1:237" s="40" customFormat="1" x14ac:dyDescent="0.2">
      <c r="A158" s="62"/>
      <c r="B158" s="63"/>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37"/>
      <c r="AX158" s="37"/>
      <c r="AY158" s="37"/>
      <c r="AZ158" s="37"/>
      <c r="BA158" s="37"/>
      <c r="BB158" s="37"/>
      <c r="BC158" s="37"/>
      <c r="BD158" s="37"/>
      <c r="BE158" s="37"/>
      <c r="BF158" s="37"/>
      <c r="BG158" s="37"/>
      <c r="BH158" s="37"/>
      <c r="BI158" s="37"/>
      <c r="BJ158" s="37"/>
      <c r="BK158" s="37"/>
      <c r="BL158" s="37"/>
      <c r="BM158" s="37"/>
      <c r="BN158" s="37"/>
      <c r="BO158" s="37"/>
      <c r="BP158" s="37"/>
      <c r="BQ158" s="37"/>
      <c r="BR158" s="37"/>
      <c r="BS158" s="37"/>
      <c r="BT158" s="37"/>
      <c r="BU158" s="37"/>
      <c r="BV158" s="37"/>
      <c r="BW158" s="37"/>
      <c r="BX158" s="37"/>
      <c r="BY158" s="37"/>
      <c r="BZ158" s="37"/>
      <c r="CA158" s="37"/>
      <c r="CB158" s="37"/>
      <c r="CC158" s="37"/>
      <c r="CD158" s="37"/>
      <c r="CE158" s="37"/>
      <c r="CF158" s="37"/>
      <c r="CG158" s="37"/>
      <c r="CH158" s="37"/>
      <c r="CI158" s="37"/>
      <c r="CJ158" s="37"/>
      <c r="CK158" s="37"/>
      <c r="CL158" s="37"/>
      <c r="CM158" s="37"/>
      <c r="CN158" s="37"/>
      <c r="CO158" s="37"/>
      <c r="CP158" s="37"/>
      <c r="CQ158" s="37"/>
      <c r="CR158" s="37"/>
      <c r="CS158" s="37"/>
      <c r="CT158" s="37"/>
      <c r="CU158" s="37"/>
      <c r="CV158" s="37"/>
      <c r="CW158" s="37"/>
      <c r="CX158" s="37"/>
      <c r="CY158" s="37"/>
      <c r="CZ158" s="37"/>
      <c r="DA158" s="37"/>
      <c r="DB158" s="37"/>
      <c r="DC158" s="37"/>
      <c r="DD158" s="37"/>
      <c r="DE158" s="37"/>
      <c r="DF158" s="37"/>
      <c r="DG158" s="37"/>
      <c r="DH158" s="37"/>
      <c r="DI158" s="37"/>
      <c r="DJ158" s="37"/>
      <c r="DK158" s="37"/>
      <c r="DL158" s="37"/>
      <c r="DM158" s="37"/>
      <c r="DN158" s="37"/>
      <c r="DO158" s="37"/>
      <c r="DP158" s="37"/>
      <c r="DQ158" s="37"/>
      <c r="DR158" s="37"/>
      <c r="DS158" s="37"/>
      <c r="DT158" s="37"/>
      <c r="DU158" s="37"/>
      <c r="DV158" s="37"/>
      <c r="DW158" s="37"/>
      <c r="DX158" s="37"/>
      <c r="DY158" s="37"/>
      <c r="DZ158" s="37"/>
      <c r="EA158" s="37"/>
      <c r="EB158" s="37"/>
      <c r="EC158" s="37"/>
      <c r="ED158" s="37"/>
      <c r="EE158" s="37"/>
      <c r="EF158" s="37"/>
      <c r="EG158" s="37"/>
      <c r="EH158" s="37"/>
      <c r="EI158" s="37"/>
      <c r="EJ158" s="37"/>
      <c r="EK158" s="37"/>
      <c r="EL158" s="37"/>
      <c r="EM158" s="37"/>
      <c r="EN158" s="37"/>
      <c r="EO158" s="37"/>
      <c r="EP158" s="37"/>
      <c r="EQ158" s="37"/>
      <c r="ER158" s="37"/>
      <c r="ES158" s="37"/>
      <c r="ET158" s="37"/>
      <c r="EU158" s="37"/>
      <c r="EV158" s="37"/>
      <c r="EW158" s="37"/>
      <c r="EX158" s="37"/>
      <c r="EY158" s="37"/>
      <c r="EZ158" s="37"/>
      <c r="FA158" s="37"/>
      <c r="FB158" s="37"/>
      <c r="FC158" s="37"/>
      <c r="FD158" s="37"/>
      <c r="FE158" s="37"/>
      <c r="FF158" s="37"/>
      <c r="FG158" s="37"/>
      <c r="FH158" s="37"/>
      <c r="FI158" s="37"/>
      <c r="FJ158" s="37"/>
      <c r="FK158" s="37"/>
      <c r="FL158" s="37"/>
      <c r="FM158" s="37"/>
      <c r="FN158" s="37"/>
      <c r="FO158" s="37"/>
      <c r="FP158" s="37"/>
      <c r="FQ158" s="37"/>
      <c r="FR158" s="37"/>
      <c r="FS158" s="37"/>
      <c r="FT158" s="37"/>
      <c r="FU158" s="37"/>
      <c r="FV158" s="37"/>
      <c r="FW158" s="37"/>
      <c r="FX158" s="37"/>
      <c r="FY158" s="37"/>
      <c r="FZ158" s="37"/>
      <c r="GA158" s="37"/>
      <c r="GB158" s="37"/>
      <c r="GC158" s="37"/>
      <c r="GD158" s="37"/>
      <c r="GE158" s="37"/>
      <c r="GF158" s="37"/>
      <c r="GG158" s="37"/>
      <c r="GH158" s="37"/>
      <c r="GI158" s="37"/>
      <c r="GJ158" s="37"/>
      <c r="GK158" s="37"/>
      <c r="GL158" s="37"/>
      <c r="GM158" s="37"/>
      <c r="GN158" s="37"/>
      <c r="GO158" s="37"/>
      <c r="GP158" s="37"/>
      <c r="GQ158" s="37"/>
      <c r="GR158" s="37"/>
      <c r="GS158" s="37"/>
      <c r="GT158" s="37"/>
      <c r="GU158" s="37"/>
      <c r="GV158" s="37"/>
      <c r="GW158" s="37"/>
      <c r="GX158" s="37"/>
      <c r="GY158" s="37"/>
      <c r="GZ158" s="37"/>
      <c r="HA158" s="37"/>
      <c r="HB158" s="37"/>
      <c r="HC158" s="37"/>
      <c r="HD158" s="37"/>
      <c r="HE158" s="37"/>
      <c r="HF158" s="37"/>
      <c r="HG158" s="37"/>
      <c r="HH158" s="37"/>
      <c r="HI158" s="37"/>
      <c r="HJ158" s="37"/>
      <c r="HK158" s="37"/>
      <c r="HL158" s="37"/>
      <c r="HM158" s="37"/>
      <c r="HN158" s="37"/>
      <c r="HO158" s="37"/>
      <c r="HP158" s="37"/>
      <c r="HQ158" s="37"/>
      <c r="HR158" s="37"/>
      <c r="HS158" s="37"/>
      <c r="HT158" s="37"/>
      <c r="HU158" s="37"/>
      <c r="HV158" s="37"/>
      <c r="HW158" s="37"/>
      <c r="HX158" s="37"/>
      <c r="HY158" s="37"/>
      <c r="HZ158" s="37"/>
      <c r="IA158" s="37"/>
      <c r="IB158" s="37"/>
      <c r="IC158" s="37"/>
    </row>
    <row r="159" spans="1:237" s="40" customFormat="1" x14ac:dyDescent="0.2">
      <c r="A159" s="62"/>
      <c r="B159" s="63"/>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7"/>
      <c r="AZ159" s="37"/>
      <c r="BA159" s="37"/>
      <c r="BB159" s="37"/>
      <c r="BC159" s="37"/>
      <c r="BD159" s="37"/>
      <c r="BE159" s="37"/>
      <c r="BF159" s="37"/>
      <c r="BG159" s="37"/>
      <c r="BH159" s="37"/>
      <c r="BI159" s="37"/>
      <c r="BJ159" s="37"/>
      <c r="BK159" s="37"/>
      <c r="BL159" s="37"/>
      <c r="BM159" s="37"/>
      <c r="BN159" s="37"/>
      <c r="BO159" s="37"/>
      <c r="BP159" s="37"/>
      <c r="BQ159" s="37"/>
      <c r="BR159" s="37"/>
      <c r="BS159" s="37"/>
      <c r="BT159" s="37"/>
      <c r="BU159" s="37"/>
      <c r="BV159" s="37"/>
      <c r="BW159" s="37"/>
      <c r="BX159" s="37"/>
      <c r="BY159" s="37"/>
      <c r="BZ159" s="37"/>
      <c r="CA159" s="37"/>
      <c r="CB159" s="37"/>
      <c r="CC159" s="37"/>
      <c r="CD159" s="37"/>
      <c r="CE159" s="37"/>
      <c r="CF159" s="37"/>
      <c r="CG159" s="37"/>
      <c r="CH159" s="37"/>
      <c r="CI159" s="37"/>
      <c r="CJ159" s="37"/>
      <c r="CK159" s="37"/>
      <c r="CL159" s="37"/>
      <c r="CM159" s="37"/>
      <c r="CN159" s="37"/>
      <c r="CO159" s="37"/>
      <c r="CP159" s="37"/>
      <c r="CQ159" s="37"/>
      <c r="CR159" s="37"/>
      <c r="CS159" s="37"/>
      <c r="CT159" s="37"/>
      <c r="CU159" s="37"/>
      <c r="CV159" s="37"/>
      <c r="CW159" s="37"/>
      <c r="CX159" s="37"/>
      <c r="CY159" s="37"/>
      <c r="CZ159" s="37"/>
      <c r="DA159" s="37"/>
      <c r="DB159" s="37"/>
      <c r="DC159" s="37"/>
      <c r="DD159" s="37"/>
      <c r="DE159" s="37"/>
      <c r="DF159" s="37"/>
      <c r="DG159" s="37"/>
      <c r="DH159" s="37"/>
      <c r="DI159" s="37"/>
      <c r="DJ159" s="37"/>
      <c r="DK159" s="37"/>
      <c r="DL159" s="37"/>
      <c r="DM159" s="37"/>
      <c r="DN159" s="37"/>
      <c r="DO159" s="37"/>
      <c r="DP159" s="37"/>
      <c r="DQ159" s="37"/>
      <c r="DR159" s="37"/>
      <c r="DS159" s="37"/>
      <c r="DT159" s="37"/>
      <c r="DU159" s="37"/>
      <c r="DV159" s="37"/>
      <c r="DW159" s="37"/>
      <c r="DX159" s="37"/>
      <c r="DY159" s="37"/>
      <c r="DZ159" s="37"/>
      <c r="EA159" s="37"/>
      <c r="EB159" s="37"/>
      <c r="EC159" s="37"/>
      <c r="ED159" s="37"/>
      <c r="EE159" s="37"/>
      <c r="EF159" s="37"/>
      <c r="EG159" s="37"/>
      <c r="EH159" s="37"/>
      <c r="EI159" s="37"/>
      <c r="EJ159" s="37"/>
      <c r="EK159" s="37"/>
      <c r="EL159" s="37"/>
      <c r="EM159" s="37"/>
      <c r="EN159" s="37"/>
      <c r="EO159" s="37"/>
      <c r="EP159" s="37"/>
      <c r="EQ159" s="37"/>
      <c r="ER159" s="37"/>
      <c r="ES159" s="37"/>
      <c r="ET159" s="37"/>
      <c r="EU159" s="37"/>
      <c r="EV159" s="37"/>
      <c r="EW159" s="37"/>
      <c r="EX159" s="37"/>
      <c r="EY159" s="37"/>
      <c r="EZ159" s="37"/>
      <c r="FA159" s="37"/>
      <c r="FB159" s="37"/>
      <c r="FC159" s="37"/>
      <c r="FD159" s="37"/>
      <c r="FE159" s="37"/>
      <c r="FF159" s="37"/>
      <c r="FG159" s="37"/>
      <c r="FH159" s="37"/>
      <c r="FI159" s="37"/>
      <c r="FJ159" s="37"/>
      <c r="FK159" s="37"/>
      <c r="FL159" s="37"/>
      <c r="FM159" s="37"/>
      <c r="FN159" s="37"/>
      <c r="FO159" s="37"/>
      <c r="FP159" s="37"/>
      <c r="FQ159" s="37"/>
      <c r="FR159" s="37"/>
      <c r="FS159" s="37"/>
      <c r="FT159" s="37"/>
      <c r="FU159" s="37"/>
      <c r="FV159" s="37"/>
      <c r="FW159" s="37"/>
      <c r="FX159" s="37"/>
      <c r="FY159" s="37"/>
      <c r="FZ159" s="37"/>
      <c r="GA159" s="37"/>
      <c r="GB159" s="37"/>
      <c r="GC159" s="37"/>
      <c r="GD159" s="37"/>
      <c r="GE159" s="37"/>
      <c r="GF159" s="37"/>
      <c r="GG159" s="37"/>
      <c r="GH159" s="37"/>
      <c r="GI159" s="37"/>
      <c r="GJ159" s="37"/>
      <c r="GK159" s="37"/>
      <c r="GL159" s="37"/>
      <c r="GM159" s="37"/>
      <c r="GN159" s="37"/>
      <c r="GO159" s="37"/>
      <c r="GP159" s="37"/>
      <c r="GQ159" s="37"/>
      <c r="GR159" s="37"/>
      <c r="GS159" s="37"/>
      <c r="GT159" s="37"/>
      <c r="GU159" s="37"/>
      <c r="GV159" s="37"/>
      <c r="GW159" s="37"/>
      <c r="GX159" s="37"/>
      <c r="GY159" s="37"/>
      <c r="GZ159" s="37"/>
      <c r="HA159" s="37"/>
      <c r="HB159" s="37"/>
      <c r="HC159" s="37"/>
      <c r="HD159" s="37"/>
      <c r="HE159" s="37"/>
      <c r="HF159" s="37"/>
      <c r="HG159" s="37"/>
      <c r="HH159" s="37"/>
      <c r="HI159" s="37"/>
      <c r="HJ159" s="37"/>
      <c r="HK159" s="37"/>
      <c r="HL159" s="37"/>
      <c r="HM159" s="37"/>
      <c r="HN159" s="37"/>
      <c r="HO159" s="37"/>
      <c r="HP159" s="37"/>
      <c r="HQ159" s="37"/>
      <c r="HR159" s="37"/>
      <c r="HS159" s="37"/>
      <c r="HT159" s="37"/>
      <c r="HU159" s="37"/>
      <c r="HV159" s="37"/>
      <c r="HW159" s="37"/>
      <c r="HX159" s="37"/>
      <c r="HY159" s="37"/>
      <c r="HZ159" s="37"/>
      <c r="IA159" s="37"/>
      <c r="IB159" s="37"/>
      <c r="IC159" s="37"/>
    </row>
    <row r="160" spans="1:237" s="40" customFormat="1" x14ac:dyDescent="0.2">
      <c r="A160" s="62"/>
      <c r="B160" s="63"/>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37"/>
      <c r="AX160" s="37"/>
      <c r="AY160" s="37"/>
      <c r="AZ160" s="37"/>
      <c r="BA160" s="37"/>
      <c r="BB160" s="37"/>
      <c r="BC160" s="37"/>
      <c r="BD160" s="37"/>
      <c r="BE160" s="37"/>
      <c r="BF160" s="37"/>
      <c r="BG160" s="37"/>
      <c r="BH160" s="37"/>
      <c r="BI160" s="37"/>
      <c r="BJ160" s="37"/>
      <c r="BK160" s="37"/>
      <c r="BL160" s="37"/>
      <c r="BM160" s="37"/>
      <c r="BN160" s="37"/>
      <c r="BO160" s="37"/>
      <c r="BP160" s="37"/>
      <c r="BQ160" s="37"/>
      <c r="BR160" s="37"/>
      <c r="BS160" s="37"/>
      <c r="BT160" s="37"/>
      <c r="BU160" s="37"/>
      <c r="BV160" s="37"/>
      <c r="BW160" s="37"/>
      <c r="BX160" s="37"/>
      <c r="BY160" s="37"/>
      <c r="BZ160" s="37"/>
      <c r="CA160" s="37"/>
      <c r="CB160" s="37"/>
      <c r="CC160" s="37"/>
      <c r="CD160" s="37"/>
      <c r="CE160" s="37"/>
      <c r="CF160" s="37"/>
      <c r="CG160" s="37"/>
      <c r="CH160" s="37"/>
      <c r="CI160" s="37"/>
      <c r="CJ160" s="37"/>
      <c r="CK160" s="37"/>
      <c r="CL160" s="37"/>
      <c r="CM160" s="37"/>
      <c r="CN160" s="37"/>
      <c r="CO160" s="37"/>
      <c r="CP160" s="37"/>
      <c r="CQ160" s="37"/>
      <c r="CR160" s="37"/>
      <c r="CS160" s="37"/>
      <c r="CT160" s="37"/>
      <c r="CU160" s="37"/>
      <c r="CV160" s="37"/>
      <c r="CW160" s="37"/>
      <c r="CX160" s="37"/>
      <c r="CY160" s="37"/>
      <c r="CZ160" s="37"/>
      <c r="DA160" s="37"/>
      <c r="DB160" s="37"/>
      <c r="DC160" s="37"/>
      <c r="DD160" s="37"/>
      <c r="DE160" s="37"/>
      <c r="DF160" s="37"/>
      <c r="DG160" s="37"/>
      <c r="DH160" s="37"/>
      <c r="DI160" s="37"/>
      <c r="DJ160" s="37"/>
      <c r="DK160" s="37"/>
      <c r="DL160" s="37"/>
      <c r="DM160" s="37"/>
      <c r="DN160" s="37"/>
      <c r="DO160" s="37"/>
      <c r="DP160" s="37"/>
      <c r="DQ160" s="37"/>
      <c r="DR160" s="37"/>
      <c r="DS160" s="37"/>
      <c r="DT160" s="37"/>
      <c r="DU160" s="37"/>
      <c r="DV160" s="37"/>
      <c r="DW160" s="37"/>
      <c r="DX160" s="37"/>
      <c r="DY160" s="37"/>
      <c r="DZ160" s="37"/>
      <c r="EA160" s="37"/>
      <c r="EB160" s="37"/>
      <c r="EC160" s="37"/>
      <c r="ED160" s="37"/>
      <c r="EE160" s="37"/>
      <c r="EF160" s="37"/>
      <c r="EG160" s="37"/>
      <c r="EH160" s="37"/>
      <c r="EI160" s="37"/>
      <c r="EJ160" s="37"/>
      <c r="EK160" s="37"/>
      <c r="EL160" s="37"/>
      <c r="EM160" s="37"/>
      <c r="EN160" s="37"/>
      <c r="EO160" s="37"/>
      <c r="EP160" s="37"/>
      <c r="EQ160" s="37"/>
      <c r="ER160" s="37"/>
      <c r="ES160" s="37"/>
      <c r="ET160" s="37"/>
      <c r="EU160" s="37"/>
      <c r="EV160" s="37"/>
      <c r="EW160" s="37"/>
      <c r="EX160" s="37"/>
      <c r="EY160" s="37"/>
      <c r="EZ160" s="37"/>
      <c r="FA160" s="37"/>
      <c r="FB160" s="37"/>
      <c r="FC160" s="37"/>
      <c r="FD160" s="37"/>
      <c r="FE160" s="37"/>
      <c r="FF160" s="37"/>
      <c r="FG160" s="37"/>
      <c r="FH160" s="37"/>
      <c r="FI160" s="37"/>
      <c r="FJ160" s="37"/>
      <c r="FK160" s="37"/>
      <c r="FL160" s="37"/>
      <c r="FM160" s="37"/>
      <c r="FN160" s="37"/>
      <c r="FO160" s="37"/>
      <c r="FP160" s="37"/>
      <c r="FQ160" s="37"/>
      <c r="FR160" s="37"/>
      <c r="FS160" s="37"/>
      <c r="FT160" s="37"/>
      <c r="FU160" s="37"/>
      <c r="FV160" s="37"/>
      <c r="FW160" s="37"/>
      <c r="FX160" s="37"/>
      <c r="FY160" s="37"/>
      <c r="FZ160" s="37"/>
      <c r="GA160" s="37"/>
      <c r="GB160" s="37"/>
      <c r="GC160" s="37"/>
      <c r="GD160" s="37"/>
      <c r="GE160" s="37"/>
      <c r="GF160" s="37"/>
      <c r="GG160" s="37"/>
      <c r="GH160" s="37"/>
      <c r="GI160" s="37"/>
      <c r="GJ160" s="37"/>
      <c r="GK160" s="37"/>
      <c r="GL160" s="37"/>
      <c r="GM160" s="37"/>
      <c r="GN160" s="37"/>
      <c r="GO160" s="37"/>
      <c r="GP160" s="37"/>
      <c r="GQ160" s="37"/>
      <c r="GR160" s="37"/>
      <c r="GS160" s="37"/>
      <c r="GT160" s="37"/>
      <c r="GU160" s="37"/>
      <c r="GV160" s="37"/>
      <c r="GW160" s="37"/>
      <c r="GX160" s="37"/>
      <c r="GY160" s="37"/>
      <c r="GZ160" s="37"/>
      <c r="HA160" s="37"/>
      <c r="HB160" s="37"/>
      <c r="HC160" s="37"/>
      <c r="HD160" s="37"/>
      <c r="HE160" s="37"/>
      <c r="HF160" s="37"/>
      <c r="HG160" s="37"/>
      <c r="HH160" s="37"/>
      <c r="HI160" s="37"/>
      <c r="HJ160" s="37"/>
      <c r="HK160" s="37"/>
      <c r="HL160" s="37"/>
      <c r="HM160" s="37"/>
      <c r="HN160" s="37"/>
      <c r="HO160" s="37"/>
      <c r="HP160" s="37"/>
      <c r="HQ160" s="37"/>
      <c r="HR160" s="37"/>
      <c r="HS160" s="37"/>
      <c r="HT160" s="37"/>
      <c r="HU160" s="37"/>
      <c r="HV160" s="37"/>
      <c r="HW160" s="37"/>
      <c r="HX160" s="37"/>
      <c r="HY160" s="37"/>
      <c r="HZ160" s="37"/>
      <c r="IA160" s="37"/>
      <c r="IB160" s="37"/>
      <c r="IC160" s="37"/>
    </row>
    <row r="161" spans="1:237" s="40" customFormat="1" x14ac:dyDescent="0.2">
      <c r="A161" s="62"/>
      <c r="B161" s="63"/>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37"/>
      <c r="AX161" s="37"/>
      <c r="AY161" s="37"/>
      <c r="AZ161" s="37"/>
      <c r="BA161" s="37"/>
      <c r="BB161" s="37"/>
      <c r="BC161" s="37"/>
      <c r="BD161" s="37"/>
      <c r="BE161" s="37"/>
      <c r="BF161" s="37"/>
      <c r="BG161" s="37"/>
      <c r="BH161" s="37"/>
      <c r="BI161" s="37"/>
      <c r="BJ161" s="37"/>
      <c r="BK161" s="37"/>
      <c r="BL161" s="37"/>
      <c r="BM161" s="37"/>
      <c r="BN161" s="37"/>
      <c r="BO161" s="37"/>
      <c r="BP161" s="37"/>
      <c r="BQ161" s="37"/>
      <c r="BR161" s="37"/>
      <c r="BS161" s="37"/>
      <c r="BT161" s="37"/>
      <c r="BU161" s="37"/>
      <c r="BV161" s="37"/>
      <c r="BW161" s="37"/>
      <c r="BX161" s="37"/>
      <c r="BY161" s="37"/>
      <c r="BZ161" s="37"/>
      <c r="CA161" s="37"/>
      <c r="CB161" s="37"/>
      <c r="CC161" s="37"/>
      <c r="CD161" s="37"/>
      <c r="CE161" s="37"/>
      <c r="CF161" s="37"/>
      <c r="CG161" s="37"/>
      <c r="CH161" s="37"/>
      <c r="CI161" s="37"/>
      <c r="CJ161" s="37"/>
      <c r="CK161" s="37"/>
      <c r="CL161" s="37"/>
      <c r="CM161" s="37"/>
      <c r="CN161" s="37"/>
      <c r="CO161" s="37"/>
      <c r="CP161" s="37"/>
      <c r="CQ161" s="37"/>
      <c r="CR161" s="37"/>
      <c r="CS161" s="37"/>
      <c r="CT161" s="37"/>
      <c r="CU161" s="37"/>
      <c r="CV161" s="37"/>
      <c r="CW161" s="37"/>
      <c r="CX161" s="37"/>
      <c r="CY161" s="37"/>
      <c r="CZ161" s="37"/>
      <c r="DA161" s="37"/>
      <c r="DB161" s="37"/>
      <c r="DC161" s="37"/>
      <c r="DD161" s="37"/>
      <c r="DE161" s="37"/>
      <c r="DF161" s="37"/>
      <c r="DG161" s="37"/>
      <c r="DH161" s="37"/>
      <c r="DI161" s="37"/>
      <c r="DJ161" s="37"/>
      <c r="DK161" s="37"/>
      <c r="DL161" s="37"/>
      <c r="DM161" s="37"/>
      <c r="DN161" s="37"/>
      <c r="DO161" s="37"/>
      <c r="DP161" s="37"/>
      <c r="DQ161" s="37"/>
      <c r="DR161" s="37"/>
      <c r="DS161" s="37"/>
      <c r="DT161" s="37"/>
      <c r="DU161" s="37"/>
      <c r="DV161" s="37"/>
      <c r="DW161" s="37"/>
      <c r="DX161" s="37"/>
      <c r="DY161" s="37"/>
      <c r="DZ161" s="37"/>
      <c r="EA161" s="37"/>
      <c r="EB161" s="37"/>
      <c r="EC161" s="37"/>
      <c r="ED161" s="37"/>
      <c r="EE161" s="37"/>
      <c r="EF161" s="37"/>
      <c r="EG161" s="37"/>
      <c r="EH161" s="37"/>
      <c r="EI161" s="37"/>
      <c r="EJ161" s="37"/>
      <c r="EK161" s="37"/>
      <c r="EL161" s="37"/>
      <c r="EM161" s="37"/>
      <c r="EN161" s="37"/>
      <c r="EO161" s="37"/>
      <c r="EP161" s="37"/>
      <c r="EQ161" s="37"/>
      <c r="ER161" s="37"/>
      <c r="ES161" s="37"/>
      <c r="ET161" s="37"/>
      <c r="EU161" s="37"/>
      <c r="EV161" s="37"/>
      <c r="EW161" s="37"/>
      <c r="EX161" s="37"/>
      <c r="EY161" s="37"/>
      <c r="EZ161" s="37"/>
      <c r="FA161" s="37"/>
      <c r="FB161" s="37"/>
      <c r="FC161" s="37"/>
      <c r="FD161" s="37"/>
      <c r="FE161" s="37"/>
      <c r="FF161" s="37"/>
      <c r="FG161" s="37"/>
      <c r="FH161" s="37"/>
      <c r="FI161" s="37"/>
      <c r="FJ161" s="37"/>
      <c r="FK161" s="37"/>
      <c r="FL161" s="37"/>
      <c r="FM161" s="37"/>
      <c r="FN161" s="37"/>
      <c r="FO161" s="37"/>
      <c r="FP161" s="37"/>
      <c r="FQ161" s="37"/>
      <c r="FR161" s="37"/>
      <c r="FS161" s="37"/>
      <c r="FT161" s="37"/>
      <c r="FU161" s="37"/>
      <c r="FV161" s="37"/>
      <c r="FW161" s="37"/>
      <c r="FX161" s="37"/>
      <c r="FY161" s="37"/>
      <c r="FZ161" s="37"/>
      <c r="GA161" s="37"/>
      <c r="GB161" s="37"/>
      <c r="GC161" s="37"/>
      <c r="GD161" s="37"/>
      <c r="GE161" s="37"/>
      <c r="GF161" s="37"/>
      <c r="GG161" s="37"/>
      <c r="GH161" s="37"/>
      <c r="GI161" s="37"/>
      <c r="GJ161" s="37"/>
      <c r="GK161" s="37"/>
      <c r="GL161" s="37"/>
      <c r="GM161" s="37"/>
      <c r="GN161" s="37"/>
      <c r="GO161" s="37"/>
      <c r="GP161" s="37"/>
      <c r="GQ161" s="37"/>
      <c r="GR161" s="37"/>
      <c r="GS161" s="37"/>
      <c r="GT161" s="37"/>
      <c r="GU161" s="37"/>
      <c r="GV161" s="37"/>
      <c r="GW161" s="37"/>
      <c r="GX161" s="37"/>
      <c r="GY161" s="37"/>
      <c r="GZ161" s="37"/>
      <c r="HA161" s="37"/>
      <c r="HB161" s="37"/>
      <c r="HC161" s="37"/>
      <c r="HD161" s="37"/>
      <c r="HE161" s="37"/>
      <c r="HF161" s="37"/>
      <c r="HG161" s="37"/>
      <c r="HH161" s="37"/>
      <c r="HI161" s="37"/>
      <c r="HJ161" s="37"/>
      <c r="HK161" s="37"/>
      <c r="HL161" s="37"/>
      <c r="HM161" s="37"/>
      <c r="HN161" s="37"/>
      <c r="HO161" s="37"/>
      <c r="HP161" s="37"/>
      <c r="HQ161" s="37"/>
      <c r="HR161" s="37"/>
      <c r="HS161" s="37"/>
      <c r="HT161" s="37"/>
      <c r="HU161" s="37"/>
      <c r="HV161" s="37"/>
      <c r="HW161" s="37"/>
      <c r="HX161" s="37"/>
      <c r="HY161" s="37"/>
      <c r="HZ161" s="37"/>
      <c r="IA161" s="37"/>
      <c r="IB161" s="37"/>
      <c r="IC161" s="37"/>
    </row>
    <row r="162" spans="1:237" s="40" customFormat="1" x14ac:dyDescent="0.2">
      <c r="A162" s="62"/>
      <c r="B162" s="63"/>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7"/>
      <c r="AZ162" s="37"/>
      <c r="BA162" s="37"/>
      <c r="BB162" s="37"/>
      <c r="BC162" s="37"/>
      <c r="BD162" s="37"/>
      <c r="BE162" s="37"/>
      <c r="BF162" s="37"/>
      <c r="BG162" s="37"/>
      <c r="BH162" s="37"/>
      <c r="BI162" s="37"/>
      <c r="BJ162" s="37"/>
      <c r="BK162" s="37"/>
      <c r="BL162" s="37"/>
      <c r="BM162" s="37"/>
      <c r="BN162" s="37"/>
      <c r="BO162" s="37"/>
      <c r="BP162" s="37"/>
      <c r="BQ162" s="37"/>
      <c r="BR162" s="37"/>
      <c r="BS162" s="37"/>
      <c r="BT162" s="37"/>
      <c r="BU162" s="37"/>
      <c r="BV162" s="37"/>
      <c r="BW162" s="37"/>
      <c r="BX162" s="37"/>
      <c r="BY162" s="37"/>
      <c r="BZ162" s="37"/>
      <c r="CA162" s="37"/>
      <c r="CB162" s="37"/>
      <c r="CC162" s="37"/>
      <c r="CD162" s="37"/>
      <c r="CE162" s="37"/>
      <c r="CF162" s="37"/>
      <c r="CG162" s="37"/>
      <c r="CH162" s="37"/>
      <c r="CI162" s="37"/>
      <c r="CJ162" s="37"/>
      <c r="CK162" s="37"/>
      <c r="CL162" s="37"/>
      <c r="CM162" s="37"/>
      <c r="CN162" s="37"/>
      <c r="CO162" s="37"/>
      <c r="CP162" s="37"/>
      <c r="CQ162" s="37"/>
      <c r="CR162" s="37"/>
      <c r="CS162" s="37"/>
      <c r="CT162" s="37"/>
      <c r="CU162" s="37"/>
      <c r="CV162" s="37"/>
      <c r="CW162" s="37"/>
      <c r="CX162" s="37"/>
      <c r="CY162" s="37"/>
      <c r="CZ162" s="37"/>
      <c r="DA162" s="37"/>
      <c r="DB162" s="37"/>
      <c r="DC162" s="37"/>
      <c r="DD162" s="37"/>
      <c r="DE162" s="37"/>
      <c r="DF162" s="37"/>
      <c r="DG162" s="37"/>
      <c r="DH162" s="37"/>
      <c r="DI162" s="37"/>
      <c r="DJ162" s="37"/>
      <c r="DK162" s="37"/>
      <c r="DL162" s="37"/>
      <c r="DM162" s="37"/>
      <c r="DN162" s="37"/>
      <c r="DO162" s="37"/>
      <c r="DP162" s="37"/>
      <c r="DQ162" s="37"/>
      <c r="DR162" s="37"/>
      <c r="DS162" s="37"/>
      <c r="DT162" s="37"/>
      <c r="DU162" s="37"/>
      <c r="DV162" s="37"/>
      <c r="DW162" s="37"/>
      <c r="DX162" s="37"/>
      <c r="DY162" s="37"/>
      <c r="DZ162" s="37"/>
      <c r="EA162" s="37"/>
      <c r="EB162" s="37"/>
      <c r="EC162" s="37"/>
      <c r="ED162" s="37"/>
      <c r="EE162" s="37"/>
      <c r="EF162" s="37"/>
      <c r="EG162" s="37"/>
      <c r="EH162" s="37"/>
      <c r="EI162" s="37"/>
      <c r="EJ162" s="37"/>
      <c r="EK162" s="37"/>
      <c r="EL162" s="37"/>
      <c r="EM162" s="37"/>
      <c r="EN162" s="37"/>
      <c r="EO162" s="37"/>
      <c r="EP162" s="37"/>
      <c r="EQ162" s="37"/>
      <c r="ER162" s="37"/>
      <c r="ES162" s="37"/>
      <c r="ET162" s="37"/>
      <c r="EU162" s="37"/>
      <c r="EV162" s="37"/>
      <c r="EW162" s="37"/>
      <c r="EX162" s="37"/>
      <c r="EY162" s="37"/>
      <c r="EZ162" s="37"/>
      <c r="FA162" s="37"/>
      <c r="FB162" s="37"/>
      <c r="FC162" s="37"/>
      <c r="FD162" s="37"/>
      <c r="FE162" s="37"/>
      <c r="FF162" s="37"/>
      <c r="FG162" s="37"/>
      <c r="FH162" s="37"/>
      <c r="FI162" s="37"/>
      <c r="FJ162" s="37"/>
      <c r="FK162" s="37"/>
      <c r="FL162" s="37"/>
      <c r="FM162" s="37"/>
      <c r="FN162" s="37"/>
      <c r="FO162" s="37"/>
      <c r="FP162" s="37"/>
      <c r="FQ162" s="37"/>
      <c r="FR162" s="37"/>
      <c r="FS162" s="37"/>
      <c r="FT162" s="37"/>
      <c r="FU162" s="37"/>
      <c r="FV162" s="37"/>
      <c r="FW162" s="37"/>
      <c r="FX162" s="37"/>
      <c r="FY162" s="37"/>
      <c r="FZ162" s="37"/>
      <c r="GA162" s="37"/>
      <c r="GB162" s="37"/>
      <c r="GC162" s="37"/>
      <c r="GD162" s="37"/>
      <c r="GE162" s="37"/>
      <c r="GF162" s="37"/>
      <c r="GG162" s="37"/>
      <c r="GH162" s="37"/>
      <c r="GI162" s="37"/>
      <c r="GJ162" s="37"/>
      <c r="GK162" s="37"/>
      <c r="GL162" s="37"/>
      <c r="GM162" s="37"/>
      <c r="GN162" s="37"/>
      <c r="GO162" s="37"/>
      <c r="GP162" s="37"/>
      <c r="GQ162" s="37"/>
      <c r="GR162" s="37"/>
      <c r="GS162" s="37"/>
      <c r="GT162" s="37"/>
      <c r="GU162" s="37"/>
      <c r="GV162" s="37"/>
      <c r="GW162" s="37"/>
      <c r="GX162" s="37"/>
      <c r="GY162" s="37"/>
      <c r="GZ162" s="37"/>
      <c r="HA162" s="37"/>
      <c r="HB162" s="37"/>
      <c r="HC162" s="37"/>
      <c r="HD162" s="37"/>
      <c r="HE162" s="37"/>
      <c r="HF162" s="37"/>
      <c r="HG162" s="37"/>
      <c r="HH162" s="37"/>
      <c r="HI162" s="37"/>
      <c r="HJ162" s="37"/>
      <c r="HK162" s="37"/>
      <c r="HL162" s="37"/>
      <c r="HM162" s="37"/>
      <c r="HN162" s="37"/>
      <c r="HO162" s="37"/>
      <c r="HP162" s="37"/>
      <c r="HQ162" s="37"/>
      <c r="HR162" s="37"/>
      <c r="HS162" s="37"/>
      <c r="HT162" s="37"/>
      <c r="HU162" s="37"/>
      <c r="HV162" s="37"/>
      <c r="HW162" s="37"/>
      <c r="HX162" s="37"/>
      <c r="HY162" s="37"/>
      <c r="HZ162" s="37"/>
      <c r="IA162" s="37"/>
      <c r="IB162" s="37"/>
      <c r="IC162" s="37"/>
    </row>
    <row r="163" spans="1:237" s="40" customFormat="1" x14ac:dyDescent="0.2">
      <c r="A163" s="62"/>
      <c r="B163" s="63"/>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37"/>
      <c r="AX163" s="37"/>
      <c r="AY163" s="37"/>
      <c r="AZ163" s="37"/>
      <c r="BA163" s="37"/>
      <c r="BB163" s="37"/>
      <c r="BC163" s="37"/>
      <c r="BD163" s="37"/>
      <c r="BE163" s="37"/>
      <c r="BF163" s="37"/>
      <c r="BG163" s="37"/>
      <c r="BH163" s="37"/>
      <c r="BI163" s="37"/>
      <c r="BJ163" s="37"/>
      <c r="BK163" s="37"/>
      <c r="BL163" s="37"/>
      <c r="BM163" s="37"/>
      <c r="BN163" s="37"/>
      <c r="BO163" s="37"/>
      <c r="BP163" s="37"/>
      <c r="BQ163" s="37"/>
      <c r="BR163" s="37"/>
      <c r="BS163" s="37"/>
      <c r="BT163" s="37"/>
      <c r="BU163" s="37"/>
      <c r="BV163" s="37"/>
      <c r="BW163" s="37"/>
      <c r="BX163" s="37"/>
      <c r="BY163" s="37"/>
      <c r="BZ163" s="37"/>
      <c r="CA163" s="37"/>
      <c r="CB163" s="37"/>
      <c r="CC163" s="37"/>
      <c r="CD163" s="37"/>
      <c r="CE163" s="37"/>
      <c r="CF163" s="37"/>
      <c r="CG163" s="37"/>
      <c r="CH163" s="37"/>
      <c r="CI163" s="37"/>
      <c r="CJ163" s="37"/>
      <c r="CK163" s="37"/>
      <c r="CL163" s="37"/>
      <c r="CM163" s="37"/>
      <c r="CN163" s="37"/>
      <c r="CO163" s="37"/>
      <c r="CP163" s="37"/>
      <c r="CQ163" s="37"/>
      <c r="CR163" s="37"/>
      <c r="CS163" s="37"/>
      <c r="CT163" s="37"/>
      <c r="CU163" s="37"/>
      <c r="CV163" s="37"/>
      <c r="CW163" s="37"/>
      <c r="CX163" s="37"/>
      <c r="CY163" s="37"/>
      <c r="CZ163" s="37"/>
      <c r="DA163" s="37"/>
      <c r="DB163" s="37"/>
      <c r="DC163" s="37"/>
      <c r="DD163" s="37"/>
      <c r="DE163" s="37"/>
      <c r="DF163" s="37"/>
      <c r="DG163" s="37"/>
      <c r="DH163" s="37"/>
      <c r="DI163" s="37"/>
      <c r="DJ163" s="37"/>
      <c r="DK163" s="37"/>
      <c r="DL163" s="37"/>
      <c r="DM163" s="37"/>
      <c r="DN163" s="37"/>
      <c r="DO163" s="37"/>
      <c r="DP163" s="37"/>
      <c r="DQ163" s="37"/>
      <c r="DR163" s="37"/>
      <c r="DS163" s="37"/>
      <c r="DT163" s="37"/>
      <c r="DU163" s="37"/>
      <c r="DV163" s="37"/>
      <c r="DW163" s="37"/>
      <c r="DX163" s="37"/>
      <c r="DY163" s="37"/>
      <c r="DZ163" s="37"/>
      <c r="EA163" s="37"/>
      <c r="EB163" s="37"/>
      <c r="EC163" s="37"/>
      <c r="ED163" s="37"/>
      <c r="EE163" s="37"/>
      <c r="EF163" s="37"/>
      <c r="EG163" s="37"/>
      <c r="EH163" s="37"/>
      <c r="EI163" s="37"/>
      <c r="EJ163" s="37"/>
      <c r="EK163" s="37"/>
      <c r="EL163" s="37"/>
      <c r="EM163" s="37"/>
      <c r="EN163" s="37"/>
      <c r="EO163" s="37"/>
      <c r="EP163" s="37"/>
      <c r="EQ163" s="37"/>
      <c r="ER163" s="37"/>
      <c r="ES163" s="37"/>
      <c r="ET163" s="37"/>
      <c r="EU163" s="37"/>
      <c r="EV163" s="37"/>
      <c r="EW163" s="37"/>
      <c r="EX163" s="37"/>
      <c r="EY163" s="37"/>
      <c r="EZ163" s="37"/>
      <c r="FA163" s="37"/>
      <c r="FB163" s="37"/>
      <c r="FC163" s="37"/>
      <c r="FD163" s="37"/>
      <c r="FE163" s="37"/>
      <c r="FF163" s="37"/>
      <c r="FG163" s="37"/>
      <c r="FH163" s="37"/>
      <c r="FI163" s="37"/>
      <c r="FJ163" s="37"/>
      <c r="FK163" s="37"/>
      <c r="FL163" s="37"/>
      <c r="FM163" s="37"/>
      <c r="FN163" s="37"/>
      <c r="FO163" s="37"/>
      <c r="FP163" s="37"/>
      <c r="FQ163" s="37"/>
      <c r="FR163" s="37"/>
      <c r="FS163" s="37"/>
      <c r="FT163" s="37"/>
      <c r="FU163" s="37"/>
      <c r="FV163" s="37"/>
      <c r="FW163" s="37"/>
      <c r="FX163" s="37"/>
      <c r="FY163" s="37"/>
      <c r="FZ163" s="37"/>
      <c r="GA163" s="37"/>
      <c r="GB163" s="37"/>
      <c r="GC163" s="37"/>
      <c r="GD163" s="37"/>
      <c r="GE163" s="37"/>
      <c r="GF163" s="37"/>
      <c r="GG163" s="37"/>
      <c r="GH163" s="37"/>
      <c r="GI163" s="37"/>
      <c r="GJ163" s="37"/>
      <c r="GK163" s="37"/>
      <c r="GL163" s="37"/>
      <c r="GM163" s="37"/>
      <c r="GN163" s="37"/>
      <c r="GO163" s="37"/>
      <c r="GP163" s="37"/>
      <c r="GQ163" s="37"/>
      <c r="GR163" s="37"/>
      <c r="GS163" s="37"/>
      <c r="GT163" s="37"/>
      <c r="GU163" s="37"/>
      <c r="GV163" s="37"/>
      <c r="GW163" s="37"/>
      <c r="GX163" s="37"/>
      <c r="GY163" s="37"/>
      <c r="GZ163" s="37"/>
      <c r="HA163" s="37"/>
      <c r="HB163" s="37"/>
      <c r="HC163" s="37"/>
      <c r="HD163" s="37"/>
      <c r="HE163" s="37"/>
      <c r="HF163" s="37"/>
      <c r="HG163" s="37"/>
      <c r="HH163" s="37"/>
      <c r="HI163" s="37"/>
      <c r="HJ163" s="37"/>
      <c r="HK163" s="37"/>
      <c r="HL163" s="37"/>
      <c r="HM163" s="37"/>
      <c r="HN163" s="37"/>
      <c r="HO163" s="37"/>
      <c r="HP163" s="37"/>
      <c r="HQ163" s="37"/>
      <c r="HR163" s="37"/>
      <c r="HS163" s="37"/>
      <c r="HT163" s="37"/>
      <c r="HU163" s="37"/>
      <c r="HV163" s="37"/>
      <c r="HW163" s="37"/>
      <c r="HX163" s="37"/>
      <c r="HY163" s="37"/>
      <c r="HZ163" s="37"/>
      <c r="IA163" s="37"/>
      <c r="IB163" s="37"/>
      <c r="IC163" s="37"/>
    </row>
    <row r="164" spans="1:237" s="40" customFormat="1" x14ac:dyDescent="0.2">
      <c r="A164" s="62"/>
      <c r="B164" s="63"/>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c r="BC164" s="37"/>
      <c r="BD164" s="37"/>
      <c r="BE164" s="37"/>
      <c r="BF164" s="37"/>
      <c r="BG164" s="37"/>
      <c r="BH164" s="37"/>
      <c r="BI164" s="37"/>
      <c r="BJ164" s="37"/>
      <c r="BK164" s="37"/>
      <c r="BL164" s="37"/>
      <c r="BM164" s="37"/>
      <c r="BN164" s="37"/>
      <c r="BO164" s="37"/>
      <c r="BP164" s="37"/>
      <c r="BQ164" s="37"/>
      <c r="BR164" s="37"/>
      <c r="BS164" s="37"/>
      <c r="BT164" s="37"/>
      <c r="BU164" s="37"/>
      <c r="BV164" s="37"/>
      <c r="BW164" s="37"/>
      <c r="BX164" s="37"/>
      <c r="BY164" s="37"/>
      <c r="BZ164" s="37"/>
      <c r="CA164" s="37"/>
      <c r="CB164" s="37"/>
      <c r="CC164" s="37"/>
      <c r="CD164" s="37"/>
      <c r="CE164" s="37"/>
      <c r="CF164" s="37"/>
      <c r="CG164" s="37"/>
      <c r="CH164" s="37"/>
      <c r="CI164" s="37"/>
      <c r="CJ164" s="37"/>
      <c r="CK164" s="37"/>
      <c r="CL164" s="37"/>
      <c r="CM164" s="37"/>
      <c r="CN164" s="37"/>
      <c r="CO164" s="37"/>
      <c r="CP164" s="37"/>
      <c r="CQ164" s="37"/>
      <c r="CR164" s="37"/>
      <c r="CS164" s="37"/>
      <c r="CT164" s="37"/>
      <c r="CU164" s="37"/>
      <c r="CV164" s="37"/>
      <c r="CW164" s="37"/>
      <c r="CX164" s="37"/>
      <c r="CY164" s="37"/>
      <c r="CZ164" s="37"/>
      <c r="DA164" s="37"/>
      <c r="DB164" s="37"/>
      <c r="DC164" s="37"/>
      <c r="DD164" s="37"/>
      <c r="DE164" s="37"/>
      <c r="DF164" s="37"/>
      <c r="DG164" s="37"/>
      <c r="DH164" s="37"/>
      <c r="DI164" s="37"/>
      <c r="DJ164" s="37"/>
      <c r="DK164" s="37"/>
      <c r="DL164" s="37"/>
      <c r="DM164" s="37"/>
      <c r="DN164" s="37"/>
      <c r="DO164" s="37"/>
      <c r="DP164" s="37"/>
      <c r="DQ164" s="37"/>
      <c r="DR164" s="37"/>
      <c r="DS164" s="37"/>
      <c r="DT164" s="37"/>
      <c r="DU164" s="37"/>
      <c r="DV164" s="37"/>
      <c r="DW164" s="37"/>
      <c r="DX164" s="37"/>
      <c r="DY164" s="37"/>
      <c r="DZ164" s="37"/>
      <c r="EA164" s="37"/>
      <c r="EB164" s="37"/>
      <c r="EC164" s="37"/>
      <c r="ED164" s="37"/>
      <c r="EE164" s="37"/>
      <c r="EF164" s="37"/>
      <c r="EG164" s="37"/>
      <c r="EH164" s="37"/>
      <c r="EI164" s="37"/>
      <c r="EJ164" s="37"/>
      <c r="EK164" s="37"/>
      <c r="EL164" s="37"/>
      <c r="EM164" s="37"/>
      <c r="EN164" s="37"/>
      <c r="EO164" s="37"/>
      <c r="EP164" s="37"/>
      <c r="EQ164" s="37"/>
      <c r="ER164" s="37"/>
      <c r="ES164" s="37"/>
      <c r="ET164" s="37"/>
      <c r="EU164" s="37"/>
      <c r="EV164" s="37"/>
      <c r="EW164" s="37"/>
      <c r="EX164" s="37"/>
      <c r="EY164" s="37"/>
      <c r="EZ164" s="37"/>
      <c r="FA164" s="37"/>
      <c r="FB164" s="37"/>
      <c r="FC164" s="37"/>
      <c r="FD164" s="37"/>
      <c r="FE164" s="37"/>
      <c r="FF164" s="37"/>
      <c r="FG164" s="37"/>
      <c r="FH164" s="37"/>
      <c r="FI164" s="37"/>
      <c r="FJ164" s="37"/>
      <c r="FK164" s="37"/>
      <c r="FL164" s="37"/>
      <c r="FM164" s="37"/>
      <c r="FN164" s="37"/>
      <c r="FO164" s="37"/>
      <c r="FP164" s="37"/>
      <c r="FQ164" s="37"/>
      <c r="FR164" s="37"/>
      <c r="FS164" s="37"/>
      <c r="FT164" s="37"/>
      <c r="FU164" s="37"/>
      <c r="FV164" s="37"/>
      <c r="FW164" s="37"/>
      <c r="FX164" s="37"/>
      <c r="FY164" s="37"/>
      <c r="FZ164" s="37"/>
      <c r="GA164" s="37"/>
      <c r="GB164" s="37"/>
      <c r="GC164" s="37"/>
      <c r="GD164" s="37"/>
      <c r="GE164" s="37"/>
      <c r="GF164" s="37"/>
      <c r="GG164" s="37"/>
      <c r="GH164" s="37"/>
      <c r="GI164" s="37"/>
      <c r="GJ164" s="37"/>
      <c r="GK164" s="37"/>
      <c r="GL164" s="37"/>
      <c r="GM164" s="37"/>
      <c r="GN164" s="37"/>
      <c r="GO164" s="37"/>
      <c r="GP164" s="37"/>
      <c r="GQ164" s="37"/>
      <c r="GR164" s="37"/>
      <c r="GS164" s="37"/>
      <c r="GT164" s="37"/>
      <c r="GU164" s="37"/>
      <c r="GV164" s="37"/>
      <c r="GW164" s="37"/>
      <c r="GX164" s="37"/>
      <c r="GY164" s="37"/>
      <c r="GZ164" s="37"/>
      <c r="HA164" s="37"/>
      <c r="HB164" s="37"/>
      <c r="HC164" s="37"/>
      <c r="HD164" s="37"/>
      <c r="HE164" s="37"/>
      <c r="HF164" s="37"/>
      <c r="HG164" s="37"/>
      <c r="HH164" s="37"/>
      <c r="HI164" s="37"/>
      <c r="HJ164" s="37"/>
      <c r="HK164" s="37"/>
      <c r="HL164" s="37"/>
      <c r="HM164" s="37"/>
      <c r="HN164" s="37"/>
      <c r="HO164" s="37"/>
      <c r="HP164" s="37"/>
      <c r="HQ164" s="37"/>
      <c r="HR164" s="37"/>
      <c r="HS164" s="37"/>
      <c r="HT164" s="37"/>
      <c r="HU164" s="37"/>
      <c r="HV164" s="37"/>
      <c r="HW164" s="37"/>
      <c r="HX164" s="37"/>
      <c r="HY164" s="37"/>
      <c r="HZ164" s="37"/>
      <c r="IA164" s="37"/>
      <c r="IB164" s="37"/>
      <c r="IC164" s="37"/>
    </row>
    <row r="165" spans="1:237" s="40" customFormat="1" x14ac:dyDescent="0.2">
      <c r="A165" s="62"/>
      <c r="B165" s="63"/>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c r="BD165" s="37"/>
      <c r="BE165" s="37"/>
      <c r="BF165" s="37"/>
      <c r="BG165" s="37"/>
      <c r="BH165" s="37"/>
      <c r="BI165" s="37"/>
      <c r="BJ165" s="37"/>
      <c r="BK165" s="37"/>
      <c r="BL165" s="37"/>
      <c r="BM165" s="37"/>
      <c r="BN165" s="37"/>
      <c r="BO165" s="37"/>
      <c r="BP165" s="37"/>
      <c r="BQ165" s="37"/>
      <c r="BR165" s="37"/>
      <c r="BS165" s="37"/>
      <c r="BT165" s="37"/>
      <c r="BU165" s="37"/>
      <c r="BV165" s="37"/>
      <c r="BW165" s="37"/>
      <c r="BX165" s="37"/>
      <c r="BY165" s="37"/>
      <c r="BZ165" s="37"/>
      <c r="CA165" s="37"/>
      <c r="CB165" s="37"/>
      <c r="CC165" s="37"/>
      <c r="CD165" s="37"/>
      <c r="CE165" s="37"/>
      <c r="CF165" s="37"/>
      <c r="CG165" s="37"/>
      <c r="CH165" s="37"/>
      <c r="CI165" s="37"/>
      <c r="CJ165" s="37"/>
      <c r="CK165" s="37"/>
      <c r="CL165" s="37"/>
      <c r="CM165" s="37"/>
      <c r="CN165" s="37"/>
      <c r="CO165" s="37"/>
      <c r="CP165" s="37"/>
      <c r="CQ165" s="37"/>
      <c r="CR165" s="37"/>
      <c r="CS165" s="37"/>
      <c r="CT165" s="37"/>
      <c r="CU165" s="37"/>
      <c r="CV165" s="37"/>
      <c r="CW165" s="37"/>
      <c r="CX165" s="37"/>
      <c r="CY165" s="37"/>
      <c r="CZ165" s="37"/>
      <c r="DA165" s="37"/>
      <c r="DB165" s="37"/>
      <c r="DC165" s="37"/>
      <c r="DD165" s="37"/>
      <c r="DE165" s="37"/>
      <c r="DF165" s="37"/>
      <c r="DG165" s="37"/>
      <c r="DH165" s="37"/>
      <c r="DI165" s="37"/>
      <c r="DJ165" s="37"/>
      <c r="DK165" s="37"/>
      <c r="DL165" s="37"/>
      <c r="DM165" s="37"/>
      <c r="DN165" s="37"/>
      <c r="DO165" s="37"/>
      <c r="DP165" s="37"/>
      <c r="DQ165" s="37"/>
      <c r="DR165" s="37"/>
      <c r="DS165" s="37"/>
      <c r="DT165" s="37"/>
      <c r="DU165" s="37"/>
      <c r="DV165" s="37"/>
      <c r="DW165" s="37"/>
      <c r="DX165" s="37"/>
      <c r="DY165" s="37"/>
      <c r="DZ165" s="37"/>
      <c r="EA165" s="37"/>
      <c r="EB165" s="37"/>
      <c r="EC165" s="37"/>
      <c r="ED165" s="37"/>
      <c r="EE165" s="37"/>
      <c r="EF165" s="37"/>
      <c r="EG165" s="37"/>
      <c r="EH165" s="37"/>
      <c r="EI165" s="37"/>
      <c r="EJ165" s="37"/>
      <c r="EK165" s="37"/>
      <c r="EL165" s="37"/>
      <c r="EM165" s="37"/>
      <c r="EN165" s="37"/>
      <c r="EO165" s="37"/>
      <c r="EP165" s="37"/>
      <c r="EQ165" s="37"/>
      <c r="ER165" s="37"/>
      <c r="ES165" s="37"/>
      <c r="ET165" s="37"/>
      <c r="EU165" s="37"/>
      <c r="EV165" s="37"/>
      <c r="EW165" s="37"/>
      <c r="EX165" s="37"/>
      <c r="EY165" s="37"/>
      <c r="EZ165" s="37"/>
      <c r="FA165" s="37"/>
      <c r="FB165" s="37"/>
      <c r="FC165" s="37"/>
      <c r="FD165" s="37"/>
      <c r="FE165" s="37"/>
      <c r="FF165" s="37"/>
      <c r="FG165" s="37"/>
      <c r="FH165" s="37"/>
      <c r="FI165" s="37"/>
      <c r="FJ165" s="37"/>
      <c r="FK165" s="37"/>
      <c r="FL165" s="37"/>
      <c r="FM165" s="37"/>
      <c r="FN165" s="37"/>
      <c r="FO165" s="37"/>
      <c r="FP165" s="37"/>
      <c r="FQ165" s="37"/>
      <c r="FR165" s="37"/>
      <c r="FS165" s="37"/>
      <c r="FT165" s="37"/>
      <c r="FU165" s="37"/>
      <c r="FV165" s="37"/>
      <c r="FW165" s="37"/>
      <c r="FX165" s="37"/>
      <c r="FY165" s="37"/>
      <c r="FZ165" s="37"/>
      <c r="GA165" s="37"/>
      <c r="GB165" s="37"/>
      <c r="GC165" s="37"/>
      <c r="GD165" s="37"/>
      <c r="GE165" s="37"/>
      <c r="GF165" s="37"/>
      <c r="GG165" s="37"/>
      <c r="GH165" s="37"/>
      <c r="GI165" s="37"/>
      <c r="GJ165" s="37"/>
      <c r="GK165" s="37"/>
      <c r="GL165" s="37"/>
      <c r="GM165" s="37"/>
      <c r="GN165" s="37"/>
      <c r="GO165" s="37"/>
      <c r="GP165" s="37"/>
      <c r="GQ165" s="37"/>
      <c r="GR165" s="37"/>
      <c r="GS165" s="37"/>
      <c r="GT165" s="37"/>
      <c r="GU165" s="37"/>
      <c r="GV165" s="37"/>
      <c r="GW165" s="37"/>
      <c r="GX165" s="37"/>
      <c r="GY165" s="37"/>
      <c r="GZ165" s="37"/>
      <c r="HA165" s="37"/>
      <c r="HB165" s="37"/>
      <c r="HC165" s="37"/>
      <c r="HD165" s="37"/>
      <c r="HE165" s="37"/>
      <c r="HF165" s="37"/>
      <c r="HG165" s="37"/>
      <c r="HH165" s="37"/>
      <c r="HI165" s="37"/>
      <c r="HJ165" s="37"/>
      <c r="HK165" s="37"/>
      <c r="HL165" s="37"/>
      <c r="HM165" s="37"/>
      <c r="HN165" s="37"/>
      <c r="HO165" s="37"/>
      <c r="HP165" s="37"/>
      <c r="HQ165" s="37"/>
      <c r="HR165" s="37"/>
      <c r="HS165" s="37"/>
      <c r="HT165" s="37"/>
      <c r="HU165" s="37"/>
      <c r="HV165" s="37"/>
      <c r="HW165" s="37"/>
      <c r="HX165" s="37"/>
      <c r="HY165" s="37"/>
      <c r="HZ165" s="37"/>
      <c r="IA165" s="37"/>
      <c r="IB165" s="37"/>
      <c r="IC165" s="37"/>
    </row>
    <row r="166" spans="1:237" x14ac:dyDescent="0.2">
      <c r="A166" s="62"/>
      <c r="B166" s="63"/>
    </row>
    <row r="167" spans="1:237" x14ac:dyDescent="0.2">
      <c r="A167" s="62"/>
      <c r="B167" s="63"/>
    </row>
  </sheetData>
  <mergeCells count="6">
    <mergeCell ref="A47:A48"/>
    <mergeCell ref="A5:B5"/>
    <mergeCell ref="C5:I5"/>
    <mergeCell ref="A49:A50"/>
    <mergeCell ref="C49:D49"/>
    <mergeCell ref="C50:D50"/>
  </mergeCells>
  <conditionalFormatting sqref="B45">
    <cfRule type="cellIs" dxfId="974" priority="139" operator="equal">
      <formula>"CU2"</formula>
    </cfRule>
    <cfRule type="cellIs" dxfId="973" priority="140" operator="equal">
      <formula>"FGL"</formula>
    </cfRule>
    <cfRule type="cellIs" dxfId="972" priority="141" operator="equal">
      <formula>"FO"</formula>
    </cfRule>
    <cfRule type="cellIs" dxfId="971" priority="142" operator="equal">
      <formula>"CU2T"</formula>
    </cfRule>
    <cfRule type="cellIs" priority="143" operator="equal">
      <formula>"CU2T"</formula>
    </cfRule>
    <cfRule type="cellIs" dxfId="970" priority="144" operator="equal">
      <formula>"CU2M"</formula>
    </cfRule>
    <cfRule type="cellIs" dxfId="969" priority="145" operator="equal">
      <formula>"CU1"</formula>
    </cfRule>
  </conditionalFormatting>
  <conditionalFormatting sqref="C31">
    <cfRule type="cellIs" dxfId="968" priority="88" operator="equal">
      <formula>"FO"</formula>
    </cfRule>
  </conditionalFormatting>
  <conditionalFormatting sqref="C31:C36 C38:D38 C40:D40 C42:D42">
    <cfRule type="cellIs" dxfId="967" priority="155" operator="equal">
      <formula>"FGL"</formula>
    </cfRule>
  </conditionalFormatting>
  <conditionalFormatting sqref="C31:C37">
    <cfRule type="cellIs" dxfId="966" priority="72" operator="equal">
      <formula>"CU2"</formula>
    </cfRule>
    <cfRule type="cellIs" dxfId="965" priority="74" operator="equal">
      <formula>"CU2T"</formula>
    </cfRule>
    <cfRule type="cellIs" priority="75" operator="equal">
      <formula>"CU2T"</formula>
    </cfRule>
    <cfRule type="cellIs" dxfId="964" priority="76" operator="equal">
      <formula>"CU2M"</formula>
    </cfRule>
    <cfRule type="cellIs" dxfId="963" priority="77" operator="equal">
      <formula>"CU1"</formula>
    </cfRule>
  </conditionalFormatting>
  <conditionalFormatting sqref="C33:C37">
    <cfRule type="cellIs" dxfId="962" priority="73" operator="equal">
      <formula>"FO"</formula>
    </cfRule>
  </conditionalFormatting>
  <conditionalFormatting sqref="C48:C50">
    <cfRule type="cellIs" dxfId="961" priority="1" operator="equal">
      <formula>"CU2T"</formula>
    </cfRule>
    <cfRule type="cellIs" dxfId="960" priority="2" operator="equal">
      <formula>"CU2M"</formula>
    </cfRule>
  </conditionalFormatting>
  <conditionalFormatting sqref="C38:D39">
    <cfRule type="cellIs" dxfId="959" priority="67" operator="equal">
      <formula>"FO"</formula>
    </cfRule>
  </conditionalFormatting>
  <conditionalFormatting sqref="C38:D42">
    <cfRule type="cellIs" dxfId="958" priority="60" operator="equal">
      <formula>"CU2"</formula>
    </cfRule>
    <cfRule type="cellIs" dxfId="957" priority="62" operator="equal">
      <formula>"CU2T"</formula>
    </cfRule>
    <cfRule type="cellIs" priority="63" operator="equal">
      <formula>"CU2T"</formula>
    </cfRule>
    <cfRule type="cellIs" dxfId="956" priority="64" operator="equal">
      <formula>"CU2M"</formula>
    </cfRule>
    <cfRule type="cellIs" dxfId="955" priority="65" operator="equal">
      <formula>"CU1"</formula>
    </cfRule>
  </conditionalFormatting>
  <conditionalFormatting sqref="C41:D42">
    <cfRule type="cellIs" dxfId="954" priority="61" operator="equal">
      <formula>"FO"</formula>
    </cfRule>
  </conditionalFormatting>
  <conditionalFormatting sqref="C51:E57 C51:I53">
    <cfRule type="cellIs" dxfId="953" priority="230" operator="equal">
      <formula>"CU2T"</formula>
    </cfRule>
    <cfRule type="cellIs" dxfId="952" priority="231" operator="equal">
      <formula>"CU2M"</formula>
    </cfRule>
  </conditionalFormatting>
  <conditionalFormatting sqref="C4:I26 C64:I72 C73 E73:I73 C74:I1048576">
    <cfRule type="cellIs" dxfId="951" priority="232" operator="equal">
      <formula>"CU2T"</formula>
    </cfRule>
    <cfRule type="cellIs" dxfId="950" priority="233" operator="equal">
      <formula>"CU2M"</formula>
    </cfRule>
  </conditionalFormatting>
  <conditionalFormatting sqref="C54:I54 C55:H57 I55:I62 C56:C63 D63:I63">
    <cfRule type="cellIs" dxfId="949" priority="226" operator="equal">
      <formula>"CU2T"</formula>
    </cfRule>
    <cfRule type="cellIs" priority="227" operator="equal">
      <formula>"CU2T"</formula>
    </cfRule>
    <cfRule type="cellIs" dxfId="948" priority="228" operator="equal">
      <formula>"CU2M"</formula>
    </cfRule>
    <cfRule type="cellIs" dxfId="947" priority="229" operator="equal">
      <formula>"CU1"</formula>
    </cfRule>
  </conditionalFormatting>
  <conditionalFormatting sqref="D48">
    <cfRule type="cellIs" dxfId="946" priority="217" operator="equal">
      <formula>"jui"</formula>
    </cfRule>
    <cfRule type="cellIs" dxfId="945" priority="218" stopIfTrue="1" operator="equal">
      <formula>"E3"</formula>
    </cfRule>
    <cfRule type="cellIs" dxfId="944" priority="219" stopIfTrue="1" operator="equal">
      <formula>"E4"</formula>
    </cfRule>
  </conditionalFormatting>
  <conditionalFormatting sqref="D73">
    <cfRule type="cellIs" dxfId="943" priority="38" operator="equal">
      <formula>"jui"</formula>
    </cfRule>
    <cfRule type="cellIs" dxfId="942" priority="39" stopIfTrue="1" operator="equal">
      <formula>"E3"</formula>
    </cfRule>
    <cfRule type="cellIs" dxfId="941" priority="40" stopIfTrue="1" operator="equal">
      <formula>"E4"</formula>
    </cfRule>
  </conditionalFormatting>
  <conditionalFormatting sqref="D58:H62">
    <cfRule type="cellIs" dxfId="940" priority="222" operator="equal">
      <formula>"CU2T"</formula>
    </cfRule>
    <cfRule type="cellIs" priority="223" operator="equal">
      <formula>"CU2T"</formula>
    </cfRule>
    <cfRule type="cellIs" dxfId="939" priority="224" operator="equal">
      <formula>"CU2M"</formula>
    </cfRule>
    <cfRule type="cellIs" dxfId="938" priority="225" operator="equal">
      <formula>"CU1"</formula>
    </cfRule>
  </conditionalFormatting>
  <conditionalFormatting sqref="E49:E56">
    <cfRule type="cellIs" dxfId="937" priority="5" operator="equal">
      <formula>"CU2T"</formula>
    </cfRule>
    <cfRule type="cellIs" dxfId="936" priority="6" operator="equal">
      <formula>"CU2M"</formula>
    </cfRule>
  </conditionalFormatting>
  <conditionalFormatting sqref="E38:I42">
    <cfRule type="containsText" dxfId="935" priority="41" operator="containsText" text="RV">
      <formula>NOT(ISERROR(SEARCH("RV",E38)))</formula>
    </cfRule>
  </conditionalFormatting>
  <conditionalFormatting sqref="E48:I50">
    <cfRule type="cellIs" dxfId="934" priority="220" operator="equal">
      <formula>"CU2T"</formula>
    </cfRule>
    <cfRule type="cellIs" dxfId="933" priority="221" operator="equal">
      <formula>"CU2M"</formula>
    </cfRule>
  </conditionalFormatting>
  <conditionalFormatting sqref="J46">
    <cfRule type="cellIs" dxfId="932" priority="137" operator="equal">
      <formula>"CU2T"</formula>
    </cfRule>
    <cfRule type="cellIs" dxfId="931" priority="138" operator="equal">
      <formula>"CU2M"</formula>
    </cfRule>
  </conditionalFormatting>
  <pageMargins left="0.11811023622047245" right="0.11811023622047245" top="0.74803149606299213" bottom="0.74803149606299213" header="0.31496062992125984" footer="0.31496062992125984"/>
  <pageSetup paperSize="9" scale="70"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3:E12"/>
  <sheetViews>
    <sheetView workbookViewId="0"/>
  </sheetViews>
  <sheetFormatPr defaultColWidth="11.43359375" defaultRowHeight="15" x14ac:dyDescent="0.2"/>
  <cols>
    <col min="1" max="1" width="7.3984375" style="91" customWidth="1"/>
    <col min="2" max="2" width="102.50390625" style="91" customWidth="1"/>
    <col min="3" max="4" width="7.53125" style="91" customWidth="1"/>
    <col min="5" max="5" width="9.55078125" style="91" customWidth="1"/>
    <col min="6" max="7" width="11.43359375" style="91"/>
    <col min="8" max="8" width="6.45703125" style="91" customWidth="1"/>
    <col min="9" max="16384" width="11.43359375" style="91"/>
  </cols>
  <sheetData>
    <row r="3" spans="1:5" ht="15.75" thickBot="1" x14ac:dyDescent="0.25"/>
    <row r="4" spans="1:5" ht="15.75" thickBot="1" x14ac:dyDescent="0.25">
      <c r="A4" s="92" t="s">
        <v>94</v>
      </c>
      <c r="B4" s="93" t="s">
        <v>98</v>
      </c>
      <c r="C4" s="94" t="s">
        <v>95</v>
      </c>
      <c r="D4" s="95" t="s">
        <v>96</v>
      </c>
      <c r="E4" s="96" t="s">
        <v>97</v>
      </c>
    </row>
    <row r="5" spans="1:5" x14ac:dyDescent="0.2">
      <c r="A5" s="97" t="s">
        <v>89</v>
      </c>
      <c r="B5" s="98" t="s">
        <v>99</v>
      </c>
      <c r="C5" s="99">
        <v>0.22291666666666665</v>
      </c>
      <c r="D5" s="100">
        <v>0.54861111111111105</v>
      </c>
      <c r="E5" s="101">
        <f>D5-C5</f>
        <v>0.3256944444444444</v>
      </c>
    </row>
    <row r="6" spans="1:5" x14ac:dyDescent="0.2">
      <c r="A6" s="102" t="s">
        <v>90</v>
      </c>
      <c r="B6" s="103" t="s">
        <v>100</v>
      </c>
      <c r="C6" s="104">
        <v>0.23263888888888887</v>
      </c>
      <c r="D6" s="105">
        <v>0.54861111111111105</v>
      </c>
      <c r="E6" s="106">
        <f>D6-C6</f>
        <v>0.31597222222222221</v>
      </c>
    </row>
    <row r="7" spans="1:5" x14ac:dyDescent="0.2">
      <c r="A7" s="102" t="s">
        <v>91</v>
      </c>
      <c r="B7" s="103" t="s">
        <v>101</v>
      </c>
      <c r="C7" s="104">
        <v>0.25694444444444448</v>
      </c>
      <c r="D7" s="105">
        <v>0.56944444444444442</v>
      </c>
      <c r="E7" s="106">
        <f>D7-C7</f>
        <v>0.31249999999999994</v>
      </c>
    </row>
    <row r="8" spans="1:5" x14ac:dyDescent="0.2">
      <c r="A8" s="102" t="s">
        <v>93</v>
      </c>
      <c r="B8" s="103" t="s">
        <v>102</v>
      </c>
      <c r="C8" s="104">
        <v>0.57777777777777783</v>
      </c>
      <c r="D8" s="105">
        <v>0.89583333333333337</v>
      </c>
      <c r="E8" s="106">
        <f>D8-C8</f>
        <v>0.31805555555555554</v>
      </c>
    </row>
    <row r="9" spans="1:5" ht="15.75" thickBot="1" x14ac:dyDescent="0.25">
      <c r="A9" s="107" t="s">
        <v>92</v>
      </c>
      <c r="B9" s="108" t="s">
        <v>103</v>
      </c>
      <c r="C9" s="109">
        <v>0.59861111111111109</v>
      </c>
      <c r="D9" s="110">
        <v>0.92708333333333337</v>
      </c>
      <c r="E9" s="111">
        <f>D9-C9</f>
        <v>0.32847222222222228</v>
      </c>
    </row>
    <row r="11" spans="1:5" x14ac:dyDescent="0.2">
      <c r="A11" s="112" t="s">
        <v>104</v>
      </c>
    </row>
    <row r="12" spans="1:5" x14ac:dyDescent="0.2">
      <c r="A12" s="112" t="s">
        <v>105</v>
      </c>
    </row>
  </sheetData>
  <pageMargins left="0.19685039370078741" right="0" top="0.35433070866141736" bottom="0.15748031496062992" header="0" footer="0.31496062992125984"/>
  <pageSetup paperSize="9" scale="87" orientation="landscape"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Hojas de cálculo</vt:lpstr>
      </vt:variant>
      <vt:variant>
        <vt:i4>13</vt:i4>
      </vt:variant>
      <vt:variant>
        <vt:lpstr>Rangos con nombre</vt:lpstr>
      </vt:variant>
      <vt:variant>
        <vt:i4>11</vt:i4>
      </vt:variant>
    </vt:vector>
  </HeadingPairs>
  <TitlesOfParts>
    <vt:vector size="24" baseType="lpstr">
      <vt:lpstr>FECHA</vt:lpstr>
      <vt:lpstr>TRANVIA</vt:lpstr>
      <vt:lpstr>BOLSA-FORMAC</vt:lpstr>
      <vt:lpstr>USIS ALICANTE</vt:lpstr>
      <vt:lpstr>G_BENIDORM</vt:lpstr>
      <vt:lpstr>USIS BENIDORM</vt:lpstr>
      <vt:lpstr>G_DENIA</vt:lpstr>
      <vt:lpstr>USIS DENIA</vt:lpstr>
      <vt:lpstr>G_REGUL</vt:lpstr>
      <vt:lpstr>AT.CENTRALIZADA</vt:lpstr>
      <vt:lpstr>PRACT. ELEC.</vt:lpstr>
      <vt:lpstr>BOLSA MAQUIS</vt:lpstr>
      <vt:lpstr>TURNOS PRACTICAS</vt:lpstr>
      <vt:lpstr>AT.CENTRALIZADA!Área_de_impresión</vt:lpstr>
      <vt:lpstr>BOLSA MAQUIS!Área_de_impresión</vt:lpstr>
      <vt:lpstr>BOLSA-FORMAC!Área_de_impresión</vt:lpstr>
      <vt:lpstr>G_BENIDORM!Área_de_impresión</vt:lpstr>
      <vt:lpstr>G_DENIA!Área_de_impresión</vt:lpstr>
      <vt:lpstr>G_REGUL!Área_de_impresión</vt:lpstr>
      <vt:lpstr>TRANVIA!Área_de_impresión</vt:lpstr>
      <vt:lpstr>TURNOS PRACTICAS!Área_de_impresión</vt:lpstr>
      <vt:lpstr>USIS ALICANTE!Área_de_impresión</vt:lpstr>
      <vt:lpstr>USIS BENIDORM!Área_de_impresión</vt:lpstr>
      <vt:lpstr>USIS DENIA!Área_de_impresión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dc:creator>
  <cp:lastModifiedBy>Daniel Hernández Chambers</cp:lastModifiedBy>
  <cp:revision>56</cp:revision>
  <cp:lastPrinted>2025-09-05T08:37:45Z</cp:lastPrinted>
  <dcterms:created xsi:type="dcterms:W3CDTF">2019-05-27T06:34:46Z</dcterms:created>
  <dcterms:modified xsi:type="dcterms:W3CDTF">2025-09-05T13:02:22Z</dcterms:modified>
</cp:coreProperties>
</file>